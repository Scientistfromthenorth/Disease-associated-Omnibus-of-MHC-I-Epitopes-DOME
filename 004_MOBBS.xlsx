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ges\Desktop\immunopepdataset\"/>
    </mc:Choice>
  </mc:AlternateContent>
  <xr:revisionPtr revIDLastSave="0" documentId="13_ncr:1_{4ECA32DD-936C-4750-AFE2-88BC62928BD4}" xr6:coauthVersionLast="47" xr6:coauthVersionMax="47" xr10:uidLastSave="{00000000-0000-0000-0000-000000000000}"/>
  <bookViews>
    <workbookView xWindow="-28920" yWindow="12420" windowWidth="29040" windowHeight="17520" tabRatio="500" xr2:uid="{00000000-000D-0000-FFFF-FFFF00000000}"/>
  </bookViews>
  <sheets>
    <sheet name="mC0602_peptides (copy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" i="4" l="1"/>
  <c r="I3" i="4"/>
  <c r="J3" i="4" s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" i="4"/>
  <c r="I4" i="4" l="1"/>
  <c r="J4" i="4" l="1"/>
  <c r="I5" i="4"/>
  <c r="J5" i="4" l="1"/>
  <c r="I6" i="4"/>
  <c r="J6" i="4" l="1"/>
  <c r="I7" i="4"/>
  <c r="J7" i="4" l="1"/>
  <c r="I8" i="4"/>
  <c r="J8" i="4" l="1"/>
  <c r="I9" i="4"/>
  <c r="J9" i="4" l="1"/>
  <c r="I10" i="4"/>
  <c r="J10" i="4" l="1"/>
  <c r="I11" i="4"/>
  <c r="J11" i="4" l="1"/>
  <c r="I12" i="4"/>
  <c r="J12" i="4" l="1"/>
  <c r="I13" i="4"/>
  <c r="J13" i="4" l="1"/>
  <c r="I14" i="4"/>
  <c r="J14" i="4" l="1"/>
  <c r="I15" i="4"/>
  <c r="J15" i="4" l="1"/>
  <c r="I16" i="4"/>
  <c r="J16" i="4" l="1"/>
  <c r="I17" i="4"/>
  <c r="I18" i="4" l="1"/>
  <c r="J17" i="4"/>
  <c r="I19" i="4" l="1"/>
  <c r="J18" i="4"/>
  <c r="I20" i="4" l="1"/>
  <c r="J20" i="4" s="1"/>
  <c r="J19" i="4"/>
  <c r="J21" i="4" l="1"/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20" i="4"/>
  <c r="K19" i="4"/>
</calcChain>
</file>

<file path=xl/sharedStrings.xml><?xml version="1.0" encoding="utf-8"?>
<sst xmlns="http://schemas.openxmlformats.org/spreadsheetml/2006/main" count="8896" uniqueCount="4693">
  <si>
    <t>Accessions</t>
  </si>
  <si>
    <t>Names</t>
  </si>
  <si>
    <t>Start Position</t>
  </si>
  <si>
    <t>Best Conf (Peptide)</t>
  </si>
  <si>
    <t>Best Hypoth Conf</t>
  </si>
  <si>
    <t>Sequence</t>
  </si>
  <si>
    <t>Modifications</t>
  </si>
  <si>
    <t>dMass</t>
  </si>
  <si>
    <t>Obs MW</t>
  </si>
  <si>
    <t>Obs m/z</t>
  </si>
  <si>
    <t>Theor MW</t>
  </si>
  <si>
    <t>Theor m/z</t>
  </si>
  <si>
    <t>Theor z</t>
  </si>
  <si>
    <t>Redundant Acqs</t>
  </si>
  <si>
    <t>Score</t>
  </si>
  <si>
    <t>Acq Time</t>
  </si>
  <si>
    <t>Intensity (Peptide)</t>
  </si>
  <si>
    <t>YYVDTAVRHV</t>
  </si>
  <si>
    <t>YYKERLLYL</t>
  </si>
  <si>
    <t>YYGPLRSVW</t>
  </si>
  <si>
    <t>YYADHFKLY</t>
  </si>
  <si>
    <t>sp|Q9Y2Y1|RPC10_HUMAN</t>
  </si>
  <si>
    <t>DNA-directed RNA polymerase III subunit RPC10 OS=Homo sapiens GN=POLR3K PE=1 SV=2</t>
  </si>
  <si>
    <t>YVHNITRKV</t>
  </si>
  <si>
    <t>sp|O75151|PHF2_HUMAN</t>
  </si>
  <si>
    <t>Lysine-specific demethylase PHF2 OS=Homo sapiens GN=PHF2 PE=1 SV=4</t>
  </si>
  <si>
    <t>sp|P42704|LPPRC_HUMAN</t>
  </si>
  <si>
    <t>Leucine-rich PPR motif-containing protein, mitochondrial OS=Homo sapiens GN=LRPPRC PE=1 SV=3</t>
  </si>
  <si>
    <t>YVFDGKPPQL</t>
  </si>
  <si>
    <t>sp|P20042|IF2B_HUMAN</t>
  </si>
  <si>
    <t>Eukaryotic translation initiation factor 2 subunit 2 OS=Homo sapiens GN=EIF2S2 PE=1 SV=2</t>
  </si>
  <si>
    <t>YTYEELLNRV</t>
  </si>
  <si>
    <t>sp|Q9NPP4|NLRC4_HUMAN</t>
  </si>
  <si>
    <t>NLR family CARD domain-containing protein 4 OS=Homo sapiens GN=NLRC4 PE=1 SV=2</t>
  </si>
  <si>
    <t>YSLMVEASPL</t>
  </si>
  <si>
    <t>YSGYTRSLGDVDDGD</t>
  </si>
  <si>
    <t>YSAPVIHVL</t>
  </si>
  <si>
    <t>YRYPIVLGY</t>
  </si>
  <si>
    <t>sp|Q96T58|MINT_HUMAN</t>
  </si>
  <si>
    <t>Msx2-interacting protein OS=Homo sapiens GN=SPEN PE=1 SV=1</t>
  </si>
  <si>
    <t>YRYGDIRTY</t>
  </si>
  <si>
    <t>sp|Q6P2Q9|PRP8_HUMAN</t>
  </si>
  <si>
    <t>Pre-mRNA-processing-splicing factor 8 OS=Homo sapiens GN=PRPF8 PE=1 SV=2</t>
  </si>
  <si>
    <t>Oxidation(M)@5</t>
  </si>
  <si>
    <t>sp|Q9BPW8|NIPS1_HUMAN</t>
  </si>
  <si>
    <t>Protein NipSnap homolog 1 OS=Homo sapiens GN=NIPSNAP1 PE=1 SV=1</t>
  </si>
  <si>
    <t>YRPEMKTEM</t>
  </si>
  <si>
    <t>Oxidation(M)@9</t>
  </si>
  <si>
    <t>Oxidation(M)@13</t>
  </si>
  <si>
    <t>sp|Q9HA38|ZMAT3_HUMAN</t>
  </si>
  <si>
    <t>Zinc finger matrin-type protein 3 OS=Homo sapiens GN=ZMAT3 PE=1 SV=1</t>
  </si>
  <si>
    <t>YRNEMENLGYV</t>
  </si>
  <si>
    <t>Oxidation(M)@3</t>
  </si>
  <si>
    <t>sp|P22314|UBA1_HUMAN</t>
  </si>
  <si>
    <t>Ubiquitin-like modifier-activating enzyme 1 OS=Homo sapiens GN=UBA1 PE=1 SV=3</t>
  </si>
  <si>
    <t>sp|Q9P2P5|HECW2_HUMAN</t>
  </si>
  <si>
    <t>E3 ubiquitin-protein ligase HECW2 OS=Homo sapiens GN=HECW2 PE=1 SV=2</t>
  </si>
  <si>
    <t>YRKLETKGY</t>
  </si>
  <si>
    <t>sp|Q9BRQ8|AIFM2_HUMAN</t>
  </si>
  <si>
    <t>Apoptosis-inducing factor 2 OS=Homo sapiens GN=AIFM2 PE=1 SV=1</t>
  </si>
  <si>
    <t>YRKAFESRL</t>
  </si>
  <si>
    <t>sp|P17858|PFKAL_HUMAN</t>
  </si>
  <si>
    <t>ATP-dependent 6-phosphofructokinase, liver type OS=Homo sapiens GN=PFKL PE=1 SV=6</t>
  </si>
  <si>
    <t>YRHPSPAIV</t>
  </si>
  <si>
    <t>YRGDYDRFY</t>
  </si>
  <si>
    <t>YRFLPQKIIYL</t>
  </si>
  <si>
    <t>sp|Q96B77|TM186_HUMAN</t>
  </si>
  <si>
    <t>Transmembrane protein 186 OS=Homo sapiens GN=TMEM186 PE=2 SV=1</t>
  </si>
  <si>
    <t>YRFDAIRTF</t>
  </si>
  <si>
    <t>sp|P30101|PDIA3_HUMAN</t>
  </si>
  <si>
    <t>Protein disulfide-isomerase A3 OS=Homo sapiens GN=PDIA3 PE=1 SV=4</t>
  </si>
  <si>
    <t>YREEIVRYL</t>
  </si>
  <si>
    <t>YRDTWVRYL</t>
  </si>
  <si>
    <t>YQYPRPLLI</t>
  </si>
  <si>
    <t>sp|Q9Y613|FHOD1_HUMAN</t>
  </si>
  <si>
    <t>FH1/FH2 domain-containing protein 1 OS=Homo sapiens GN=FHOD1 PE=1 SV=3</t>
  </si>
  <si>
    <t>YQSYILRAL</t>
  </si>
  <si>
    <t>Deamidated(Q)@11</t>
  </si>
  <si>
    <t>sp|Q96IX5|USMG5_HUMAN</t>
  </si>
  <si>
    <t>Up-regulated during skeletal muscle growth protein 5 OS=Homo sapiens GN=USMG5 PE=1 SV=1</t>
  </si>
  <si>
    <t>YQFTGIKKY</t>
  </si>
  <si>
    <t>sp|O15240|VGF_HUMAN</t>
  </si>
  <si>
    <t>Neurosecretory protein VGF OS=Homo sapiens GN=VGF PE=1 SV=2</t>
  </si>
  <si>
    <t>YPPGPYHPFPNYI</t>
  </si>
  <si>
    <t>sp|P35606|COPB2_HUMAN</t>
  </si>
  <si>
    <t>Coatomer subunit beta' OS=Homo sapiens GN=COPB2 PE=1 SV=2</t>
  </si>
  <si>
    <t>YLPSQVSRVV</t>
  </si>
  <si>
    <t>Oxidation(M)@6</t>
  </si>
  <si>
    <t>YKFERPQYA</t>
  </si>
  <si>
    <t>sp|P06733|ENOA_HUMAN</t>
  </si>
  <si>
    <t>Alpha-enolase OS=Homo sapiens GN=ENO1 PE=1 SV=2</t>
  </si>
  <si>
    <t>YHYDYVHSV</t>
  </si>
  <si>
    <t>sp|Q5SVQ8|ZBT41_HUMAN</t>
  </si>
  <si>
    <t>Zinc finger and BTB domain-containing protein 41 OS=Homo sapiens GN=ZBTB41 PE=1 SV=1</t>
  </si>
  <si>
    <t>YHIDHVHEI</t>
  </si>
  <si>
    <t>sp|P14618|KPYM_HUMAN</t>
  </si>
  <si>
    <t>Pyruvate kinase PKM OS=Homo sapiens GN=PKM PE=1 SV=4</t>
  </si>
  <si>
    <t>sp|Q96GN5|CDA7L_HUMAN</t>
  </si>
  <si>
    <t>Cell division cycle-associated 7-like protein OS=Homo sapiens GN=CDCA7L PE=1 SV=2</t>
  </si>
  <si>
    <t>YGYDNVKEYL</t>
  </si>
  <si>
    <t>YGYDNVKEY</t>
  </si>
  <si>
    <t>sp|Q6UXN9|WDR82_HUMAN</t>
  </si>
  <si>
    <t>WD repeat-containing protein 82 OS=Homo sapiens GN=WDR82 PE=1 SV=1</t>
  </si>
  <si>
    <t>YGVDLIRYT</t>
  </si>
  <si>
    <t>Deamidated(Q)@5</t>
  </si>
  <si>
    <t>sp|Q9Y4W2|LAS1L_HUMAN</t>
  </si>
  <si>
    <t>Ribosomal biogenesis protein LAS1L OS=Homo sapiens GN=LAS1L PE=1 SV=2</t>
  </si>
  <si>
    <t>YGMALVRFV</t>
  </si>
  <si>
    <t>YGINNIREL</t>
  </si>
  <si>
    <t>Dioxidation(C)@3</t>
  </si>
  <si>
    <t>sp|P30154|2AAB_HUMAN</t>
  </si>
  <si>
    <t>Serine/threonine-protein phosphatase 2A 65 kDa regulatory subunit A beta isoform OS=Homo sapiens GN=PPP2R1B PE=1 SV=3</t>
  </si>
  <si>
    <t>YFVPLVKRL</t>
  </si>
  <si>
    <t>sp|O75643|U520_HUMAN</t>
  </si>
  <si>
    <t>U5 small nuclear ribonucleoprotein 200 kDa helicase OS=Homo sapiens GN=SNRNP200 PE=1 SV=2</t>
  </si>
  <si>
    <t>YAYLYIRML</t>
  </si>
  <si>
    <t>Oxidation(M)@8</t>
  </si>
  <si>
    <t>sp|Q15751|HERC1_HUMAN</t>
  </si>
  <si>
    <t>Probable E3 ubiquitin-protein ligase HERC1 OS=Homo sapiens GN=HERC1 PE=1 SV=2</t>
  </si>
  <si>
    <t>YAYEKPHVV</t>
  </si>
  <si>
    <t>sp|P06213|INSR_HUMAN</t>
  </si>
  <si>
    <t>Insulin receptor OS=Homo sapiens GN=INSR PE=1 SV=4</t>
  </si>
  <si>
    <t>YALDNQNLRQL</t>
  </si>
  <si>
    <t>YAKLHPEM</t>
  </si>
  <si>
    <t>YAFVRPVIL</t>
  </si>
  <si>
    <t>YAFPKAVTV</t>
  </si>
  <si>
    <t>YAFNGTQRFL</t>
  </si>
  <si>
    <t>Deamidated(N)@4</t>
  </si>
  <si>
    <t>sp|P04440|DPB1_HUMAN</t>
  </si>
  <si>
    <t>HLA class II histocompatibility antigen, DP beta 1 chain OS=Homo sapiens GN=HLA-DPB1 PE=1 SV=1</t>
  </si>
  <si>
    <t>YAFNGTQRF</t>
  </si>
  <si>
    <t>sp|P46782|RS5_HUMAN</t>
  </si>
  <si>
    <t>40S ribosomal protein S5 OS=Homo sapiens GN=RPS5 PE=1 SV=4</t>
  </si>
  <si>
    <t>Deamidated(N)@9</t>
  </si>
  <si>
    <t>WRNPHLSML</t>
  </si>
  <si>
    <t>sp|P11387|TOP1_HUMAN</t>
  </si>
  <si>
    <t>DNA topoisomerase 1 OS=Homo sapiens GN=TOP1 PE=1 SV=2</t>
  </si>
  <si>
    <t>sp|P04406|G3P_HUMAN</t>
  </si>
  <si>
    <t>Glyceraldehyde-3-phosphate dehydrogenase OS=Homo sapiens GN=GAPDH PE=1 SV=3</t>
  </si>
  <si>
    <t>WGDAGAEYVVESTGVFTTMEK</t>
  </si>
  <si>
    <t>sp|Q9NV96|CC50A_HUMAN</t>
  </si>
  <si>
    <t>Cell cycle control protein 50A OS=Homo sapiens GN=TMEM30A PE=1 SV=1</t>
  </si>
  <si>
    <t>sp|Q16555|DPYL2_HUMAN</t>
  </si>
  <si>
    <t>Dihydropyrimidinase-related protein 2 OS=Homo sapiens GN=DPYSL2 PE=1 SV=1</t>
  </si>
  <si>
    <t>VTIAQGGVLPNIQAVLLPK</t>
  </si>
  <si>
    <t>VTHDLVREV</t>
  </si>
  <si>
    <t>VSFELFADK</t>
  </si>
  <si>
    <t>VRYWYPIDM</t>
  </si>
  <si>
    <t>sp|Q8N9I9|DTX3_HUMAN</t>
  </si>
  <si>
    <t>Probable E3 ubiquitin-protein ligase DTX3 OS=Homo sapiens GN=DTX3 PE=1 SV=2</t>
  </si>
  <si>
    <t>VRYPGTTRV</t>
  </si>
  <si>
    <t>VRVPHTQAV</t>
  </si>
  <si>
    <t>sp|Q8IZF4|GP114_HUMAN</t>
  </si>
  <si>
    <t>Probable G-protein coupled receptor 114 OS=Homo sapiens GN=GPR114 PE=2 SV=3</t>
  </si>
  <si>
    <t>VRSPVVHSV</t>
  </si>
  <si>
    <t>sp|P27797|CALR_HUMAN</t>
  </si>
  <si>
    <t>Calreticulin OS=Homo sapiens GN=CALR PE=1 SV=1</t>
  </si>
  <si>
    <t>sp|Q15233|NONO_HUMAN</t>
  </si>
  <si>
    <t>Non-POU domain-containing octamer-binding protein OS=Homo sapiens GN=NONO PE=1 SV=4</t>
  </si>
  <si>
    <t>VRNLPQYV</t>
  </si>
  <si>
    <t>VRAELIRAF</t>
  </si>
  <si>
    <t>sp|O75691|UTP20_HUMAN</t>
  </si>
  <si>
    <t>Small subunit processome component 20 homolog OS=Homo sapiens GN=UTP20 PE=1 SV=3</t>
  </si>
  <si>
    <t>VPDGPLQEVPLRYL</t>
  </si>
  <si>
    <t>VIVNNKGEM</t>
  </si>
  <si>
    <t>VHVGHVVRF</t>
  </si>
  <si>
    <t>sp|P60709|ACTB_HUMAN; sp|P63261|ACTG_HUMAN</t>
  </si>
  <si>
    <t>Actin, cytoplasmic 1 OS=Homo sapiens GN=ACTB PE=1 SV=1; Actin, cytoplasmic 2 OS=Homo sapiens GN=ACTG1 PE=1 SV=1</t>
  </si>
  <si>
    <t>VAPEEHPVLLTEAPLNPK</t>
  </si>
  <si>
    <t>sp|Q6L8Q7|PDE12_HUMAN</t>
  </si>
  <si>
    <t>2',5'-phosphodiesterase 12 OS=Homo sapiens GN=PDE12 PE=1 SV=2</t>
  </si>
  <si>
    <t>VALAHIRHV</t>
  </si>
  <si>
    <t>TYTQLVRLI</t>
  </si>
  <si>
    <t>TWQRDGEDQTQDTEL</t>
  </si>
  <si>
    <t>sp|Q5VUG0|SMBT2_HUMAN</t>
  </si>
  <si>
    <t>Scm-like with four MBT domains protein 2 OS=Homo sapiens GN=SFMBT2 PE=1 SV=1</t>
  </si>
  <si>
    <t>TVTDVVRFI</t>
  </si>
  <si>
    <t>sp|P62805|H4_HUMAN</t>
  </si>
  <si>
    <t>Histone H4 OS=Homo sapiens GN=HIST1H4A PE=1 SV=2</t>
  </si>
  <si>
    <t>TVTAMDVVYALK</t>
  </si>
  <si>
    <t>Deamidated(N)@24</t>
  </si>
  <si>
    <t>sp|P04075|ALDOA_HUMAN</t>
  </si>
  <si>
    <t>Fructose-bisphosphate aldolase A OS=Homo sapiens GN=ALDOA PE=1 SV=2</t>
  </si>
  <si>
    <t>Oxidation(M)@15</t>
  </si>
  <si>
    <t>sp|P10809|CH60_HUMAN</t>
  </si>
  <si>
    <t>60 kDa heat shock protein, mitochondrial OS=Homo sapiens GN=HSPD1 PE=1 SV=2</t>
  </si>
  <si>
    <t>TTFPRPVTV</t>
  </si>
  <si>
    <t>sp|P43686|PRS6B_HUMAN</t>
  </si>
  <si>
    <t>26S protease regulatory subunit 6B OS=Homo sapiens GN=PSMC4 PE=1 SV=2</t>
  </si>
  <si>
    <t>TTAAFIRVV</t>
  </si>
  <si>
    <t>TSPAKQQAPPVRNL</t>
  </si>
  <si>
    <t>sp|Q14204|DYHC1_HUMAN</t>
  </si>
  <si>
    <t>Cytoplasmic dynein 1 heavy chain 1 OS=Homo sapiens GN=DYNC1H1 PE=1 SV=5</t>
  </si>
  <si>
    <t>sp|P21953|ODBB_HUMAN</t>
  </si>
  <si>
    <t>2-oxoisovalerate dehydrogenase subunit beta, mitochondrial OS=Homo sapiens GN=BCKDHB PE=1 SV=2</t>
  </si>
  <si>
    <t>TQVHVIREV</t>
  </si>
  <si>
    <t>sp|O94776|MTA2_HUMAN</t>
  </si>
  <si>
    <t>Metastasis-associated protein MTA2 OS=Homo sapiens GN=MTA2 PE=1 SV=1</t>
  </si>
  <si>
    <t>TPLKIHPLV</t>
  </si>
  <si>
    <t>TITLEVEPSDTIENVK</t>
  </si>
  <si>
    <t>sp|Q13415|ORC1_HUMAN</t>
  </si>
  <si>
    <t>Origin recognition complex subunit 1 OS=Homo sapiens GN=ORC1 PE=1 SV=2</t>
  </si>
  <si>
    <t>TIIGLVRVI</t>
  </si>
  <si>
    <t>sp|P37802|TAGL2_HUMAN</t>
  </si>
  <si>
    <t>Transgelin-2 OS=Homo sapiens GN=TAGLN2 PE=1 SV=3</t>
  </si>
  <si>
    <t>TGYGMPRQI</t>
  </si>
  <si>
    <t>TGYGGVRAL</t>
  </si>
  <si>
    <t>TGGPARYI</t>
  </si>
  <si>
    <t>sp|O43592|XPOT_HUMAN</t>
  </si>
  <si>
    <t>Exportin-T OS=Homo sapiens GN=XPOT PE=1 SV=2</t>
  </si>
  <si>
    <t>TAYLFSRFV</t>
  </si>
  <si>
    <t>TAVALLRLL</t>
  </si>
  <si>
    <t>TAQTLVRIL</t>
  </si>
  <si>
    <t>SYSAVTRFI</t>
  </si>
  <si>
    <t>sp|O75529|TAF5L_HUMAN</t>
  </si>
  <si>
    <t>TAF5-like RNA polymerase II p300/CBP-associated factor-associated factor 65 kDa subunit 5L OS=Homo sapiens GN=TAF5L PE=1 SV=1</t>
  </si>
  <si>
    <t>SYNYLIRYL</t>
  </si>
  <si>
    <t>SYNDYVREF</t>
  </si>
  <si>
    <t>sp|O43680|TCF21_HUMAN</t>
  </si>
  <si>
    <t>Transcription factor 21 OS=Homo sapiens GN=TCF21 PE=2 SV=2</t>
  </si>
  <si>
    <t>SYIAHLRQI</t>
  </si>
  <si>
    <t>SYELPDGQVITIGNER</t>
  </si>
  <si>
    <t>Deamidated(Q)@8</t>
  </si>
  <si>
    <t>SYAEVMRLV</t>
  </si>
  <si>
    <t>sp|O43681|ASNA_HUMAN</t>
  </si>
  <si>
    <t>ATPase ASNA1 OS=Homo sapiens GN=ASNA1 PE=1 SV=2</t>
  </si>
  <si>
    <t>SYAEALREV</t>
  </si>
  <si>
    <t>Acetyl@N-term</t>
  </si>
  <si>
    <t>SVIDHIHLI</t>
  </si>
  <si>
    <t>SVFPGARLL</t>
  </si>
  <si>
    <t>sp|Q8N511|TM199_HUMAN</t>
  </si>
  <si>
    <t>Transmembrane protein 199 OS=Homo sapiens GN=TMEM199 PE=1 SV=1</t>
  </si>
  <si>
    <t>Oxidation(M)@17</t>
  </si>
  <si>
    <t>SSMDPAMLERLL</t>
  </si>
  <si>
    <t>SSADLIRHV</t>
  </si>
  <si>
    <t>sp|Q92830|KAT2A_HUMAN</t>
  </si>
  <si>
    <t>Histone acetyltransferase KAT2A OS=Homo sapiens GN=KAT2A PE=1 SV=3</t>
  </si>
  <si>
    <t>SRYPNGHFV</t>
  </si>
  <si>
    <t>sp|Q14213|IL27B_HUMAN</t>
  </si>
  <si>
    <t>Interleukin-27 subunit beta OS=Homo sapiens GN=EBI3 PE=1 SV=2</t>
  </si>
  <si>
    <t>SRSEYLNRL</t>
  </si>
  <si>
    <t>SRHWPPVYV</t>
  </si>
  <si>
    <t>sp|Q8TCT0|CERK1_HUMAN</t>
  </si>
  <si>
    <t>Ceramide kinase OS=Homo sapiens GN=CERK PE=1 SV=1</t>
  </si>
  <si>
    <t>SRADLIKQY</t>
  </si>
  <si>
    <t>sp|Q86SG2|ANR23_HUMAN</t>
  </si>
  <si>
    <t>Ankyrin repeat domain-containing protein 23 OS=Homo sapiens GN=ANKRD23 PE=1 SV=1</t>
  </si>
  <si>
    <t>SQAQVEPVGL</t>
  </si>
  <si>
    <t>SPAKQQAPPVRNL</t>
  </si>
  <si>
    <t>SNSELIRLI</t>
  </si>
  <si>
    <t>sp|O95905|SGT1_HUMAN</t>
  </si>
  <si>
    <t>Protein SGT1 OS=Homo sapiens GN=ECD PE=1 SV=1</t>
  </si>
  <si>
    <t>SMKAFISKV</t>
  </si>
  <si>
    <t>Oxidation(M)@2</t>
  </si>
  <si>
    <t>sp|Q8WUM0|NU133_HUMAN</t>
  </si>
  <si>
    <t>Nuclear pore complex protein Nup133 OS=Homo sapiens GN=NUP133 PE=1 SV=2</t>
  </si>
  <si>
    <t>SGSQLIRLI</t>
  </si>
  <si>
    <t>sp|Q3B7T1|EDRF1_HUMAN</t>
  </si>
  <si>
    <t>Erythroid differentiation-related factor 1 OS=Homo sapiens GN=EDRF1 PE=1 SV=1</t>
  </si>
  <si>
    <t>SGSDIVKLY</t>
  </si>
  <si>
    <t>sp|P35527|K1C9_HUMAN</t>
  </si>
  <si>
    <t>Keratin, type I cytoskeletal 9 OS=Homo sapiens GN=KRT9 PE=1 SV=3</t>
  </si>
  <si>
    <t>sp|Q9BZQ8|NIBAN_HUMAN</t>
  </si>
  <si>
    <t>Protein Niban OS=Homo sapiens GN=FAM129A PE=1 SV=1</t>
  </si>
  <si>
    <t>sp|P16403|H12_HUMAN</t>
  </si>
  <si>
    <t>Histone H1.2 OS=Homo sapiens GN=HIST1H1C PE=1 SV=2</t>
  </si>
  <si>
    <t>SAYGSVKAY</t>
  </si>
  <si>
    <t>sp|Q8ND56|LS14A_HUMAN</t>
  </si>
  <si>
    <t>Protein LSM14 homolog A OS=Homo sapiens GN=LSM14A PE=1 SV=3</t>
  </si>
  <si>
    <t>sp|Q9UEE5|ST17A_HUMAN</t>
  </si>
  <si>
    <t>Serine/threonine-protein kinase 17A OS=Homo sapiens GN=STK17A PE=1 SV=2</t>
  </si>
  <si>
    <t>SAVDFIRTLL</t>
  </si>
  <si>
    <t>SAVDFIRTL</t>
  </si>
  <si>
    <t>sp|Q6P2E9|EDC4_HUMAN</t>
  </si>
  <si>
    <t>Enhancer of mRNA-decapping protein 4 OS=Homo sapiens GN=EDC4 PE=1 SV=1</t>
  </si>
  <si>
    <t>SAMVRVISV</t>
  </si>
  <si>
    <t>SALSHVRKI</t>
  </si>
  <si>
    <t>SAKTSPAKQQAPPVRNL</t>
  </si>
  <si>
    <t>SAKGFPSFI</t>
  </si>
  <si>
    <t>sp|P41226|UBA7_HUMAN</t>
  </si>
  <si>
    <t>Ubiquitin-like modifier-activating enzyme 7 OS=Homo sapiens GN=UBA7 PE=1 SV=2</t>
  </si>
  <si>
    <t>SAFRHSYL</t>
  </si>
  <si>
    <t>SAFPEVRSL</t>
  </si>
  <si>
    <t>Oxidation(M)@16</t>
  </si>
  <si>
    <t>Oxidation(M)@5; Oxidation(M)@9</t>
  </si>
  <si>
    <t>sp|O15067|PUR4_HUMAN</t>
  </si>
  <si>
    <t>Phosphoribosylformylglycinamidine synthase OS=Homo sapiens GN=PFAS PE=1 SV=4</t>
  </si>
  <si>
    <t>RLPAVASKRYL</t>
  </si>
  <si>
    <t>RKYEKPQEL</t>
  </si>
  <si>
    <t>sp|P45974|UBP5_HUMAN</t>
  </si>
  <si>
    <t>Ubiquitin carboxyl-terminal hydrolase 5 OS=Homo sapiens GN=USP5 PE=1 SV=2</t>
  </si>
  <si>
    <t>Deamidated(Q)@9</t>
  </si>
  <si>
    <t>sp|Q08211|DHX9_HUMAN</t>
  </si>
  <si>
    <t>ATP-dependent RNA helicase A OS=Homo sapiens GN=DHX9 PE=1 SV=4</t>
  </si>
  <si>
    <t>QYSNNIRQL</t>
  </si>
  <si>
    <t>Gln-&gt;pyro-Glu@N-term</t>
  </si>
  <si>
    <t>sp|Q92619|HMHA1_HUMAN</t>
  </si>
  <si>
    <t>Minor histocompatibility protein HA-1 OS=Homo sapiens GN=HMHA1 PE=1 SV=2</t>
  </si>
  <si>
    <t>QYASHVRQL</t>
  </si>
  <si>
    <t>sp|Q13283|G3BP1_HUMAN</t>
  </si>
  <si>
    <t>Ras GTPase-activating protein-binding protein 1 OS=Homo sapiens GN=G3BP1 PE=1 SV=1</t>
  </si>
  <si>
    <t>QSTDIIRYL</t>
  </si>
  <si>
    <t>sp|Q6PIJ6|FBX38_HUMAN</t>
  </si>
  <si>
    <t>F-box only protein 38 OS=Homo sapiens GN=FBXO38 PE=1 SV=3</t>
  </si>
  <si>
    <t>QSPDFVRTV</t>
  </si>
  <si>
    <t>sp|P20930|FILA_HUMAN</t>
  </si>
  <si>
    <t>Filaggrin OS=Homo sapiens GN=FLG PE=1 SV=3</t>
  </si>
  <si>
    <t>sp|P49915|GUAA_HUMAN</t>
  </si>
  <si>
    <t>GMP synthase [glutamine-hydrolyzing] OS=Homo sapiens GN=GMPS PE=1 SV=1</t>
  </si>
  <si>
    <t>QRSVVIRTF</t>
  </si>
  <si>
    <t>sp|Q9H1D9|RPC6_HUMAN</t>
  </si>
  <si>
    <t>DNA-directed RNA polymerase III subunit RPC6 OS=Homo sapiens GN=POLR3F PE=1 SV=1</t>
  </si>
  <si>
    <t>QRAVAINRL</t>
  </si>
  <si>
    <t>sp|Q92538|GBF1_HUMAN</t>
  </si>
  <si>
    <t>Golgi-specific brefeldin A-resistance guanine nucleotide exchange factor 1 OS=Homo sapiens GN=GBF1 PE=1 SV=2</t>
  </si>
  <si>
    <t>QRALLVHDL</t>
  </si>
  <si>
    <t>sp|Q13085|ACACA_HUMAN</t>
  </si>
  <si>
    <t>Acetyl-CoA carboxylase 1 OS=Homo sapiens GN=ACACA PE=1 SV=2</t>
  </si>
  <si>
    <t>QRAEVIRIL</t>
  </si>
  <si>
    <t>sp|O14686|KMT2D_HUMAN</t>
  </si>
  <si>
    <t>Histone-lysine N-methyltransferase 2D OS=Homo sapiens GN=KMT2D PE=1 SV=2</t>
  </si>
  <si>
    <t>QQQHPGALGPQGPHRQV</t>
  </si>
  <si>
    <t>sp|Q8IX12|CCAR1_HUMAN</t>
  </si>
  <si>
    <t>Cell division cycle and apoptosis regulator protein 1 OS=Homo sapiens GN=CCAR1 PE=1 SV=2</t>
  </si>
  <si>
    <t>sp|P42568|AF9_HUMAN</t>
  </si>
  <si>
    <t>Protein AF-9 OS=Homo sapiens GN=MLLT3 PE=1 SV=2</t>
  </si>
  <si>
    <t>QQGPLRSI</t>
  </si>
  <si>
    <t>QPQQKAGLLQPPVRIV</t>
  </si>
  <si>
    <t>sp|P13598|ICAM2_HUMAN</t>
  </si>
  <si>
    <t>Intercellular adhesion molecule 2 OS=Homo sapiens GN=ICAM2 PE=1 SV=2</t>
  </si>
  <si>
    <t>sp|Q68D10|SPT2_HUMAN</t>
  </si>
  <si>
    <t>Protein SPT2 homolog OS=Homo sapiens GN=SPTY2D1 PE=1 SV=3</t>
  </si>
  <si>
    <t>QNGSSSSGPERSI</t>
  </si>
  <si>
    <t>sp|Q96RQ9|OXLA_HUMAN</t>
  </si>
  <si>
    <t>L-amino-acid oxidase OS=Homo sapiens GN=IL4I1 PE=1 SV=1</t>
  </si>
  <si>
    <t>sp|P25205|MCM3_HUMAN</t>
  </si>
  <si>
    <t>DNA replication licensing factor MCM3 OS=Homo sapiens GN=MCM3 PE=1 SV=3</t>
  </si>
  <si>
    <t>QAPNFSRLL</t>
  </si>
  <si>
    <t>QALPWVRYI</t>
  </si>
  <si>
    <t>Deamidated(N)@8</t>
  </si>
  <si>
    <t>PPMPPPPPP</t>
  </si>
  <si>
    <t>sp|P21333|FLNA_HUMAN</t>
  </si>
  <si>
    <t>Filamin-A OS=Homo sapiens GN=FLNA PE=1 SV=4</t>
  </si>
  <si>
    <t>sp|P04921|GLPC_HUMAN</t>
  </si>
  <si>
    <t>Glycophorin-C OS=Homo sapiens GN=GYPC PE=1 SV=1</t>
  </si>
  <si>
    <t>PALQDAGDSSRKEYFI</t>
  </si>
  <si>
    <t>NYRWWPAEV</t>
  </si>
  <si>
    <t>NYIDKVRFL</t>
  </si>
  <si>
    <t>sp|Q6P587|FAHD1_HUMAN</t>
  </si>
  <si>
    <t>Acylpyruvase FAHD1, mitochondrial OS=Homo sapiens GN=FAHD1 PE=1 SV=2</t>
  </si>
  <si>
    <t>NYADHVREM</t>
  </si>
  <si>
    <t>sp|Q92621|NU205_HUMAN</t>
  </si>
  <si>
    <t>Nuclear pore complex protein Nup205 OS=Homo sapiens GN=NUP205 PE=1 SV=3</t>
  </si>
  <si>
    <t>NVVNIARYL</t>
  </si>
  <si>
    <t>sp|P13645|K1C10_HUMAN</t>
  </si>
  <si>
    <t>Keratin, type I cytoskeletal 10 OS=Homo sapiens GN=KRT10 PE=1 SV=6</t>
  </si>
  <si>
    <t>sp|P08865|RSSA_HUMAN</t>
  </si>
  <si>
    <t>40S ribosomal protein SA OS=Homo sapiens GN=RPSA PE=1 SV=4</t>
  </si>
  <si>
    <t>NRYDGIYKV</t>
  </si>
  <si>
    <t>sp|Q15386|UBE3C_HUMAN</t>
  </si>
  <si>
    <t>Ubiquitin-protein ligase E3C OS=Homo sapiens GN=UBE3C PE=1 SV=3</t>
  </si>
  <si>
    <t>NRIAYIHLV</t>
  </si>
  <si>
    <t>NRFKGVKYF</t>
  </si>
  <si>
    <t>sp|Q99805|TM9S2_HUMAN</t>
  </si>
  <si>
    <t>Transmembrane 9 superfamily member 2 OS=Homo sapiens GN=TM9SF2 PE=1 SV=1</t>
  </si>
  <si>
    <t>sp|Q8TDX7|NEK7_HUMAN</t>
  </si>
  <si>
    <t>Serine/threonine-protein kinase Nek7 OS=Homo sapiens GN=NEK7 PE=1 SV=1</t>
  </si>
  <si>
    <t>NHPNVIKYY</t>
  </si>
  <si>
    <t>Formin-like protein 1 OS=Homo sapiens GN=FMNL1 PE=1 SV=3</t>
  </si>
  <si>
    <t>NHIGWVQEF</t>
  </si>
  <si>
    <t>NGSYNDYVREF</t>
  </si>
  <si>
    <t>NATAVVRHM</t>
  </si>
  <si>
    <t>sp|Q8IU85|KCC1D_HUMAN; sp|Q14012|KCC1A_HUMAN</t>
  </si>
  <si>
    <t>Calcium/calmodulin-dependent protein kinase type 1D OS=Homo sapiens GN=CAMK1D PE=1 SV=1; Calcium/calmodulin-dependent protein kinase type 1 OS=Homo sapiens GN=CAMK1 PE=1 SV=1</t>
  </si>
  <si>
    <t>sp|Q9NUQ2|PLCE_HUMAN</t>
  </si>
  <si>
    <t>1-acyl-sn-glycerol-3-phosphate acyltransferase epsilon OS=Homo sapiens GN=AGPAT5 PE=1 SV=3</t>
  </si>
  <si>
    <t>NALGHVRYV</t>
  </si>
  <si>
    <t>Oxidation(M)@1</t>
  </si>
  <si>
    <t>Deamidated(Q)@4</t>
  </si>
  <si>
    <t>MSVGHLRLL</t>
  </si>
  <si>
    <t>MQIELARYI</t>
  </si>
  <si>
    <t>sp|Q9BSJ8|ESYT1_HUMAN</t>
  </si>
  <si>
    <t>Extended synaptotagmin-1 OS=Homo sapiens GN=ESYT1 PE=1 SV=1</t>
  </si>
  <si>
    <t>sp|P50395|GDIB_HUMAN; sp|P31150|GDIA_HUMAN</t>
  </si>
  <si>
    <t>Rab GDP dissociation inhibitor beta OS=Homo sapiens GN=GDI2 PE=1 SV=2; Rab GDP dissociation inhibitor alpha OS=Homo sapiens GN=GDI1 PE=1 SV=2</t>
  </si>
  <si>
    <t>LYTEVTRYL</t>
  </si>
  <si>
    <t>sp|P31689|DNJA1_HUMAN</t>
  </si>
  <si>
    <t>DnaJ homolog subfamily A member 1 OS=Homo sapiens GN=DNAJA1 PE=1 SV=2</t>
  </si>
  <si>
    <t>LYNGATRKL</t>
  </si>
  <si>
    <t>LYHNHQRTV</t>
  </si>
  <si>
    <t>Deamidated(N)@6</t>
  </si>
  <si>
    <t>sp|A6NHT5|HMX3_HUMAN</t>
  </si>
  <si>
    <t>LTFPHPVYY</t>
  </si>
  <si>
    <t>LTFKLVRKI</t>
  </si>
  <si>
    <t>sp|P54289|CA2D1_HUMAN</t>
  </si>
  <si>
    <t>Voltage-dependent calcium channel subunit alpha-2/delta-1 OS=Homo sapiens GN=CACNA2D1 PE=1 SV=3</t>
  </si>
  <si>
    <t>LSFMNPRLL</t>
  </si>
  <si>
    <t>Oxidation(M)@4</t>
  </si>
  <si>
    <t>sp|Q09472|EP300_HUMAN</t>
  </si>
  <si>
    <t>Histone acetyltransferase p300 OS=Homo sapiens GN=EP300 PE=1 SV=2</t>
  </si>
  <si>
    <t>LRNHLVHKL</t>
  </si>
  <si>
    <t>LRHNKLREI</t>
  </si>
  <si>
    <t>LRFPGQLNADL</t>
  </si>
  <si>
    <t>Deamidated(Q)@6</t>
  </si>
  <si>
    <t>LIYEGVKYV</t>
  </si>
  <si>
    <t>sp|P22626|ROA2_HUMAN</t>
  </si>
  <si>
    <t>Heterogeneous nuclear ribonucleoproteins A2/B1 OS=Homo sapiens GN=HNRNPA2B1 PE=1 SV=2</t>
  </si>
  <si>
    <t>LAVNLTRVL</t>
  </si>
  <si>
    <t>sp|Q86YV0|RASL3_HUMAN</t>
  </si>
  <si>
    <t>RAS protein activator like-3 OS=Homo sapiens GN=RASAL3 PE=1 SV=2</t>
  </si>
  <si>
    <t>LAAAMVRVL</t>
  </si>
  <si>
    <t>KTSPAKQQAPPVRNL</t>
  </si>
  <si>
    <t>sp|P61586|RHOA_HUMAN</t>
  </si>
  <si>
    <t>Transforming protein RhoA OS=Homo sapiens GN=RHOA PE=1 SV=1</t>
  </si>
  <si>
    <t>KTKDGVREV</t>
  </si>
  <si>
    <t>KSKEFVQKV</t>
  </si>
  <si>
    <t>KRNDYVHAL</t>
  </si>
  <si>
    <t>sp|P23396|RS3_HUMAN</t>
  </si>
  <si>
    <t>40S ribosomal protein S3 OS=Homo sapiens GN=RPS3 PE=1 SV=2</t>
  </si>
  <si>
    <t>Oxidation(M)@12</t>
  </si>
  <si>
    <t>KLASYVKFY</t>
  </si>
  <si>
    <t>KAYDVEREL</t>
  </si>
  <si>
    <t>IYVDKVKHV</t>
  </si>
  <si>
    <t>Formyl(K)@7</t>
  </si>
  <si>
    <t>IYQSKVREL</t>
  </si>
  <si>
    <t>ISAELIRSL</t>
  </si>
  <si>
    <t>sp|Q9UN86|G3BP2_HUMAN</t>
  </si>
  <si>
    <t>Ras GTPase-activating protein-binding protein 2 OS=Homo sapiens GN=G3BP2 PE=1 SV=2</t>
  </si>
  <si>
    <t>IRYPDSHQL</t>
  </si>
  <si>
    <t>sp|P49591|SYSC_HUMAN</t>
  </si>
  <si>
    <t>Serine--tRNA ligase, cytoplasmic OS=Homo sapiens GN=SARS PE=1 SV=3</t>
  </si>
  <si>
    <t>IRYGQTKKM</t>
  </si>
  <si>
    <t>sp|P07900|HS90A_HUMAN; sp|P08238|HS90B_HUMAN</t>
  </si>
  <si>
    <t>Heat shock protein HSP 90-alpha OS=Homo sapiens GN=HSP90AA1 PE=1 SV=5; Heat shock protein HSP 90-beta OS=Homo sapiens GN=HSP90AB1 PE=1 SV=4</t>
  </si>
  <si>
    <t>IRSSHIKYI</t>
  </si>
  <si>
    <t>IRPDIVNFVH</t>
  </si>
  <si>
    <t>IRPDIVNFV</t>
  </si>
  <si>
    <t>IRHPNIITL</t>
  </si>
  <si>
    <t>IRHPHIVQL</t>
  </si>
  <si>
    <t>IRAEVFNALDDDREP</t>
  </si>
  <si>
    <t>sp|P06744|G6PI_HUMAN</t>
  </si>
  <si>
    <t>Glucose-6-phosphate isomerase OS=Homo sapiens GN=GPI PE=1 SV=4</t>
  </si>
  <si>
    <t>sp|Q9NS25|SPNXB_HUMAN</t>
  </si>
  <si>
    <t>sp|Q96RU3|FNBP1_HUMAN</t>
  </si>
  <si>
    <t>Formin-binding protein 1 OS=Homo sapiens GN=FNBP1 PE=1 SV=2</t>
  </si>
  <si>
    <t>IIVDLARYV</t>
  </si>
  <si>
    <t>sp|Q93008|USP9X_HUMAN; sp|O00507|USP9Y_HUMAN</t>
  </si>
  <si>
    <t>Probable ubiquitin carboxyl-terminal hydrolase FAF-X OS=Homo sapiens GN=USP9X PE=1 SV=3; Probable ubiquitin carboxyl-terminal hydrolase FAF-Y OS=Homo sapiens GN=USP9Y PE=2 SV=2</t>
  </si>
  <si>
    <t>IGYGHVRAV</t>
  </si>
  <si>
    <t>sp|P13639|EF2_HUMAN</t>
  </si>
  <si>
    <t>Elongation factor 2 OS=Homo sapiens GN=EEF2 PE=1 SV=4</t>
  </si>
  <si>
    <t>sp|Q14643|ITPR1_HUMAN</t>
  </si>
  <si>
    <t>Inositol 1,4,5-trisphosphate receptor type 1 OS=Homo sapiens GN=ITPR1 PE=1 SV=3</t>
  </si>
  <si>
    <t>IASTILRLI</t>
  </si>
  <si>
    <t>HYNNQIRTL</t>
  </si>
  <si>
    <t>HYIDVARLL</t>
  </si>
  <si>
    <t>sp|Q9H0S4|DDX47_HUMAN</t>
  </si>
  <si>
    <t>Probable ATP-dependent RNA helicase DDX47 OS=Homo sapiens GN=DDX47 PE=1 SV=1</t>
  </si>
  <si>
    <t>HSKDYIHRV</t>
  </si>
  <si>
    <t>HRNIHYNSV</t>
  </si>
  <si>
    <t>HRIKKTVQV</t>
  </si>
  <si>
    <t>HRHPHVVYL</t>
  </si>
  <si>
    <t>HRHPDAFYL</t>
  </si>
  <si>
    <t>HRAVFPIYL</t>
  </si>
  <si>
    <t>HPGALGPQGPHRQV</t>
  </si>
  <si>
    <t>sp|Q8IUD6|RN135_HUMAN</t>
  </si>
  <si>
    <t>E3 ubiquitin-protein ligase RNF135 OS=Homo sapiens GN=RNF135 PE=1 SV=2</t>
  </si>
  <si>
    <t>HLVDIVRSL</t>
  </si>
  <si>
    <t>HLPDFVKQL</t>
  </si>
  <si>
    <t>HLNSHVRQV</t>
  </si>
  <si>
    <t>HAGPIRVV</t>
  </si>
  <si>
    <t>sp|Q9Y3T9|NOC2L_HUMAN</t>
  </si>
  <si>
    <t>Nucleolar complex protein 2 homolog OS=Homo sapiens GN=NOC2L PE=1 SV=4</t>
  </si>
  <si>
    <t>HAFLYIRQL</t>
  </si>
  <si>
    <t>sp|Q8WUM4|PDC6I_HUMAN</t>
  </si>
  <si>
    <t>Programmed cell death 6-interacting protein OS=Homo sapiens GN=PDCD6IP PE=1 SV=1</t>
  </si>
  <si>
    <t>HAAELIKTV</t>
  </si>
  <si>
    <t>GVVDSEDLPLNISR</t>
  </si>
  <si>
    <t>sp|Q86YZ3|HORN_HUMAN; sp|Q86YZ3|HORN_HUMAN; sp|Q86YZ3|HORN_HUMAN</t>
  </si>
  <si>
    <t>Hornerin OS=Homo sapiens GN=HRNR PE=1 SV=2; Hornerin OS=Homo sapiens GN=HRNR PE=1 SV=2; Hornerin OS=Homo sapiens GN=HRNR PE=1 SV=2</t>
  </si>
  <si>
    <t>GSGSGWSSSRGPY</t>
  </si>
  <si>
    <t>Trp-&gt;Kynurenin(W)@6</t>
  </si>
  <si>
    <t>sp|P04264|K2C1_HUMAN</t>
  </si>
  <si>
    <t>Keratin, type II cytoskeletal 1 OS=Homo sapiens GN=KRT1 PE=1 SV=6</t>
  </si>
  <si>
    <t>GSGGGSYGSGGGGGGHGSY</t>
  </si>
  <si>
    <t>sp|P02810|PRPC_HUMAN</t>
  </si>
  <si>
    <t>Salivary acidic proline-rich phosphoprotein 1/2 OS=Homo sapiens GN=PRH1 PE=1 SV=2</t>
  </si>
  <si>
    <t>GRPQGPPQQGGHQQ</t>
  </si>
  <si>
    <t>GRADALRVL</t>
  </si>
  <si>
    <t>sp|Q03014|HHEX_HUMAN</t>
  </si>
  <si>
    <t>Hematopoietically-expressed homeobox protein HHEX OS=Homo sapiens GN=HHEX PE=1 SV=1</t>
  </si>
  <si>
    <t>GPGGFGGPLYPFPRTV</t>
  </si>
  <si>
    <t>GNPTVEVDLFTSK</t>
  </si>
  <si>
    <t>sp|Q15063|POSTN_HUMAN</t>
  </si>
  <si>
    <t>Periostin OS=Homo sapiens GN=POSTN PE=1 SV=2</t>
  </si>
  <si>
    <t>GGDSSSGPQRLV</t>
  </si>
  <si>
    <t>sp|P09651|ROA1_HUMAN</t>
  </si>
  <si>
    <t>Heterogeneous nuclear ribonucleoprotein A1 OS=Homo sapiens GN=HNRNPA1 PE=1 SV=5</t>
  </si>
  <si>
    <t>GAFGEVRLV</t>
  </si>
  <si>
    <t>sp|P33897|ABCD1_HUMAN; sp|Q9UBJ2|ABCD2_HUMAN</t>
  </si>
  <si>
    <t>ATP-binding cassette sub-family D member 1 OS=Homo sapiens GN=ABCD1 PE=1 SV=2; ATP-binding cassette sub-family D member 2 OS=Homo sapiens GN=ABCD2 PE=1 SV=1</t>
  </si>
  <si>
    <t>FYIPQRPYM</t>
  </si>
  <si>
    <t>sp|Q9NY61|AATF_HUMAN</t>
  </si>
  <si>
    <t>Protein AATF OS=Homo sapiens GN=AATF PE=1 SV=1</t>
  </si>
  <si>
    <t>FYHQLLREL</t>
  </si>
  <si>
    <t>sp|P78527|PRKDC_HUMAN</t>
  </si>
  <si>
    <t>DNA-dependent protein kinase catalytic subunit OS=Homo sapiens GN=PRKDC PE=1 SV=3</t>
  </si>
  <si>
    <t>FYGIIRNV</t>
  </si>
  <si>
    <t>FYAQQLRKL</t>
  </si>
  <si>
    <t>sp|O95219|SNX4_HUMAN</t>
  </si>
  <si>
    <t>Sorting nexin-4 OS=Homo sapiens GN=SNX4 PE=1 SV=1</t>
  </si>
  <si>
    <t>FYAEALRAV</t>
  </si>
  <si>
    <t>FVVDHVIKI</t>
  </si>
  <si>
    <t>FVTGIARYI</t>
  </si>
  <si>
    <t>sp|Q9BYN8|RT26_HUMAN</t>
  </si>
  <si>
    <t>28S ribosomal protein S26, mitochondrial OS=Homo sapiens GN=MRPS26 PE=1 SV=1</t>
  </si>
  <si>
    <t>FVSEVQRKV</t>
  </si>
  <si>
    <t>FVNSAIRYL</t>
  </si>
  <si>
    <t>FVADLQRVI</t>
  </si>
  <si>
    <t>FTVDQIRAI</t>
  </si>
  <si>
    <t>sp|P11309|PIM1_HUMAN</t>
  </si>
  <si>
    <t>Serine/threonine-protein kinase pim-1 OS=Homo sapiens GN=PIM1 PE=1 SV=3</t>
  </si>
  <si>
    <t>sp|Q9Y4G2|PKHM1_HUMAN; sp|Q69YJ1|PKHMP_HUMAN</t>
  </si>
  <si>
    <t>Pleckstrin homology domain-containing family M member 1 OS=Homo sapiens GN=PLEKHM1 PE=1 SV=3; Putative pleckstrin homology domain-containing family M member 1P OS=Homo sapiens GN=PLEKHM1P PE=5 SV=1</t>
  </si>
  <si>
    <t>FSFVRPKL</t>
  </si>
  <si>
    <t>FSFQRPLLV</t>
  </si>
  <si>
    <t>sp|Q02880|TOP2B_HUMAN</t>
  </si>
  <si>
    <t>DNA topoisomerase 2-beta OS=Homo sapiens GN=TOP2B PE=1 SV=3</t>
  </si>
  <si>
    <t>FRSFVVSKF</t>
  </si>
  <si>
    <t>FRSEDIKRL</t>
  </si>
  <si>
    <t>sp|Q8TF20|ZN721_HUMAN; sp|Q8TF20|ZN721_HUMAN</t>
  </si>
  <si>
    <t>Zinc finger protein 721 OS=Homo sapiens GN=ZNF721 PE=2 SV=2; Zinc finger protein 721 OS=Homo sapiens GN=ZNF721 PE=2 SV=2</t>
  </si>
  <si>
    <t>FRQSAILYV</t>
  </si>
  <si>
    <t>sp|Q99442|SEC62_HUMAN</t>
  </si>
  <si>
    <t>Translocation protein SEC62 OS=Homo sapiens GN=SEC62 PE=1 SV=1</t>
  </si>
  <si>
    <t>FRPLYTHEY</t>
  </si>
  <si>
    <t>sp|P25786|PSA1_HUMAN</t>
  </si>
  <si>
    <t>Proteasome subunit alpha type-1 OS=Homo sapiens GN=PSMA1 PE=1 SV=1</t>
  </si>
  <si>
    <t>FRNPDENSRGMLP</t>
  </si>
  <si>
    <t>sp|P16150|LEUK_HUMAN</t>
  </si>
  <si>
    <t>Leukosialin OS=Homo sapiens GN=SPN PE=1 SV=1</t>
  </si>
  <si>
    <t>Oxidation(M)@11</t>
  </si>
  <si>
    <t>Deamidated(N)@3</t>
  </si>
  <si>
    <t>FRMPVLREY</t>
  </si>
  <si>
    <t>sp|P13473|LAMP2_HUMAN</t>
  </si>
  <si>
    <t>Lysosome-associated membrane glycoprotein 2 OS=Homo sapiens GN=LAMP2 PE=1 SV=2</t>
  </si>
  <si>
    <t>FRLFPVPGSGLV</t>
  </si>
  <si>
    <t>FRIEYEPLV</t>
  </si>
  <si>
    <t>sp|P07954|FUMH_HUMAN</t>
  </si>
  <si>
    <t>Fumarate hydratase, mitochondrial OS=Homo sapiens GN=FH PE=1 SV=3</t>
  </si>
  <si>
    <t>sp|P12270|TPR_HUMAN</t>
  </si>
  <si>
    <t>Nucleoprotein TPR OS=Homo sapiens GN=TPR PE=1 SV=3</t>
  </si>
  <si>
    <t>FRFEPSSQMIEV</t>
  </si>
  <si>
    <t>sp|P46531|NOTC1_HUMAN</t>
  </si>
  <si>
    <t>Neurogenic locus notch homolog protein 1 OS=Homo sapiens GN=NOTCH1 PE=1 SV=4</t>
  </si>
  <si>
    <t>Deamidated(R)@2</t>
  </si>
  <si>
    <t>FRFEEPVVLPDLDD</t>
  </si>
  <si>
    <t>FQYPDTRYL</t>
  </si>
  <si>
    <t>FQYESKVFY</t>
  </si>
  <si>
    <t>Sodium/potassium-transporting ATPase subunit beta-3 OS=Homo sapiens GN=ATP1B3 PE=1 SV=1</t>
  </si>
  <si>
    <t>sp|Q9BS26|ERP44_HUMAN</t>
  </si>
  <si>
    <t>Endoplasmic reticulum resident protein 44 OS=Homo sapiens GN=ERP44 PE=1 SV=1</t>
  </si>
  <si>
    <t>FQNEVARQL</t>
  </si>
  <si>
    <t>Oxidation(M)@10</t>
  </si>
  <si>
    <t>FLFDRPMHV</t>
  </si>
  <si>
    <t>sp|Q9NZJ4|SACS_HUMAN</t>
  </si>
  <si>
    <t>Sacsin OS=Homo sapiens GN=SACS PE=1 SV=2</t>
  </si>
  <si>
    <t>FLADIVQKL</t>
  </si>
  <si>
    <t>FKSHLIRLI</t>
  </si>
  <si>
    <t>sp|P32119|PRDX2_HUMAN</t>
  </si>
  <si>
    <t>Peroxiredoxin-2 OS=Homo sapiens GN=PRDX2 PE=1 SV=5</t>
  </si>
  <si>
    <t>FHYPGVQNL</t>
  </si>
  <si>
    <t>sp|Q9HAY2|MAGF1_HUMAN</t>
  </si>
  <si>
    <t>Melanoma-associated antigen F1 OS=Homo sapiens GN=MAGEF1 PE=1 SV=2</t>
  </si>
  <si>
    <t>FGYPKRLIM</t>
  </si>
  <si>
    <t>FGYIHAIKL</t>
  </si>
  <si>
    <t>sp|P15260|INGR1_HUMAN</t>
  </si>
  <si>
    <t>Interferon gamma receptor 1 OS=Homo sapiens GN=IFNGR1 PE=1 SV=1</t>
  </si>
  <si>
    <t>FGYDKPHVL</t>
  </si>
  <si>
    <t>sp|P06756|ITAV_HUMAN</t>
  </si>
  <si>
    <t>Integrin alpha-V OS=Homo sapiens GN=ITGAV PE=1 SV=2</t>
  </si>
  <si>
    <t>FGVDRAILY</t>
  </si>
  <si>
    <t>sp|Q9H1A4|APC1_HUMAN</t>
  </si>
  <si>
    <t>Anaphase-promoting complex subunit 1 OS=Homo sapiens GN=ANAPC1 PE=1 SV=1</t>
  </si>
  <si>
    <t>FGSSRVQYV</t>
  </si>
  <si>
    <t>FGFHKPKMY</t>
  </si>
  <si>
    <t>FFYNAIKSY</t>
  </si>
  <si>
    <t>FAYPAIRYLL</t>
  </si>
  <si>
    <t>FAYPAIRYL</t>
  </si>
  <si>
    <t>sp|Q8N6L1|KTAP2_HUMAN</t>
  </si>
  <si>
    <t>Keratinocyte-associated protein 2 OS=Homo sapiens GN=KRTCAP2 PE=1 SV=2</t>
  </si>
  <si>
    <t>FASGLIHRV</t>
  </si>
  <si>
    <t>sp|O43353|RIPK2_HUMAN</t>
  </si>
  <si>
    <t>Receptor-interacting serine/threonine-protein kinase 2 OS=Homo sapiens GN=RIPK2 PE=1 SV=2</t>
  </si>
  <si>
    <t>FAKVIVQKL</t>
  </si>
  <si>
    <t>sp|Q9Y3C8|UFC1_HUMAN</t>
  </si>
  <si>
    <t>Ubiquitin-fold modifier-conjugating enzyme 1 OS=Homo sapiens GN=UFC1 PE=1 SV=3</t>
  </si>
  <si>
    <t>EYQSLIRYV</t>
  </si>
  <si>
    <t>Deamidated(N)@5</t>
  </si>
  <si>
    <t>sp|P53999|TCP4_HUMAN</t>
  </si>
  <si>
    <t>Activated RNA polymerase II transcriptional coactivator p15 OS=Homo sapiens GN=SUB1 PE=1 SV=3</t>
  </si>
  <si>
    <t>DLYANTVLSGGTTMYPGIADR</t>
  </si>
  <si>
    <t>sp|Q15172|2A5A_HUMAN</t>
  </si>
  <si>
    <t>Serine/threonine-protein phosphatase 2A 56 kDa regulatory subunit alpha isoform OS=Homo sapiens GN=PPP2R5A PE=1 SV=1</t>
  </si>
  <si>
    <t>AYSDIVKMI</t>
  </si>
  <si>
    <t>AVFVDLEPTVIDEVR</t>
  </si>
  <si>
    <t>ATGPVRAPV</t>
  </si>
  <si>
    <t>sp|Q9ULQ1|TPC1_HUMAN</t>
  </si>
  <si>
    <t>Two pore calcium channel protein 1 OS=Homo sapiens GN=TPCN1 PE=1 SV=3</t>
  </si>
  <si>
    <t>ASSDVTRLL</t>
  </si>
  <si>
    <t>ARTYLERHM</t>
  </si>
  <si>
    <t>sp|O14526|FCHO1_HUMAN</t>
  </si>
  <si>
    <t>FCH domain only protein 1 OS=Homo sapiens GN=FCHO1 PE=1 SV=2</t>
  </si>
  <si>
    <t>AQHDAPVKTI</t>
  </si>
  <si>
    <t>ANRGPAYGLSREV</t>
  </si>
  <si>
    <t>ALGHVRYV</t>
  </si>
  <si>
    <t>sp|P63220|RS21_HUMAN</t>
  </si>
  <si>
    <t>40S ribosomal protein S21 OS=Homo sapiens GN=RPS21 PE=1 SV=1</t>
  </si>
  <si>
    <t>AKADGIVSKNF</t>
  </si>
  <si>
    <t>sp|Q9UBJ2|ABCD2_HUMAN</t>
  </si>
  <si>
    <t>ATP-binding cassette sub-family D member 2 OS=Homo sapiens GN=ABCD2 PE=1 SV=1</t>
  </si>
  <si>
    <t>sp|Q6ZNA4|RN111_HUMAN</t>
  </si>
  <si>
    <t>E3 ubiquitin-protein ligase Arkadia OS=Homo sapiens GN=RNF111 PE=1 SV=3</t>
  </si>
  <si>
    <t>AGYPHIRYI</t>
  </si>
  <si>
    <t>AAYYLPRHL</t>
  </si>
  <si>
    <t>sp|Q13535|ATR_HUMAN</t>
  </si>
  <si>
    <t>Serine/threonine-protein kinase ATR OS=Homo sapiens GN=ATR PE=1 SV=3</t>
  </si>
  <si>
    <t>AAYTEIRAL</t>
  </si>
  <si>
    <t>sp|Q9HAT2|SIAE_HUMAN</t>
  </si>
  <si>
    <t>Sialate O-acetylesterase OS=Homo sapiens GN=SIAE PE=1 SV=1</t>
  </si>
  <si>
    <t>AAYQSVRIL</t>
  </si>
  <si>
    <t>AATDIARQV</t>
  </si>
  <si>
    <t>sp|Q5I7T1|AG10B_HUMAN; sp|Q5BKT4|AG10A_HUMAN</t>
  </si>
  <si>
    <t>Putative Dol-P-Glc:Glc(2)Man(9)GlcNAc(2)-PP-Dol alpha-1,2-glucosyltransferase OS=Homo sapiens GN=ALG10B PE=1 SV=2; Dol-P-Glc:Glc(2)Man(9)GlcNAc(2)-PP-Dol alpha-1,2-glucosyltransferase OS=Homo sapiens GN=ALG10 PE=2 SV=1</t>
  </si>
  <si>
    <t>AASSIQRVL</t>
  </si>
  <si>
    <t>sp|Q92506|DHB8_HUMAN</t>
  </si>
  <si>
    <t>Estradiol 17-beta-dehydrogenase 8 OS=Homo sapiens GN=HSD17B8 PE=1 SV=2</t>
  </si>
  <si>
    <t>AAQETVRLL</t>
  </si>
  <si>
    <t>sp|Q9NYU2|UGGG1_HUMAN</t>
  </si>
  <si>
    <t>UDP-glucose:glycoprotein glucosyltransferase 1 OS=Homo sapiens GN=UGGT1 PE=1 SV=3</t>
  </si>
  <si>
    <t>AAKNFITKM</t>
  </si>
  <si>
    <t>sp|P36871|PGM1_HUMAN</t>
  </si>
  <si>
    <t>Phosphoglucomutase-1 OS=Homo sapiens GN=PGM1 PE=1 SV=3</t>
  </si>
  <si>
    <t>sp|P42858|HD_HUMAN</t>
  </si>
  <si>
    <t>Huntingtin OS=Homo sapiens GN=HTT PE=1 SV=2</t>
  </si>
  <si>
    <t>AAASLIRLV</t>
  </si>
  <si>
    <t>sp|Q9BVJ6|UT14A_HUMAN</t>
  </si>
  <si>
    <t>U3 small nucleolar RNA-associated protein 14 homolog A OS=Homo sapiens GN=UTP14A PE=1 SV=1</t>
  </si>
  <si>
    <t>AAAHQVRVL</t>
  </si>
  <si>
    <t>sp|A2RU67|K1467_HUMAN</t>
  </si>
  <si>
    <t>Uncharacterized protein KIAA1467 OS=Homo sapiens GN=KIAA1467 PE=1 SV=1</t>
  </si>
  <si>
    <t>VGINDLWKDAFYVTR</t>
  </si>
  <si>
    <t>sp|A5D6W6|FITM1_HUMAN</t>
  </si>
  <si>
    <t>Fat storage-inducing transmembrane protein 1 OS=Homo sapiens GN=FITM1 PE=1 SV=1</t>
  </si>
  <si>
    <t>SPCLRRLYH</t>
  </si>
  <si>
    <t>sp|A5YKK6|CNOT1_HUMAN</t>
  </si>
  <si>
    <t>CCR4-NOT transcription complex subunit 1 OS=Homo sapiens GN=CNOT1 PE=1 SV=2</t>
  </si>
  <si>
    <t>YLAPFLRNV</t>
  </si>
  <si>
    <t>sp|A6NFA1|TIKI2_HUMAN</t>
  </si>
  <si>
    <t>Metalloprotease TIKI2 OS=Homo sapiens GN=TRABD2B PE=1 SV=2</t>
  </si>
  <si>
    <t>LAGPLLAAL</t>
  </si>
  <si>
    <t>Homeobox protein HMX3 OS=Homo sapiens GN=HMX3 PE=2 SV=1</t>
  </si>
  <si>
    <t>sp|A6NIH7|U119B_HUMAN</t>
  </si>
  <si>
    <t>Protein unc-119 homolog B OS=Homo sapiens GN=UNC119B PE=1 SV=1</t>
  </si>
  <si>
    <t>IRPEHVLRL</t>
  </si>
  <si>
    <t>sp|A8MXV4|NUD19_HUMAN</t>
  </si>
  <si>
    <t>Nucleoside diphosphate-linked moiety X motif 19, mitochondrial OS=Homo sapiens GN=NUDT19 PE=1 SV=1</t>
  </si>
  <si>
    <t>HRHLYDIHV</t>
  </si>
  <si>
    <t>sp|O00154|BACH_HUMAN</t>
  </si>
  <si>
    <t>Cytosolic acyl coenzyme A thioester hydrolase OS=Homo sapiens GN=ACOT7 PE=1 SV=3</t>
  </si>
  <si>
    <t>KRFEEGKGRYL</t>
  </si>
  <si>
    <t>sp|O00267|SPT5H_HUMAN</t>
  </si>
  <si>
    <t>Transcription elongation factor SPT5 OS=Homo sapiens GN=SUPT5H PE=1 SV=1</t>
  </si>
  <si>
    <t>GQTGVIRSV</t>
  </si>
  <si>
    <t>sp|O00308|WWP2_HUMAN</t>
  </si>
  <si>
    <t>NEDD4-like E3 ubiquitin-protein ligase WWP2 OS=Homo sapiens GN=WWP2 PE=1 SV=2</t>
  </si>
  <si>
    <t>VSRQTLFEDSFQ</t>
  </si>
  <si>
    <t>LPNGRVYYVDHNTK</t>
  </si>
  <si>
    <t>sp|O00308|WWP2_HUMAN; sp|Q9H0M0|WWP1_HUMAN</t>
  </si>
  <si>
    <t>NEDD4-like E3 ubiquitin-protein ligase WWP2 OS=Homo sapiens GN=WWP2 PE=1 SV=2; NEDD4-like E3 ubiquitin-protein ligase WWP1 OS=Homo sapiens GN=WWP1 PE=1 SV=1</t>
  </si>
  <si>
    <t>RQTLFEDSFQ</t>
  </si>
  <si>
    <t>sp|O00398|P2Y10_HUMAN</t>
  </si>
  <si>
    <t>Putative P2Y purinoceptor 10 OS=Homo sapiens GN=P2RY10 PE=2 SV=1</t>
  </si>
  <si>
    <t>ADLGYKQMNAVAL</t>
  </si>
  <si>
    <t>sp|O00399|DCTN6_HUMAN</t>
  </si>
  <si>
    <t>Dynactin subunit 6 OS=Homo sapiens GN=DCTN6 PE=1 SV=1</t>
  </si>
  <si>
    <t>IINAYPDNITPDTEDPEPK</t>
  </si>
  <si>
    <t>sp|O00410|IPO5_HUMAN</t>
  </si>
  <si>
    <t>Importin-5 OS=Homo sapiens GN=IPO5 PE=1 SV=4</t>
  </si>
  <si>
    <t>ALPLLVRVI</t>
  </si>
  <si>
    <t>AAAAAEQQQFY</t>
  </si>
  <si>
    <t>sp|O00461|GOLI4_HUMAN</t>
  </si>
  <si>
    <t>Golgi integral membrane protein 4 OS=Homo sapiens GN=GOLIM4 PE=1 SV=1</t>
  </si>
  <si>
    <t>KQGEDFSRTFNDHKQ</t>
  </si>
  <si>
    <t>sp|O00462|MANBA_HUMAN</t>
  </si>
  <si>
    <t>Beta-mannosidase OS=Homo sapiens GN=MANBA PE=1 SV=3</t>
  </si>
  <si>
    <t>SPTNYHFLSSPKE</t>
  </si>
  <si>
    <t>QNPNSNYFGDVHFYD</t>
  </si>
  <si>
    <t>sp|O00469|PLOD2_HUMAN</t>
  </si>
  <si>
    <t>Procollagen-lysine,2-oxoglutarate 5-dioxygenase 2 OS=Homo sapiens GN=PLOD2 PE=1 SV=2</t>
  </si>
  <si>
    <t>KEVMEHYADQDD</t>
  </si>
  <si>
    <t>sp|O00505|IMA4_HUMAN</t>
  </si>
  <si>
    <t>Importin subunit alpha-4 OS=Homo sapiens GN=KPNA3 PE=1 SV=2</t>
  </si>
  <si>
    <t>DNPVVQLSAVQAAR</t>
  </si>
  <si>
    <t>DNPVVQLSAVQAARK</t>
  </si>
  <si>
    <t>DNPVVQLSAVQAARKL</t>
  </si>
  <si>
    <t>sp|O00560|SDCB1_HUMAN</t>
  </si>
  <si>
    <t>Syntenin-1 OS=Homo sapiens GN=SDCBP PE=1 SV=1</t>
  </si>
  <si>
    <t>RPSSINYMVAPVTGND</t>
  </si>
  <si>
    <t>KVDKVIQAQTAFSANPAN</t>
  </si>
  <si>
    <t>VAVVSGAPLQGQLVARPS</t>
  </si>
  <si>
    <t>AHKVLKQAFGEKITM</t>
  </si>
  <si>
    <t>sp|O00567|NOP56_HUMAN</t>
  </si>
  <si>
    <t>Nucleolar protein 56 OS=Homo sapiens GN=NOP56 PE=1 SV=4</t>
  </si>
  <si>
    <t>YHFPELVKI</t>
  </si>
  <si>
    <t>AAAEITRKL</t>
  </si>
  <si>
    <t>sp|O00571|DDX3X_HUMAN</t>
  </si>
  <si>
    <t>ATP-dependent RNA helicase DDX3X OS=Homo sapiens GN=DDX3X PE=1 SV=3</t>
  </si>
  <si>
    <t>IIKEKRDLM</t>
  </si>
  <si>
    <t>ERPSFLSQTGHGVSRGPS</t>
  </si>
  <si>
    <t>ERPSFLSQTGHGVSRGPSP</t>
  </si>
  <si>
    <t>sp|O14548|COX7R_HUMAN</t>
  </si>
  <si>
    <t>Cytochrome c oxidase subunit 7A-related protein, mitochondrial OS=Homo sapiens GN=COX7A2L PE=1 SV=2</t>
  </si>
  <si>
    <t>IALYMASQPKNK</t>
  </si>
  <si>
    <t>sp|O14561|ACPM_HUMAN</t>
  </si>
  <si>
    <t>Acyl carrier protein, mitochondrial OS=Homo sapiens GN=NDUFAB1 PE=1 SV=3</t>
  </si>
  <si>
    <t>IVDYIADKKDVYE</t>
  </si>
  <si>
    <t>sp|O14656|TOR1A_HUMAN</t>
  </si>
  <si>
    <t>Torsin-1A OS=Homo sapiens GN=TOR1A PE=1 SV=1</t>
  </si>
  <si>
    <t>TGKNFVSKI</t>
  </si>
  <si>
    <t>sp|O14662|STX16_HUMAN</t>
  </si>
  <si>
    <t>Syntaxin-16 OS=Homo sapiens GN=STX16 PE=1 SV=3</t>
  </si>
  <si>
    <t>LTDAFLLLRNNSIQN</t>
  </si>
  <si>
    <t>TDAFLLLRNNSIQ</t>
  </si>
  <si>
    <t>TDAFLLLRNNSIQN</t>
  </si>
  <si>
    <t>PGALGPQGPHRQV</t>
  </si>
  <si>
    <t>sp|O14686|KMT2D_HUMAN; sp|Q8NEZ4|KMT2C_HUMAN</t>
  </si>
  <si>
    <t>Histone-lysine N-methyltransferase 2D OS=Homo sapiens GN=KMT2D PE=1 SV=2; Histone-lysine N-methyltransferase 2C OS=Homo sapiens GN=KMT2C PE=1 SV=3</t>
  </si>
  <si>
    <t>sp|O14727|APAF_HUMAN</t>
  </si>
  <si>
    <t>Apoptotic protease-activating factor 1 OS=Homo sapiens GN=APAF1 PE=1 SV=2</t>
  </si>
  <si>
    <t>QRYHQPHTL</t>
  </si>
  <si>
    <t>sp|O14757|CHK1_HUMAN</t>
  </si>
  <si>
    <t>Serine/threonine-protein kinase Chk1 OS=Homo sapiens GN=CHEK1 PE=1 SV=2</t>
  </si>
  <si>
    <t>RYNNRERLL</t>
  </si>
  <si>
    <t>sp|O14763|TR10B_HUMAN</t>
  </si>
  <si>
    <t>Tumor necrosis factor receptor superfamily member 10B OS=Homo sapiens GN=TNFRSF10B PE=1 SV=2</t>
  </si>
  <si>
    <t>SPGESEHLLEPAEAERSQ</t>
  </si>
  <si>
    <t>sp|O14773|TPP1_HUMAN</t>
  </si>
  <si>
    <t>Tripeptidyl-peptidase 1 OS=Homo sapiens GN=TPP1 PE=1 SV=2</t>
  </si>
  <si>
    <t>VRSPHPYQL</t>
  </si>
  <si>
    <t>sp|O14818|PSA7_HUMAN</t>
  </si>
  <si>
    <t>Proteasome subunit alpha type-7 OS=Homo sapiens GN=PSMA7 PE=1 SV=1</t>
  </si>
  <si>
    <t>SPDGHLFQVEYAQEAVK</t>
  </si>
  <si>
    <t>SPDGHLFQVEYAQEAVKK</t>
  </si>
  <si>
    <t>SPDGHLFQVEYAQEAVKKG</t>
  </si>
  <si>
    <t>RDQSLKILNPEEIEKY</t>
  </si>
  <si>
    <t>REFLEKNYTDEAIET</t>
  </si>
  <si>
    <t>DPSGTYHAWKANAIGR</t>
  </si>
  <si>
    <t>Trp-&gt;Kynurenin(W)@9</t>
  </si>
  <si>
    <t>SYDRAITVFSPDGHLFQ</t>
  </si>
  <si>
    <t>SYDRAITVFSPDGHLFQVE</t>
  </si>
  <si>
    <t>sp|O14908|GIPC1_HUMAN</t>
  </si>
  <si>
    <t>PDZ domain-containing protein GIPC1 OS=Homo sapiens GN=GIPC1 PE=1 SV=2</t>
  </si>
  <si>
    <t>sp|O14929|HAT1_HUMAN</t>
  </si>
  <si>
    <t>Histone acetyltransferase type B catalytic subunit OS=Homo sapiens GN=HAT1 PE=1 SV=1</t>
  </si>
  <si>
    <t>FRVEYASKV</t>
  </si>
  <si>
    <t>sp|O14964|HGS_HUMAN</t>
  </si>
  <si>
    <t>Hepatocyte growth factor-regulated tyrosine kinase substrate OS=Homo sapiens GN=HGS PE=1 SV=1</t>
  </si>
  <si>
    <t>SPMHGVYMSQPAPAAGPYPS</t>
  </si>
  <si>
    <t>HGVYMSQPAPAAGPYPS</t>
  </si>
  <si>
    <t>sp|O15042|SR140_HUMAN</t>
  </si>
  <si>
    <t>U2 snRNP-associated SURP motif-containing protein OS=Homo sapiens GN=U2SURP PE=1 SV=2</t>
  </si>
  <si>
    <t>YRKFFETKL</t>
  </si>
  <si>
    <t>sp|O15117|FYB_HUMAN</t>
  </si>
  <si>
    <t>FYN-binding protein OS=Homo sapiens GN=FYB PE=1 SV=2</t>
  </si>
  <si>
    <t>FKYDGEIRV</t>
  </si>
  <si>
    <t>sp|O15143|ARC1B_HUMAN</t>
  </si>
  <si>
    <t>Actin-related protein 2/3 complex subunit 1B OS=Homo sapiens GN=ARPC1B PE=1 SV=3</t>
  </si>
  <si>
    <t>APNENKFAVGSGSRVIS</t>
  </si>
  <si>
    <t>sp|O15144|ARPC2_HUMAN</t>
  </si>
  <si>
    <t>Actin-related protein 2/3 complex subunit 2 OS=Homo sapiens GN=ARPC2 PE=1 SV=1</t>
  </si>
  <si>
    <t>LKFYKELQAHGADE</t>
  </si>
  <si>
    <t>ISLKFYKELQAHGADE</t>
  </si>
  <si>
    <t>sp|O15160|RPAC1_HUMAN</t>
  </si>
  <si>
    <t>DNA-directed RNA polymerases I and III subunit RPAC1 OS=Homo sapiens GN=POLR1C PE=1 SV=1</t>
  </si>
  <si>
    <t>FRNEKLKKV</t>
  </si>
  <si>
    <t>sp|O15204|ADEC1_HUMAN</t>
  </si>
  <si>
    <t>ADAM DEC1 OS=Homo sapiens GN=ADAMDEC1 PE=1 SV=2</t>
  </si>
  <si>
    <t>KGNILNEKNSVASIS</t>
  </si>
  <si>
    <t>sp|O15212|PFD6_HUMAN</t>
  </si>
  <si>
    <t>Prefoldin subunit 6 OS=Homo sapiens GN=PFDN6 PE=1 SV=1</t>
  </si>
  <si>
    <t>SNVVFKLLGPVLVKQE</t>
  </si>
  <si>
    <t>NVVFKLLGPVLVKQE</t>
  </si>
  <si>
    <t>sp|O15239|NDUA1_HUMAN</t>
  </si>
  <si>
    <t>NADH dehydrogenase [ubiquinone] 1 alpha subcomplex subunit 1 OS=Homo sapiens GN=NDUFA1 PE=1 SV=1</t>
  </si>
  <si>
    <t>HRFTNGGKEKRV</t>
  </si>
  <si>
    <t>sp|O15504|NUPL2_HUMAN</t>
  </si>
  <si>
    <t>Nucleoporin-like protein 2 OS=Homo sapiens GN=NUPL2 PE=1 SV=1</t>
  </si>
  <si>
    <t>sp|O43242|PSMD3_HUMAN</t>
  </si>
  <si>
    <t>26S proteasome non-ATPase regulatory subunit 3 OS=Homo sapiens GN=PSMD3 PE=1 SV=2</t>
  </si>
  <si>
    <t>SLADIAQKL</t>
  </si>
  <si>
    <t>SPEDAEFIVAKAIRDG</t>
  </si>
  <si>
    <t>sp|O43293|DAPK3_HUMAN</t>
  </si>
  <si>
    <t>Death-associated protein kinase 3 OS=Homo sapiens GN=DAPK3 PE=1 SV=1</t>
  </si>
  <si>
    <t>sp|O43296|ZN264_HUMAN</t>
  </si>
  <si>
    <t>Zinc finger protein 264 OS=Homo sapiens GN=ZNF264 PE=1 SV=1</t>
  </si>
  <si>
    <t>HRPGFLRHY</t>
  </si>
  <si>
    <t>sp|O43447|PPIH_HUMAN</t>
  </si>
  <si>
    <t>Peptidyl-prolyl cis-trans isomerase H OS=Homo sapiens GN=PPIH PE=1 SV=1</t>
  </si>
  <si>
    <t>VPIGYKGSTFHRVIK</t>
  </si>
  <si>
    <t>sp|O43502|RA51C_HUMAN</t>
  </si>
  <si>
    <t>DNA repair protein RAD51 homolog 3 OS=Homo sapiens GN=RAD51C PE=1 SV=1</t>
  </si>
  <si>
    <t>IAFPFRHDL</t>
  </si>
  <si>
    <t>sp|O43567|RNF13_HUMAN</t>
  </si>
  <si>
    <t>E3 ubiquitin-protein ligase RNF13 OS=Homo sapiens GN=RNF13 PE=1 SV=1</t>
  </si>
  <si>
    <t>YKAAIVHNV</t>
  </si>
  <si>
    <t>KDEFTYEKGGHL</t>
  </si>
  <si>
    <t>sp|O43615|TIM44_HUMAN</t>
  </si>
  <si>
    <t>Mitochondrial import inner membrane translocase subunit TIM44 OS=Homo sapiens GN=TIMM44 PE=1 SV=2</t>
  </si>
  <si>
    <t>GLLDNVKQELAKNK</t>
  </si>
  <si>
    <t>sp|O43707|ACTN4_HUMAN</t>
  </si>
  <si>
    <t>Alpha-actinin-4 OS=Homo sapiens GN=ACTN4 PE=1 SV=2</t>
  </si>
  <si>
    <t>NRPAFMPSEGKMVSDIN</t>
  </si>
  <si>
    <t>sp|O43707|ACTN4_HUMAN; sp|P12814|ACTN1_HUMAN; sp|Q08043|ACTN3_HUMAN</t>
  </si>
  <si>
    <t>Alpha-actinin-4 OS=Homo sapiens GN=ACTN4 PE=1 SV=2; Alpha-actinin-1 OS=Homo sapiens GN=ACTN1 PE=1 SV=2; Alpha-actinin-3 OS=Homo sapiens GN=ACTN3 PE=1 SV=2</t>
  </si>
  <si>
    <t>KALDFIASKGVKLVSIG</t>
  </si>
  <si>
    <t>sp|O43736|ITM2A_HUMAN</t>
  </si>
  <si>
    <t>Integral membrane protein 2A OS=Homo sapiens GN=ITM2A PE=1 SV=2</t>
  </si>
  <si>
    <t>REDDNIAIIDVPVPSFS</t>
  </si>
  <si>
    <t>IREDDNIAIIDVPVPSFSDSDPA</t>
  </si>
  <si>
    <t>REDDNIAIIDVPVPS</t>
  </si>
  <si>
    <t>sp|O43760|SNG2_HUMAN</t>
  </si>
  <si>
    <t>Synaptogyrin-2 OS=Homo sapiens GN=SYNGR2 PE=1 SV=1</t>
  </si>
  <si>
    <t>NPKDVLVGADSVRAA</t>
  </si>
  <si>
    <t>PKDVLVGADSVRAAIT</t>
  </si>
  <si>
    <t>sp|O43791|SPOP_HUMAN</t>
  </si>
  <si>
    <t>Speckle-type POZ protein OS=Homo sapiens GN=SPOP PE=1 SV=1</t>
  </si>
  <si>
    <t>ARSPVFSAM</t>
  </si>
  <si>
    <t>sp|O43847|NRDC_HUMAN</t>
  </si>
  <si>
    <t>Nardilysin OS=Homo sapiens GN=NRD1 PE=1 SV=2</t>
  </si>
  <si>
    <t>YYQSGTRSL</t>
  </si>
  <si>
    <t>sp|O43852|CALU_HUMAN</t>
  </si>
  <si>
    <t>Calumenin OS=Homo sapiens GN=CALU PE=1 SV=2</t>
  </si>
  <si>
    <t>AEEAKTFDQLTPEESKER</t>
  </si>
  <si>
    <t>KTFDQLTPEESKE</t>
  </si>
  <si>
    <t>sp|O43929|ORC4_HUMAN</t>
  </si>
  <si>
    <t>Origin recognition complex subunit 4 OS=Homo sapiens GN=ORC4 PE=1 SV=2</t>
  </si>
  <si>
    <t>NSFGFPQYV</t>
  </si>
  <si>
    <t>SKANIVHGL</t>
  </si>
  <si>
    <t>sp|O60244|MED14_HUMAN</t>
  </si>
  <si>
    <t>Mediator of RNA polymerase II transcription subunit 14 OS=Homo sapiens GN=MED14 PE=1 SV=2</t>
  </si>
  <si>
    <t>TRQLFVRLL</t>
  </si>
  <si>
    <t>sp|O60264|SMCA5_HUMAN</t>
  </si>
  <si>
    <t>SWI/SNF-related matrix-associated actin-dependent regulator of chromatin subfamily A member 5 OS=Homo sapiens GN=SMARCA5 PE=1 SV=1</t>
  </si>
  <si>
    <t>LDSIVIQQGRLVDQNL</t>
  </si>
  <si>
    <t>sp|O60266|ADCY3_HUMAN</t>
  </si>
  <si>
    <t>Adenylate cyclase type 3 OS=Homo sapiens GN=ADCY3 PE=1 SV=3</t>
  </si>
  <si>
    <t>YRHENVSILF</t>
  </si>
  <si>
    <t>sp|O60287|NPA1P_HUMAN</t>
  </si>
  <si>
    <t>Nucleolar pre-ribosomal-associated protein 1 OS=Homo sapiens GN=URB1 PE=1 SV=4</t>
  </si>
  <si>
    <t>VGTNIVKKL</t>
  </si>
  <si>
    <t>sp|O60306|AQR_HUMAN</t>
  </si>
  <si>
    <t>Intron-binding protein aquarius OS=Homo sapiens GN=AQR PE=1 SV=4</t>
  </si>
  <si>
    <t>LRNFNLFRL</t>
  </si>
  <si>
    <t>sp|O60313|OPA1_HUMAN</t>
  </si>
  <si>
    <t>Dynamin-like 120 kDa protein, mitochondrial OS=Homo sapiens GN=OPA1 PE=1 SV=3</t>
  </si>
  <si>
    <t>DGEKKIKLLTGKRVQLA</t>
  </si>
  <si>
    <t>sp|O60318|GANP_HUMAN</t>
  </si>
  <si>
    <t>Germinal-center associated nuclear protein OS=Homo sapiens GN=MCM3AP PE=1 SV=2</t>
  </si>
  <si>
    <t>ATTGILRHI</t>
  </si>
  <si>
    <t>sp|O60353|FZD6_HUMAN</t>
  </si>
  <si>
    <t>Frizzled-6 OS=Homo sapiens GN=FZD6 PE=1 SV=2</t>
  </si>
  <si>
    <t>SPAASISRLSGEQVDG</t>
  </si>
  <si>
    <t>sp|O60449|LY75_HUMAN</t>
  </si>
  <si>
    <t>Lymphocyte antigen 75 OS=Homo sapiens GN=LY75 PE=1 SV=3</t>
  </si>
  <si>
    <t>RDEKENNFVLEQL</t>
  </si>
  <si>
    <t>AYEKINKWTDNRE</t>
  </si>
  <si>
    <t>IRDEKENNFVLEQL</t>
  </si>
  <si>
    <t>NDPFTIVHGNTGK</t>
  </si>
  <si>
    <t>sp|O60476|MA1A2_HUMAN</t>
  </si>
  <si>
    <t>Mannosyl-oligosaccharide 1,2-alpha-mannosidase IB OS=Homo sapiens GN=MAN1A2 PE=1 SV=1</t>
  </si>
  <si>
    <t>QAEKYYILRPEVIE</t>
  </si>
  <si>
    <t>QAEKYYILRPEVIET</t>
  </si>
  <si>
    <t>sp|O60524|NEMF_HUMAN</t>
  </si>
  <si>
    <t>Nuclear export mediator factor NEMF OS=Homo sapiens GN=NEMF PE=1 SV=4</t>
  </si>
  <si>
    <t>VRKDHENRL</t>
  </si>
  <si>
    <t>sp|O60610|DIAP1_HUMAN</t>
  </si>
  <si>
    <t>Protein diaphanous homolog 1 OS=Homo sapiens GN=DIAPH1 PE=1 SV=2</t>
  </si>
  <si>
    <t>ARHELQVEM</t>
  </si>
  <si>
    <t>sp|O60613|SEP15_HUMAN</t>
  </si>
  <si>
    <t>15 kDa selenoprotein OS=Homo sapiens GN=SEP15 PE=1 SV=3</t>
  </si>
  <si>
    <t>VRSDKPKLF</t>
  </si>
  <si>
    <t>sp|O60637|TSN3_HUMAN</t>
  </si>
  <si>
    <t>Tetraspanin-3 OS=Homo sapiens GN=TSPAN3 PE=2 SV=1</t>
  </si>
  <si>
    <t>DDYDHFFEDVYT</t>
  </si>
  <si>
    <t>sp|O60664|PLIN3_HUMAN</t>
  </si>
  <si>
    <t>Perilipin-3 OS=Homo sapiens GN=PLIN3 PE=1 SV=3</t>
  </si>
  <si>
    <t>DVASVQQQRQEQSY</t>
  </si>
  <si>
    <t>VGPFAPGITEKAPEEKK</t>
  </si>
  <si>
    <t>sp|O60669|MOT2_HUMAN</t>
  </si>
  <si>
    <t>Monocarboxylate transporter 2 OS=Homo sapiens GN=SLC16A7 PE=1 SV=2</t>
  </si>
  <si>
    <t>sp|O60678|ANM3_HUMAN</t>
  </si>
  <si>
    <t>Protein arginine N-methyltransferase 3 OS=Homo sapiens GN=PRMT3 PE=1 SV=3</t>
  </si>
  <si>
    <t>GDEAAWEDEDDADLPH</t>
  </si>
  <si>
    <t>VVEKLKHMEARALSAE</t>
  </si>
  <si>
    <t>sp|O60701|UGDH_HUMAN</t>
  </si>
  <si>
    <t>UDP-glucose 6-dehydrogenase OS=Homo sapiens GN=UGDH PE=1 SV=1</t>
  </si>
  <si>
    <t>ASRIIDSLFNTVTDKK</t>
  </si>
  <si>
    <t>sp|O60716|CTND1_HUMAN</t>
  </si>
  <si>
    <t>Catenin delta-1 OS=Homo sapiens GN=CTNND1 PE=1 SV=1</t>
  </si>
  <si>
    <t>AASGALRNL</t>
  </si>
  <si>
    <t>DDQRSMGYDDLDYG</t>
  </si>
  <si>
    <t>sp|O60749|SNX2_HUMAN</t>
  </si>
  <si>
    <t>Sorting nexin-2 OS=Homo sapiens GN=SNX2 PE=1 SV=2</t>
  </si>
  <si>
    <t>SGAGILRMV</t>
  </si>
  <si>
    <t>sp|O60763|USO1_HUMAN</t>
  </si>
  <si>
    <t>General vesicular transport factor p115 OS=Homo sapiens GN=USO1 PE=1 SV=2</t>
  </si>
  <si>
    <t>VRWPGVKLL</t>
  </si>
  <si>
    <t>sp|O60925|PFD1_HUMAN</t>
  </si>
  <si>
    <t>Prefoldin subunit 1 OS=Homo sapiens GN=PFDN1 PE=1 SV=2</t>
  </si>
  <si>
    <t>LKKAFTELQAKVIDTQ</t>
  </si>
  <si>
    <t>sp|O60934|NBN_HUMAN</t>
  </si>
  <si>
    <t>Nibrin OS=Homo sapiens GN=NBN PE=1 SV=1</t>
  </si>
  <si>
    <t>sp|O75083|WDR1_HUMAN</t>
  </si>
  <si>
    <t>WD repeat-containing protein 1 OS=Homo sapiens GN=WDR1 PE=1 SV=4</t>
  </si>
  <si>
    <t>SDPETRVKIQDAHRLHH</t>
  </si>
  <si>
    <t>sp|O75122|CLAP2_HUMAN</t>
  </si>
  <si>
    <t>CLIP-associating protein 2 OS=Homo sapiens GN=CLASP2 PE=1 SV=2</t>
  </si>
  <si>
    <t>IRHTHVPRL</t>
  </si>
  <si>
    <t>sp|O75146|HIP1R_HUMAN</t>
  </si>
  <si>
    <t>Huntingtin-interacting protein 1-related protein OS=Homo sapiens GN=HIP1R PE=1 SV=2</t>
  </si>
  <si>
    <t>LDEQFAVLRGAAAEAA</t>
  </si>
  <si>
    <t>DEQFAVLRGAAAEA</t>
  </si>
  <si>
    <t>LDEQFAVLRGAAAEA</t>
  </si>
  <si>
    <t>YVGPERSV</t>
  </si>
  <si>
    <t>sp|O75152|ZC11A_HUMAN</t>
  </si>
  <si>
    <t>Zinc finger CCCH domain-containing protein 11A OS=Homo sapiens GN=ZC3H11A PE=1 SV=3</t>
  </si>
  <si>
    <t>VKPSVVKVV</t>
  </si>
  <si>
    <t>sp|O75352|MPU1_HUMAN</t>
  </si>
  <si>
    <t>Mannose-P-dolichol utilization defect 1 protein OS=Homo sapiens GN=MPDU1 PE=1 SV=2</t>
  </si>
  <si>
    <t>LPQVFKILGAKSAEG</t>
  </si>
  <si>
    <t>sp|O75368|SH3L1_HUMAN</t>
  </si>
  <si>
    <t>SH3 domain-binding glutamic acid-rich-like protein OS=Homo sapiens GN=SH3BGRL PE=1 SV=1</t>
  </si>
  <si>
    <t>DVLGFLEANKIG</t>
  </si>
  <si>
    <t>sp|O75417|DPOLQ_HUMAN</t>
  </si>
  <si>
    <t>DNA polymerase theta OS=Homo sapiens GN=POLQ PE=1 SV=2</t>
  </si>
  <si>
    <t>SRYTGINQF</t>
  </si>
  <si>
    <t>sp|O75436|VP26A_HUMAN</t>
  </si>
  <si>
    <t>Vacuolar protein sorting-associated protein 26A OS=Homo sapiens GN=VPS26A PE=1 SV=2</t>
  </si>
  <si>
    <t>ETIAKYEIMDGAPVKGES</t>
  </si>
  <si>
    <t>IAKYEIMDGAPVK</t>
  </si>
  <si>
    <t>sp|O75608|LYPA1_HUMAN</t>
  </si>
  <si>
    <t>Acyl-protein thioesterase 1 OS=Homo sapiens GN=LYPLA1 PE=1 SV=1</t>
  </si>
  <si>
    <t>GPLQEVPLRYL</t>
  </si>
  <si>
    <t>TGVSKIRLL</t>
  </si>
  <si>
    <t>sp|O75694|NU155_HUMAN</t>
  </si>
  <si>
    <t>Nuclear pore complex protein Nup155 OS=Homo sapiens GN=NUP155 PE=1 SV=1</t>
  </si>
  <si>
    <t>IGVPLPRLL</t>
  </si>
  <si>
    <t>NRMKKPLHL</t>
  </si>
  <si>
    <t>sp|O75787|RENR_HUMAN</t>
  </si>
  <si>
    <t>Renin receptor OS=Homo sapiens GN=ATP6AP2 PE=1 SV=2</t>
  </si>
  <si>
    <t>EERVYMVGKANSVFED</t>
  </si>
  <si>
    <t>sp|O75845|SC5D_HUMAN</t>
  </si>
  <si>
    <t>Lathosterol oxidase OS=Homo sapiens GN=SC5D PE=1 SV=2</t>
  </si>
  <si>
    <t>HKPHHIWKI</t>
  </si>
  <si>
    <t>sp|O75915|PRAF3_HUMAN</t>
  </si>
  <si>
    <t>PRA1 family protein 3 OS=Homo sapiens GN=ARL6IP5 PE=1 SV=1</t>
  </si>
  <si>
    <t>DALEQQEEGINRL</t>
  </si>
  <si>
    <t>DALEQQEEGINRLTD</t>
  </si>
  <si>
    <t>DALEQQEEGINRLTDY</t>
  </si>
  <si>
    <t>EQQEEGINRLTDY</t>
  </si>
  <si>
    <t>TDYISKVKE</t>
  </si>
  <si>
    <t>DALEQQEEGINRLTDYISKVKE</t>
  </si>
  <si>
    <t>sp|O75955|FLOT1_HUMAN</t>
  </si>
  <si>
    <t>Flotillin-1 OS=Homo sapiens GN=FLOT1 PE=1 SV=3</t>
  </si>
  <si>
    <t>EAEKSQLIMQAEAEAASVR</t>
  </si>
  <si>
    <t>TRHGVPISV</t>
  </si>
  <si>
    <t>LSEIEMAKAQRDYE</t>
  </si>
  <si>
    <t>LSEIEMAKAQRDYEL</t>
  </si>
  <si>
    <t>SEQVFKVASSDLVNMG</t>
  </si>
  <si>
    <t>sp|O75962|TRIO_HUMAN</t>
  </si>
  <si>
    <t>Triple functional domain protein OS=Homo sapiens GN=TRIO PE=1 SV=2</t>
  </si>
  <si>
    <t>YASQQIRQI</t>
  </si>
  <si>
    <t>sp|O75962|TRIO_HUMAN; sp|O60229|KALRN_HUMAN</t>
  </si>
  <si>
    <t>Triple functional domain protein OS=Homo sapiens GN=TRIO PE=1 SV=2; Kalirin OS=Homo sapiens GN=KALRN PE=1 SV=2</t>
  </si>
  <si>
    <t>HQMWHVRKL</t>
  </si>
  <si>
    <t>sp|O75964|ATP5L_HUMAN</t>
  </si>
  <si>
    <t>ATP synthase subunit g, mitochondrial OS=Homo sapiens GN=ATP5L PE=1 SV=3</t>
  </si>
  <si>
    <t>AQFVRNLVEKTPALVNA</t>
  </si>
  <si>
    <t>sp|O75976|CBPD_HUMAN</t>
  </si>
  <si>
    <t>Carboxypeptidase D OS=Homo sapiens GN=CPD PE=1 SV=2</t>
  </si>
  <si>
    <t>EGGYFHVLLAPGVHN</t>
  </si>
  <si>
    <t>GGYFHVLLAPGVHN</t>
  </si>
  <si>
    <t>ETLKHLASLYANNHPS</t>
  </si>
  <si>
    <t>KETLKHLASLYANNHPS</t>
  </si>
  <si>
    <t>NNFDLNRNFPDQFVQ</t>
  </si>
  <si>
    <t>SDDEVFKYLAKAYASNH</t>
  </si>
  <si>
    <t>SDDEVFKYLAKAYASNHP</t>
  </si>
  <si>
    <t>SLLSHEFQDETDTEEE</t>
  </si>
  <si>
    <t>TKEGGYFHVLLAPGVHN</t>
  </si>
  <si>
    <t>VENKETLKHLASLYANNH</t>
  </si>
  <si>
    <t>VENKETLKHLASLYANNHP</t>
  </si>
  <si>
    <t>VENKETLKHLASLYANNHPS</t>
  </si>
  <si>
    <t>QPIQPKDFHHHHFPDMEIFLR</t>
  </si>
  <si>
    <t>sp|O76024|WFS1_HUMAN</t>
  </si>
  <si>
    <t>Wolframin OS=Homo sapiens GN=WFS1 PE=1 SV=2</t>
  </si>
  <si>
    <t>YRSEGMKVY</t>
  </si>
  <si>
    <t>KDFNDIRQDFLP</t>
  </si>
  <si>
    <t>Oxidation(P)@12</t>
  </si>
  <si>
    <t>sp|O94832|MYO1D_HUMAN</t>
  </si>
  <si>
    <t>Unconventional myosin-Id OS=Homo sapiens GN=MYO1D PE=1 SV=2</t>
  </si>
  <si>
    <t>RRFHGVKTM</t>
  </si>
  <si>
    <t>sp|O94915|FRYL_HUMAN</t>
  </si>
  <si>
    <t>Protein furry homolog-like OS=Homo sapiens GN=FRYL PE=1 SV=2</t>
  </si>
  <si>
    <t>EYVDLTRQL</t>
  </si>
  <si>
    <t>FAYTRLQLL</t>
  </si>
  <si>
    <t>sp|O94921|CDK14_HUMAN</t>
  </si>
  <si>
    <t>Cyclin-dependent kinase 14 OS=Homo sapiens GN=CDK14 PE=1 SV=3</t>
  </si>
  <si>
    <t>LSYIHQRYI</t>
  </si>
  <si>
    <t>sp|O94955|RHBT3_HUMAN</t>
  </si>
  <si>
    <t>Rho-related BTB domain-containing protein 3 OS=Homo sapiens GN=RHOBTB3 PE=1 SV=2</t>
  </si>
  <si>
    <t>SAFGNVKLV</t>
  </si>
  <si>
    <t>sp|O94967|WDR47_HUMAN</t>
  </si>
  <si>
    <t>WD repeat-containing protein 47 OS=Homo sapiens GN=WDR47 PE=1 SV=1</t>
  </si>
  <si>
    <t>sp|O94972|TRI37_HUMAN</t>
  </si>
  <si>
    <t>E3 ubiquitin-protein ligase TRIM37 OS=Homo sapiens GN=TRIM37 PE=1 SV=2</t>
  </si>
  <si>
    <t>HRKPMASFV</t>
  </si>
  <si>
    <t>sp|O94985|CSTN1_HUMAN</t>
  </si>
  <si>
    <t>Calsyntenin-1 OS=Homo sapiens GN=CLSTN1 PE=1 SV=1</t>
  </si>
  <si>
    <t>HRSFVDLSGHNLANPHP</t>
  </si>
  <si>
    <t>sp|O95071|UBR5_HUMAN</t>
  </si>
  <si>
    <t>E3 ubiquitin-protein ligase UBR5 OS=Homo sapiens GN=UBR5 PE=1 SV=2</t>
  </si>
  <si>
    <t>SRSVIIREL</t>
  </si>
  <si>
    <t>sp|O95139|NDUB6_HUMAN</t>
  </si>
  <si>
    <t>NADH dehydrogenase [ubiquinone] 1 beta subcomplex subunit 6 OS=Homo sapiens GN=NDUFB6 PE=1 SV=3</t>
  </si>
  <si>
    <t>ETGEVIPPMKEFPDQHH</t>
  </si>
  <si>
    <t>sp|O95147|DUS14_HUMAN</t>
  </si>
  <si>
    <t>Dual specificity protein phosphatase 14 OS=Homo sapiens GN=DUSP14 PE=1 SV=1</t>
  </si>
  <si>
    <t>SRKHGATLV</t>
  </si>
  <si>
    <t>sp|O95164|UBL3_HUMAN</t>
  </si>
  <si>
    <t>Ubiquitin-like protein 3 OS=Homo sapiens GN=UBL3 PE=1 SV=1</t>
  </si>
  <si>
    <t>SASDIAKHV</t>
  </si>
  <si>
    <t>sp|O95168|NDUB4_HUMAN</t>
  </si>
  <si>
    <t>NADH dehydrogenase [ubiquinone] 1 beta subcomplex subunit 4 OS=Homo sapiens GN=NDUFB4 PE=1 SV=3</t>
  </si>
  <si>
    <t>IRAQLKREY</t>
  </si>
  <si>
    <t>HYADQLKEY</t>
  </si>
  <si>
    <t>sp|O95336|6PGL_HUMAN</t>
  </si>
  <si>
    <t>6-phosphogluconolactonase OS=Homo sapiens GN=PGLS PE=1 SV=2</t>
  </si>
  <si>
    <t>GAALAQLVAQRAA</t>
  </si>
  <si>
    <t>sp|O95363|SYFM_HUMAN</t>
  </si>
  <si>
    <t>Phenylalanine--tRNA ligase, mitochondrial OS=Homo sapiens GN=FARS2 PE=1 SV=1</t>
  </si>
  <si>
    <t>QDDHSNLTRKV</t>
  </si>
  <si>
    <t>sp|O95372|LYPA2_HUMAN</t>
  </si>
  <si>
    <t>Acyl-protein thioesterase 2 OS=Homo sapiens GN=LYPLA2 PE=1 SV=1</t>
  </si>
  <si>
    <t>IRLPHVKYI</t>
  </si>
  <si>
    <t>sp|O95395|GCNT3_HUMAN</t>
  </si>
  <si>
    <t>Beta-1,3-galactosyl-O-glycosyl-glycoprotein beta-1,6-N-acetylglucosaminyltransferase 3 OS=Homo sapiens GN=GCNT3 PE=2 SV=1</t>
  </si>
  <si>
    <t>IASKLVRVV</t>
  </si>
  <si>
    <t>sp|O95445|APOM_HUMAN</t>
  </si>
  <si>
    <t>Apolipoprotein M OS=Homo sapiens GN=APOM PE=1 SV=2</t>
  </si>
  <si>
    <t>GQWYFIAGAAPTKEE</t>
  </si>
  <si>
    <t>GQWYFIAGAAPTK</t>
  </si>
  <si>
    <t>sp|O95466|FMNL_HUMAN</t>
  </si>
  <si>
    <t>HRFEKLMEY</t>
  </si>
  <si>
    <t>sp|O95490|LPHN2_HUMAN</t>
  </si>
  <si>
    <t>Latrophilin-2 OS=Homo sapiens GN=LPHN2 PE=1 SV=2</t>
  </si>
  <si>
    <t>SDVIMIESANYGRTDD</t>
  </si>
  <si>
    <t>SGEAIINYANYHDTSPYR</t>
  </si>
  <si>
    <t>GEAIINYANYHDTSPYR</t>
  </si>
  <si>
    <t>GSDVIMIESANYGRTDD</t>
  </si>
  <si>
    <t>TSHWVNQLAQKIRSGE</t>
  </si>
  <si>
    <t>Trp-&gt;Kynurenin(W)@4</t>
  </si>
  <si>
    <t>sp|O95613|PCNT_HUMAN</t>
  </si>
  <si>
    <t>Pericentrin OS=Homo sapiens GN=PCNT PE=1 SV=4</t>
  </si>
  <si>
    <t>VRPKHVKAL</t>
  </si>
  <si>
    <t>sp|O95714|HERC2_HUMAN</t>
  </si>
  <si>
    <t>E3 ubiquitin-protein ligase HERC2 OS=Homo sapiens GN=HERC2 PE=1 SV=2</t>
  </si>
  <si>
    <t>HRMWALQRL</t>
  </si>
  <si>
    <t>sp|O95777|LSM8_HUMAN</t>
  </si>
  <si>
    <t>U6 snRNA-associated Sm-like protein LSm8 OS=Homo sapiens GN=LSM8 PE=1 SV=3</t>
  </si>
  <si>
    <t>IRAEPLNSV</t>
  </si>
  <si>
    <t>sp|O95782|AP2A1_HUMAN; sp|O94973|AP2A2_HUMAN</t>
  </si>
  <si>
    <t>AP-2 complex subunit alpha-1 OS=Homo sapiens GN=AP2A1 PE=1 SV=3; AP-2 complex subunit alpha-2 OS=Homo sapiens GN=AP2A2 PE=1 SV=2</t>
  </si>
  <si>
    <t>sp|O95793|STAU1_HUMAN</t>
  </si>
  <si>
    <t>Double-stranded RNA-binding protein Staufen homolog 1 OS=Homo sapiens GN=STAU1 PE=1 SV=2</t>
  </si>
  <si>
    <t>HMKNFVTKV</t>
  </si>
  <si>
    <t>sp|O95817|BAG3_HUMAN</t>
  </si>
  <si>
    <t>BAG family molecular chaperone regulator 3 OS=Homo sapiens GN=BAG3 PE=1 SV=3</t>
  </si>
  <si>
    <t>QPLQAIMEMGAVAADKGK</t>
  </si>
  <si>
    <t>Gln-&gt;pyro-Glu@N-term; Deamidated(Q)@4</t>
  </si>
  <si>
    <t>sp|O95861|BPNT1_HUMAN</t>
  </si>
  <si>
    <t>3'(2'),5'-bisphosphate nucleotidase 1 OS=Homo sapiens GN=BPNT1 PE=1 SV=1</t>
  </si>
  <si>
    <t>IKEEDLVVWVDPLDGTK</t>
  </si>
  <si>
    <t>sp|O95864|FADS2_HUMAN</t>
  </si>
  <si>
    <t>Fatty acid desaturase 2 OS=Homo sapiens GN=FADS2 PE=1 SV=1</t>
  </si>
  <si>
    <t>YRKPKWNHL</t>
  </si>
  <si>
    <t>Oxidation(W)@6</t>
  </si>
  <si>
    <t>sp|O95977|S1PR4_HUMAN</t>
  </si>
  <si>
    <t>Sphingosine 1-phosphate receptor 4 OS=Homo sapiens GN=S1PR4 PE=1 SV=1</t>
  </si>
  <si>
    <t>GGPEDGGLGALRGLSVAAS</t>
  </si>
  <si>
    <t>sp|O96009|NAPSA_HUMAN</t>
  </si>
  <si>
    <t>Napsin-A OS=Homo sapiens GN=NAPSA PE=1 SV=1</t>
  </si>
  <si>
    <t>HRFDPKASSSF</t>
  </si>
  <si>
    <t>SPGDKPIFVPLSNYRDVQ</t>
  </si>
  <si>
    <t>Deamidated(N)@13</t>
  </si>
  <si>
    <t>sp|O96028|NSD2_HUMAN</t>
  </si>
  <si>
    <t>Histone-lysine N-methyltransferase NSD2 OS=Homo sapiens GN=WHSC1 PE=1 SV=1</t>
  </si>
  <si>
    <t>sp|P00156|CYB_HUMAN</t>
  </si>
  <si>
    <t>Cytochrome b OS=Homo sapiens GN=MT-CYB PE=1 SV=2</t>
  </si>
  <si>
    <t>NYGWIIRYL</t>
  </si>
  <si>
    <t>sp|P00390|GSHR_HUMAN</t>
  </si>
  <si>
    <t>Glutathione reductase, mitochondrial OS=Homo sapiens GN=GSR PE=1 SV=2</t>
  </si>
  <si>
    <t>TKSHIEIIRGHAAFTSDPK</t>
  </si>
  <si>
    <t>sp|P00558|PGK1_HUMAN</t>
  </si>
  <si>
    <t>Phosphoglycerate kinase 1 OS=Homo sapiens GN=PGK1 PE=1 SV=3</t>
  </si>
  <si>
    <t>ESPERPFLAILGGAKVADK</t>
  </si>
  <si>
    <t>RPFLAILGGAKVADK</t>
  </si>
  <si>
    <t>sp|P00739|HPTR_HUMAN; sp|P00738|HPT_HUMAN</t>
  </si>
  <si>
    <t>Haptoglobin-related protein OS=Homo sapiens GN=HPR PE=1 SV=2; Haptoglobin OS=Homo sapiens GN=HP PE=1 SV=1</t>
  </si>
  <si>
    <t>DIAPTLTLYVGK</t>
  </si>
  <si>
    <t>ILGGHLDAKGSFPWQAK</t>
  </si>
  <si>
    <t>sp|P00813|ADA_HUMAN</t>
  </si>
  <si>
    <t>Adenosine deaminase OS=Homo sapiens GN=ADA PE=1 SV=3</t>
  </si>
  <si>
    <t>DEVVALVGQGLQEGER</t>
  </si>
  <si>
    <t>sp|P01023|A2MG_HUMAN</t>
  </si>
  <si>
    <t>Alpha-2-macroglobulin OS=Homo sapiens GN=A2M PE=1 SV=3</t>
  </si>
  <si>
    <t>KPQYMVLVPSLLHTE</t>
  </si>
  <si>
    <t>GKPQYMVLVPSLLH</t>
  </si>
  <si>
    <t>sp|P01024|CO3_HUMAN</t>
  </si>
  <si>
    <t>Complement C3 OS=Homo sapiens GN=C3 PE=1 SV=2</t>
  </si>
  <si>
    <t>LVAYYTLIGASGQR</t>
  </si>
  <si>
    <t>sp|P01034|CYTC_HUMAN</t>
  </si>
  <si>
    <t>Cystatin-C OS=Homo sapiens GN=CST3 PE=1 SV=1</t>
  </si>
  <si>
    <t>MAGPLRAPLL</t>
  </si>
  <si>
    <t>sp|P01111|RASN_HUMAN; sp|P01116|RASK_HUMAN; sp|P01112|RASH_HUMAN</t>
  </si>
  <si>
    <t>GTPase NRas OS=Homo sapiens GN=NRAS PE=1 SV=1; GTPase KRas OS=Homo sapiens GN=KRAS PE=1 SV=1; GTPase HRas OS=Homo sapiens GN=HRAS PE=1 SV=1</t>
  </si>
  <si>
    <t>IQNHFVDEYDPTI</t>
  </si>
  <si>
    <t>sp|P01130|LDLR_HUMAN</t>
  </si>
  <si>
    <t>Low-density lipoprotein receptor OS=Homo sapiens GN=LDLR PE=1 SV=1</t>
  </si>
  <si>
    <t>IPNLRNVVALDTEVASNR</t>
  </si>
  <si>
    <t>SAFEFHCLSGECIHS</t>
  </si>
  <si>
    <t>Cys-&gt;Dha(C)@7; Dioxidation(C)@12</t>
  </si>
  <si>
    <t>SAFEFHCLSGECIHSS</t>
  </si>
  <si>
    <t>sp|P01579|IFNG_HUMAN</t>
  </si>
  <si>
    <t>Interferon gamma OS=Homo sapiens GN=IFNG PE=1 SV=1</t>
  </si>
  <si>
    <t>IKEDMNVKFFNSNKKKRDD</t>
  </si>
  <si>
    <t>IKEDMNVKFFNSNKKKR</t>
  </si>
  <si>
    <t>KEDMNVKFFNSNKKKR</t>
  </si>
  <si>
    <t>IKEDMNVKFFNSNKKK</t>
  </si>
  <si>
    <t>Oxidation(M)@5; Deamidated(N)@6</t>
  </si>
  <si>
    <t>sp|P01834|IGKC_HUMAN</t>
  </si>
  <si>
    <t>Ig kappa chain C region OS=Homo sapiens GN=IGKC PE=1 SV=1</t>
  </si>
  <si>
    <t>KHKVYACEVTHQGLS</t>
  </si>
  <si>
    <t>Dioxidation(C)@7</t>
  </si>
  <si>
    <t>sp|P01903|DRA_HUMAN</t>
  </si>
  <si>
    <t>HLA class II histocompatibility antigen, DR alpha chain OS=Homo sapiens GN=HLA-DRA PE=1 SV=1</t>
  </si>
  <si>
    <t>FRKFHYLPFLPSTE</t>
  </si>
  <si>
    <t>sp|P01911|2B1F_HUMAN; sp|Q5Y7A7|2B1D_HUMAN; sp|P20039|2B1B_HUMAN; sp|P01912|2B13_HUMAN</t>
  </si>
  <si>
    <t>HLA class II histocompatibility antigen, DRB1-15 beta chain OS=Homo sapiens GN=HLA-DRB1 PE=1 SV=2; HLA class II histocompatibility antigen, DRB1-13 beta chain OS=Homo sapiens GN=HLA-DRB1 PE=1 SV=1; HLA class II histocompatibility antigen, DRB1-11 beta chain OS=Homo sapiens GN=HLA-DRB1 PE=1 SV=1; HLA class II histocompatibility antigen, DRB1-3 chain OS=Homo sapiens GN=HLA-DRB1 PE=1 SV=2</t>
  </si>
  <si>
    <t>VRFDSDVGEFRAV</t>
  </si>
  <si>
    <t>sp|P02768|ALBU_HUMAN</t>
  </si>
  <si>
    <t>Serum albumin OS=Homo sapiens GN=ALB PE=1 SV=2</t>
  </si>
  <si>
    <t>AVMDDFAAFVEK</t>
  </si>
  <si>
    <t>FYAPELLFFAK</t>
  </si>
  <si>
    <t>HPYFYAPELLFFAK</t>
  </si>
  <si>
    <t>LVNEVTEFAK</t>
  </si>
  <si>
    <t>DAHKSEVAHRF</t>
  </si>
  <si>
    <t>DAHKSEVAHRFKDLGEENFKAL</t>
  </si>
  <si>
    <t>FQNALLVR</t>
  </si>
  <si>
    <t>KVPQVSTPTLVEVSR</t>
  </si>
  <si>
    <t>QTALVELVK</t>
  </si>
  <si>
    <t>RHPDYSVVLLLR</t>
  </si>
  <si>
    <t>Delta:H(2)C(2)@N-term</t>
  </si>
  <si>
    <t>DVFLGMFLYEYAR</t>
  </si>
  <si>
    <t>GEYKFQNALLVR</t>
  </si>
  <si>
    <t>Trimethyl(K)@4</t>
  </si>
  <si>
    <t>sp|P02786|TFR1_HUMAN</t>
  </si>
  <si>
    <t>Transferrin receptor protein 1 OS=Homo sapiens GN=TFRC PE=1 SV=2</t>
  </si>
  <si>
    <t>GEPLSYTRFSLARQV</t>
  </si>
  <si>
    <t>IPVQTISRAAAEKLFG</t>
  </si>
  <si>
    <t>IPVQTISRAAAEKLFGN</t>
  </si>
  <si>
    <t>IPVQTISRAAAEKLFGNM</t>
  </si>
  <si>
    <t>Oxidation(M)@18</t>
  </si>
  <si>
    <t>LPNIPVQTISRAAAEKLFGNM</t>
  </si>
  <si>
    <t>Oxidation(M)@21</t>
  </si>
  <si>
    <t>sp|P04035|HMDH_HUMAN</t>
  </si>
  <si>
    <t>3-hydroxy-3-methylglutaryl-coenzyme A reductase OS=Homo sapiens GN=HMGCR PE=1 SV=1</t>
  </si>
  <si>
    <t>TRGPVVRLP</t>
  </si>
  <si>
    <t>sp|P04040|CATA_HUMAN</t>
  </si>
  <si>
    <t>Catalase OS=Homo sapiens GN=CAT PE=1 SV=3</t>
  </si>
  <si>
    <t>NGYGSHTFKLVNANG</t>
  </si>
  <si>
    <t>ALTFSYGRALQASAL</t>
  </si>
  <si>
    <t>VPPAVTGITFLSGGQSEEE</t>
  </si>
  <si>
    <t>YTPSGQAGAAASESLFVSNHAY</t>
  </si>
  <si>
    <t>sp|P04083|ANXA1_HUMAN</t>
  </si>
  <si>
    <t>Annexin A1 OS=Homo sapiens GN=ANXA1 PE=1 SV=2</t>
  </si>
  <si>
    <t>AKGDRSEDFGVNEDLADSDARAL</t>
  </si>
  <si>
    <t>KRDLAKDITSDTSGDFRNAL</t>
  </si>
  <si>
    <t>RAAMKGLGTDEDTL</t>
  </si>
  <si>
    <t>sp|P04114|APOB_HUMAN</t>
  </si>
  <si>
    <t>Apolipoprotein B-100 OS=Homo sapiens GN=APOB PE=1 SV=2</t>
  </si>
  <si>
    <t>LVEQGFTVPEIK</t>
  </si>
  <si>
    <t>Cation:Na(E)@10</t>
  </si>
  <si>
    <t>sp|P04156|PRIO_HUMAN</t>
  </si>
  <si>
    <t>Major prion protein OS=Homo sapiens GN=PRNP PE=1 SV=1</t>
  </si>
  <si>
    <t>HRYPNQVYY</t>
  </si>
  <si>
    <t>sp|P04233|HG2A_HUMAN</t>
  </si>
  <si>
    <t>HLA class II histocompatibility antigen gamma chain OS=Homo sapiens GN=CD74 PE=1 SV=3</t>
  </si>
  <si>
    <t>HLLQNADPLKVYPPLK</t>
  </si>
  <si>
    <t>KVYPPLKGSFPENLRHL</t>
  </si>
  <si>
    <t>VSTTYSGVTR</t>
  </si>
  <si>
    <t>DTHSSTFDAGAGIALNDH</t>
  </si>
  <si>
    <t>NSDTHSSTFDAGAGIALNDH</t>
  </si>
  <si>
    <t>SDTHSSTFDAGAGIALNDH</t>
  </si>
  <si>
    <t>FRVPTANVSVVDL</t>
  </si>
  <si>
    <t>NRVVDLMAHMASKE</t>
  </si>
  <si>
    <t>QERDPSKIKWGDAGAEY</t>
  </si>
  <si>
    <t>TEHQVVSSDFNSDTHSS</t>
  </si>
  <si>
    <t>YAFNGTQRFLE</t>
  </si>
  <si>
    <t>sp|P04637|P53_HUMAN</t>
  </si>
  <si>
    <t>Cellular tumor antigen p53 OS=Homo sapiens GN=TP53 PE=1 SV=4</t>
  </si>
  <si>
    <t>GRNSFEVRV</t>
  </si>
  <si>
    <t>NTFRHSVV</t>
  </si>
  <si>
    <t>sp|P04792|HSPB1_HUMAN</t>
  </si>
  <si>
    <t>Heat shock protein beta-1 OS=Homo sapiens GN=HSPB1 PE=1 SV=2</t>
  </si>
  <si>
    <t>ESRAQLGGPEAAKSDETAAK</t>
  </si>
  <si>
    <t>RAQLGGPEAAKSDETAAK</t>
  </si>
  <si>
    <t>SRAQLGGPEAAKSDETAAK</t>
  </si>
  <si>
    <t>sp|P04844|RPN2_HUMAN</t>
  </si>
  <si>
    <t>Dolichyl-diphosphooligosaccharide--protein glycosyltransferase subunit 2 OS=Homo sapiens GN=RPN2 PE=1 SV=3</t>
  </si>
  <si>
    <t>AGNRMLAQQAVKRTAH</t>
  </si>
  <si>
    <t>NRYHVPVVV</t>
  </si>
  <si>
    <t>AESADAALQGDPALQDAGDSSRKEYFI</t>
  </si>
  <si>
    <t>sp|P05023|AT1A1_HUMAN</t>
  </si>
  <si>
    <t>Sodium/potassium-transporting ATPase subunit alpha-1 OS=Homo sapiens GN=ATP1A1 PE=1 SV=1</t>
  </si>
  <si>
    <t>KNMVPQQALVIRNG</t>
  </si>
  <si>
    <t>ELKKEVSMDDHKL</t>
  </si>
  <si>
    <t>KEVSMDDHKLS</t>
  </si>
  <si>
    <t>VVYTGDRTV</t>
  </si>
  <si>
    <t>sp|P05067|A4_HUMAN</t>
  </si>
  <si>
    <t>Amyloid beta A4 protein OS=Homo sapiens GN=APP PE=1 SV=3</t>
  </si>
  <si>
    <t>LLQKEQNYSDDVL</t>
  </si>
  <si>
    <t>LQKEQNYSDDVL</t>
  </si>
  <si>
    <t>sp|P05109|S10A8_HUMAN</t>
  </si>
  <si>
    <t>Protein S100-A8 OS=Homo sapiens GN=S100A8 PE=1 SV=1</t>
  </si>
  <si>
    <t>VIKMGVAAHKKSHEESHKE</t>
  </si>
  <si>
    <t>IKMGVAAHKKSHEESHKE</t>
  </si>
  <si>
    <t>MLTELEKALNSIID</t>
  </si>
  <si>
    <t>TELEKALNSIIDV</t>
  </si>
  <si>
    <t>VIKMGVAAHKKSHEESH</t>
  </si>
  <si>
    <t>VIKMGVAAHKKSHEESHK</t>
  </si>
  <si>
    <t>YHKYSLIKGNF</t>
  </si>
  <si>
    <t>MLTELEKALNSIIDV</t>
  </si>
  <si>
    <t>sp|P05141|ADT2_HUMAN</t>
  </si>
  <si>
    <t>ADP/ATP translocase 2 OS=Homo sapiens GN=SLC25A5 PE=1 SV=7</t>
  </si>
  <si>
    <t>VRIPKEQGV</t>
  </si>
  <si>
    <t>YDEIKKYT</t>
  </si>
  <si>
    <t>VLVLYDEIKKYT</t>
  </si>
  <si>
    <t>TDAAVSFAKD</t>
  </si>
  <si>
    <t>TDAAVSFAKDF</t>
  </si>
  <si>
    <t>sp|P05204|HMGN2_HUMAN</t>
  </si>
  <si>
    <t>Non-histone chromosomal protein HMG-17 OS=Homo sapiens GN=HMGN2 PE=1 SV=3</t>
  </si>
  <si>
    <t>KPAPPKPEPKPK</t>
  </si>
  <si>
    <t>SAKPAPPKPEPKPK</t>
  </si>
  <si>
    <t>GEKVPKGKKGKADAGKEGNNPAENGDAK</t>
  </si>
  <si>
    <t>sp|P05362|ICAM1_HUMAN</t>
  </si>
  <si>
    <t>Intercellular adhesion molecule 1 OS=Homo sapiens GN=ICAM1 PE=1 SV=2</t>
  </si>
  <si>
    <t>KIKKYRLQQAQKGTPM</t>
  </si>
  <si>
    <t>sp|P05412|JUN_HUMAN</t>
  </si>
  <si>
    <t>Transcription factor AP-1 OS=Homo sapiens GN=JUN PE=1 SV=2</t>
  </si>
  <si>
    <t>YGYSNPKIL</t>
  </si>
  <si>
    <t>sp|P06132|DCUP_HUMAN</t>
  </si>
  <si>
    <t>Uroporphyrinogen decarboxylase OS=Homo sapiens GN=UROD PE=1 SV=2</t>
  </si>
  <si>
    <t>GPHRYIANLGHGLYPD</t>
  </si>
  <si>
    <t>sp|P06276|CHLE_HUMAN</t>
  </si>
  <si>
    <t>Cholinesterase OS=Homo sapiens GN=BCHE PE=1 SV=1</t>
  </si>
  <si>
    <t>AAFGGNPKSV</t>
  </si>
  <si>
    <t>sp|P06396|GELS_HUMAN</t>
  </si>
  <si>
    <t>Gelsolin OS=Homo sapiens GN=GSN PE=1 SV=1</t>
  </si>
  <si>
    <t>TGDAYVILKTVQLRNGN</t>
  </si>
  <si>
    <t>FGGKPMIIYKGGTSREGGQTAPASTRL</t>
  </si>
  <si>
    <t>TGDAYVILKTVQLRNG</t>
  </si>
  <si>
    <t>VADENPFAQGALKSED</t>
  </si>
  <si>
    <t>sp|P06576|ATPB_HUMAN</t>
  </si>
  <si>
    <t>ATP synthase subunit beta, mitochondrial OS=Homo sapiens GN=ATP5B PE=1 SV=3</t>
  </si>
  <si>
    <t>VAKADKLAEEHSS</t>
  </si>
  <si>
    <t>sp|P06702|S10A9_HUMAN</t>
  </si>
  <si>
    <t>Protein S100-A9 OS=Homo sapiens GN=S100A9 PE=1 SV=1</t>
  </si>
  <si>
    <t>DTNADKQLSF</t>
  </si>
  <si>
    <t>LDTNADKQLS</t>
  </si>
  <si>
    <t>DLDTNADKQLS</t>
  </si>
  <si>
    <t>DTNADKQLSFE</t>
  </si>
  <si>
    <t>DTNADKQLSFEE</t>
  </si>
  <si>
    <t>DTNADKQLSFEEF</t>
  </si>
  <si>
    <t>LDTNADKQLSF</t>
  </si>
  <si>
    <t>LDTNADKQLSFEE</t>
  </si>
  <si>
    <t>SVKLGHPDTLNQGEFKEL</t>
  </si>
  <si>
    <t>NKEGLELLKTAIGKAG</t>
  </si>
  <si>
    <t>KEGLELLKTAIGKAG</t>
  </si>
  <si>
    <t>SKGLFRAAVPSGAS</t>
  </si>
  <si>
    <t>sp|P06733|ENOA_HUMAN; sp|P09104|ENOG_HUMAN</t>
  </si>
  <si>
    <t>Alpha-enolase OS=Homo sapiens GN=ENO1 PE=1 SV=2; Gamma-enolase OS=Homo sapiens GN=ENO2 PE=1 SV=3</t>
  </si>
  <si>
    <t>KGLFRAAVPSGASTG</t>
  </si>
  <si>
    <t>KGLFRAAVPSGAST</t>
  </si>
  <si>
    <t>NVINGGSHAGNKL</t>
  </si>
  <si>
    <t>NVINGGSHAGNKLAMQEF</t>
  </si>
  <si>
    <t>sp|P06737|PYGL_HUMAN</t>
  </si>
  <si>
    <t>Glycogen phosphorylase, liver form OS=Homo sapiens GN=PYGL PE=1 SV=4</t>
  </si>
  <si>
    <t>TTRDYYFALAHTVRDH</t>
  </si>
  <si>
    <t>LTKLHSFL</t>
  </si>
  <si>
    <t>RDYYFALAHTVRDH</t>
  </si>
  <si>
    <t>SPEDLERLLPHKVFEGNRP</t>
  </si>
  <si>
    <t>EDLERLLPHKVFEGNRP</t>
  </si>
  <si>
    <t>GDLDQDGFNDIAIAAP</t>
  </si>
  <si>
    <t>sp|P07237|PDIA1_HUMAN</t>
  </si>
  <si>
    <t>Protein disulfide-isomerase OS=Homo sapiens GN=P4HB PE=1 SV=3</t>
  </si>
  <si>
    <t>EESDLAQQYGVRGYPT</t>
  </si>
  <si>
    <t>EVAVIGFFKDVESDS</t>
  </si>
  <si>
    <t>VIEFTEQTAPKIFGG</t>
  </si>
  <si>
    <t>sp|P07355|ANXA2_HUMAN; sp|A6NMY6|AXA2L_HUMAN</t>
  </si>
  <si>
    <t>Annexin A2 OS=Homo sapiens GN=ANXA2 PE=1 SV=2; Putative annexin A2-like protein OS=Homo sapiens GN=ANXA2P2 PE=5 SV=2</t>
  </si>
  <si>
    <t>IRKEVKGDL</t>
  </si>
  <si>
    <t>DTSGDFRKLMVALAKGR</t>
  </si>
  <si>
    <t>TSGDFRKLMVALAKGR</t>
  </si>
  <si>
    <t>sp|P07384|CAN1_HUMAN</t>
  </si>
  <si>
    <t>Calpain-1 catalytic subunit OS=Homo sapiens GN=CAPN1 PE=1 SV=1</t>
  </si>
  <si>
    <t>VPPELVGQPAVHLKR</t>
  </si>
  <si>
    <t>VPPELVGQPAVHLKRD</t>
  </si>
  <si>
    <t>VPPELVGQPAVHLKRDF</t>
  </si>
  <si>
    <t>sp|P07437|TBB5_HUMAN; sp|P68371|TBB4B_HUMAN</t>
  </si>
  <si>
    <t>Tubulin beta chain OS=Homo sapiens GN=TUBB PE=1 SV=2; Tubulin beta-4B chain OS=Homo sapiens GN=TUBB4B PE=1 SV=1</t>
  </si>
  <si>
    <t>IREEYPDRIM</t>
  </si>
  <si>
    <t>IMNTFSVVPSPKVSDT</t>
  </si>
  <si>
    <t>sp|P07686|HEXB_HUMAN</t>
  </si>
  <si>
    <t>Beta-hexosaminidase subunit beta OS=Homo sapiens GN=HEXB PE=1 SV=3</t>
  </si>
  <si>
    <t>GTDFKKLESFYIQK</t>
  </si>
  <si>
    <t>sp|P07737|PROF1_HUMAN</t>
  </si>
  <si>
    <t>Profilin-1 OS=Homo sapiens GN=PFN1 PE=1 SV=2</t>
  </si>
  <si>
    <t>TDKTLVLLMGKEGVHG</t>
  </si>
  <si>
    <t>sp|P07814|SYEP_HUMAN</t>
  </si>
  <si>
    <t>Bifunctional glutamate/proline--tRNA ligase OS=Homo sapiens GN=EPRS PE=1 SV=5</t>
  </si>
  <si>
    <t>AKAALLNQHYQVNFKGK</t>
  </si>
  <si>
    <t>sp|P07858|CATB_HUMAN</t>
  </si>
  <si>
    <t>Cathepsin B OS=Homo sapiens GN=CTSB PE=1 SV=3</t>
  </si>
  <si>
    <t>KSGVYQHVTGEMMGGHA</t>
  </si>
  <si>
    <t>DNGFFKILRGQDH</t>
  </si>
  <si>
    <t>KSGVYQHVTGEMMGGH</t>
  </si>
  <si>
    <t>KSGVYQHVTGEMMGGHAIR</t>
  </si>
  <si>
    <t>KSGVYQHVTGEMMGG</t>
  </si>
  <si>
    <t>Oxidation(M)@12; Oxidation(M)@13</t>
  </si>
  <si>
    <t>YKSLTNDWEDHLAVKH</t>
  </si>
  <si>
    <t>Dioxidation(W)@8</t>
  </si>
  <si>
    <t>Trp-&gt;Kynurenin(W)@8</t>
  </si>
  <si>
    <t>sp|P07900|HS90A_HUMAN; sp|P08238|HS90B_HUMAN; sp|Q58FF7|H90B3_HUMAN</t>
  </si>
  <si>
    <t>Heat shock protein HSP 90-alpha OS=Homo sapiens GN=HSP90AA1 PE=1 SV=5; Heat shock protein HSP 90-beta OS=Homo sapiens GN=HSP90AB1 PE=1 SV=4; Putative heat shock protein HSP 90-beta-3 OS=Homo sapiens GN=HSP90AB3P PE=5 SV=1</t>
  </si>
  <si>
    <t>sp|P07948|LYN_HUMAN</t>
  </si>
  <si>
    <t>Tyrosine-protein kinase Lyn OS=Homo sapiens GN=LYN PE=1 SV=3</t>
  </si>
  <si>
    <t>VHGDVIKHY</t>
  </si>
  <si>
    <t>APNKFEALAAHDA</t>
  </si>
  <si>
    <t>sp|P07996|TSP1_HUMAN</t>
  </si>
  <si>
    <t>Thrombospondin-1 OS=Homo sapiens GN=THBS1 PE=1 SV=2</t>
  </si>
  <si>
    <t>GPDPSSPAFRIEDANLIPP</t>
  </si>
  <si>
    <t>sp|P08133|ANXA6_HUMAN</t>
  </si>
  <si>
    <t>Annexin A6 OS=Homo sapiens GN=ANXA6 PE=1 SV=3</t>
  </si>
  <si>
    <t>AERLFKAMKGLGTRDNT</t>
  </si>
  <si>
    <t>DEAQFIYILGNRSK</t>
  </si>
  <si>
    <t>DEAQFIYILGNRSKQ</t>
  </si>
  <si>
    <t>FADKLYKSMKGAGTDEK</t>
  </si>
  <si>
    <t>FADKLYKSMKGAGTDEKT</t>
  </si>
  <si>
    <t>KLYKSMKGAGTDEK</t>
  </si>
  <si>
    <t>TDEAQFIYILGNRSK</t>
  </si>
  <si>
    <t>TDEAQFIYILGNRSKQ</t>
  </si>
  <si>
    <t>ADKLYKSMKGAGTDE</t>
  </si>
  <si>
    <t>ADKLYKSMKGAGTDEK</t>
  </si>
  <si>
    <t>AERLFKAMKGLGTRDN</t>
  </si>
  <si>
    <t>EAQFIYILGNRSKQ</t>
  </si>
  <si>
    <t>KLYKSMKGAGTDE</t>
  </si>
  <si>
    <t>TDEAQFIYILGNRSKQH</t>
  </si>
  <si>
    <t>DAAGQFFPEAAQVAYQ</t>
  </si>
  <si>
    <t>Deamidated(Q)@12</t>
  </si>
  <si>
    <t>GTDEAQFIYILGNRSKQ</t>
  </si>
  <si>
    <t>MHQLVAAYKDAYERDLE</t>
  </si>
  <si>
    <t>sp|P08195|4F2_HUMAN</t>
  </si>
  <si>
    <t>4F2 cell-surface antigen heavy chain OS=Homo sapiens GN=SLC3A2 PE=1 SV=3</t>
  </si>
  <si>
    <t>GRLDYLSSLKVKGLV</t>
  </si>
  <si>
    <t>KGRLDYLSSLKVK</t>
  </si>
  <si>
    <t>sp|P08237|PFKAM_HUMAN</t>
  </si>
  <si>
    <t>ATP-dependent 6-phosphofructokinase, muscle type OS=Homo sapiens GN=PFKM PE=1 SV=2</t>
  </si>
  <si>
    <t>LPKKSFEQISANITK</t>
  </si>
  <si>
    <t>LPKKSFEQISANITKFN</t>
  </si>
  <si>
    <t>sp|P08238|HS90B_HUMAN; sp|Q58FF7|H90B3_HUMAN</t>
  </si>
  <si>
    <t>Heat shock protein HSP 90-beta OS=Homo sapiens GN=HSP90AB1 PE=1 SV=4; Putative heat shock protein HSP 90-beta-3 OS=Homo sapiens GN=HSP90AB3P PE=5 SV=1</t>
  </si>
  <si>
    <t>VHHGEEEVETF</t>
  </si>
  <si>
    <t>sp|P08240|SRPR_HUMAN</t>
  </si>
  <si>
    <t>Signal recognition particle receptor subunit alpha OS=Homo sapiens GN=SRPR PE=1 SV=2</t>
  </si>
  <si>
    <t>FQNDFLRLL</t>
  </si>
  <si>
    <t>sp|P08243|ASNS_HUMAN</t>
  </si>
  <si>
    <t>Asparagine synthetase [glutamine-hydrolyzing] OS=Homo sapiens GN=ASNS PE=1 SV=4</t>
  </si>
  <si>
    <t>FRFENVNGY</t>
  </si>
  <si>
    <t>NNLRILFNNAVKK</t>
  </si>
  <si>
    <t>sp|P08670|VIME_HUMAN</t>
  </si>
  <si>
    <t>Vimentin OS=Homo sapiens GN=VIM PE=1 SV=4</t>
  </si>
  <si>
    <t>sp|P08758|ANXA5_HUMAN</t>
  </si>
  <si>
    <t>Annexin A5 OS=Homo sapiens GN=ANXA5 PE=1 SV=2</t>
  </si>
  <si>
    <t>ETLYYAMKGAGTDDH</t>
  </si>
  <si>
    <t>AETLYYAMKGAGTDDHT</t>
  </si>
  <si>
    <t>KLIVALMKPSRLYDA</t>
  </si>
  <si>
    <t>LAETLYYAMKGAGTDDH</t>
  </si>
  <si>
    <t>Oxidation(M)@7</t>
  </si>
  <si>
    <t>FAAATGATPIAGRF</t>
  </si>
  <si>
    <t>sp|P09211|GSTP1_HUMAN</t>
  </si>
  <si>
    <t>Glutathione S-transferase P OS=Homo sapiens GN=GSTP1 PE=1 SV=2</t>
  </si>
  <si>
    <t>AGKDDYVKALPGQLKPFE</t>
  </si>
  <si>
    <t>GKDDYVKALPGQLKPFE</t>
  </si>
  <si>
    <t>KDDYVKALPGQLKPFE</t>
  </si>
  <si>
    <t>LASPEYVNLPINGNGKQ</t>
  </si>
  <si>
    <t>sp|P09326|CD48_HUMAN</t>
  </si>
  <si>
    <t>CD48 antigen OS=Homo sapiens GN=CD48 PE=1 SV=2</t>
  </si>
  <si>
    <t>NSTYIMRVL</t>
  </si>
  <si>
    <t>YSRCYTCQVSNSVSSK</t>
  </si>
  <si>
    <t>Dehydro(C)@7</t>
  </si>
  <si>
    <t>sp|P09496|CLCA_HUMAN</t>
  </si>
  <si>
    <t>Clathrin light chain A OS=Homo sapiens GN=CLTA PE=1 SV=1</t>
  </si>
  <si>
    <t>ISLKQAPLVH</t>
  </si>
  <si>
    <t>sp|P09497|CLCB_HUMAN</t>
  </si>
  <si>
    <t>Clathrin light chain B OS=Homo sapiens GN=CLTB PE=1 SV=1</t>
  </si>
  <si>
    <t>SVLMSLKQTPLSR</t>
  </si>
  <si>
    <t>sp|P09525|ANXA4_HUMAN</t>
  </si>
  <si>
    <t>Annexin A4 OS=Homo sapiens GN=ANXA4 PE=1 SV=4</t>
  </si>
  <si>
    <t>IRAHFKRLY</t>
  </si>
  <si>
    <t>sp|P09601|HMOX1_HUMAN</t>
  </si>
  <si>
    <t>Heme oxygenase 1 OS=Homo sapiens GN=HMOX1 PE=1 SV=1</t>
  </si>
  <si>
    <t>SQAPLLRWV</t>
  </si>
  <si>
    <t>sp|P09622|DLDH_HUMAN</t>
  </si>
  <si>
    <t>Dihydrolipoyl dehydrogenase, mitochondrial OS=Homo sapiens GN=DLD PE=1 SV=2</t>
  </si>
  <si>
    <t>DTKNILIATGSEVTPFPG</t>
  </si>
  <si>
    <t>RNQGGYGGSSSSSSY</t>
  </si>
  <si>
    <t>sp|P09913|IFIT2_HUMAN</t>
  </si>
  <si>
    <t>Interferon-induced protein with tetratricopeptide repeats 2 OS=Homo sapiens GN=IFIT2 PE=1 SV=1</t>
  </si>
  <si>
    <t>sp|P09936|UCHL1_HUMAN</t>
  </si>
  <si>
    <t>Ubiquitin carboxyl-terminal hydrolase isozyme L1 OS=Homo sapiens GN=UCHL1 PE=1 SV=2</t>
  </si>
  <si>
    <t>RKKQIEELKGQEVSPK</t>
  </si>
  <si>
    <t>KKQIEELKGQEVSPK</t>
  </si>
  <si>
    <t>Deamidated(Q)@10</t>
  </si>
  <si>
    <t>sp|P0C0L5|CO4B_HUMAN; sp|P0C0L4|CO4A_HUMAN</t>
  </si>
  <si>
    <t>Complement C4-B OS=Homo sapiens GN=C4B PE=1 SV=2; Complement C4-A OS=Homo sapiens GN=C4A PE=1 SV=2</t>
  </si>
  <si>
    <t>HGLAVFQDEGAEPLKQRVE</t>
  </si>
  <si>
    <t>LAVFQDEGAEPLKQ</t>
  </si>
  <si>
    <t>DVPRGQVVKGSVFLRNPS</t>
  </si>
  <si>
    <t>IQQFRKADGSYAAW</t>
  </si>
  <si>
    <t>sp|P0C1S8|WEE2_HUMAN</t>
  </si>
  <si>
    <t>Wee1-like protein kinase 2 OS=Homo sapiens GN=WEE2 PE=2 SV=2</t>
  </si>
  <si>
    <t>KLKDILLQI</t>
  </si>
  <si>
    <t>sp|P0C6T2|OST4_HUMAN</t>
  </si>
  <si>
    <t>Dolichyl-diphosphooligosaccharide--protein glycosyltransferase subunit 4 OS=Homo sapiens GN=OST4 PE=1 SV=1</t>
  </si>
  <si>
    <t>VLYHYVAVNNPKKQE</t>
  </si>
  <si>
    <t>sp|P0CW22|RS17L_HUMAN; sp|P08708|RS17_HUMAN</t>
  </si>
  <si>
    <t>40S ribosomal protein S17-like OS=Homo sapiens GN=RPS17L PE=1 SV=1; 40S ribosomal protein S17 OS=Homo sapiens GN=RPS17 PE=1 SV=2</t>
  </si>
  <si>
    <t>IIEVDPDTKEM</t>
  </si>
  <si>
    <t>sp|P10253|LYAG_HUMAN</t>
  </si>
  <si>
    <t>Lysosomal alpha-glucosidase OS=Homo sapiens GN=GAA PE=1 SV=4</t>
  </si>
  <si>
    <t>AGYIIPLQGPGLTTTESR</t>
  </si>
  <si>
    <t>AGYIIPLQGPGLTTTESRQ</t>
  </si>
  <si>
    <t>RAGYIIPLQGPGLTTT</t>
  </si>
  <si>
    <t>RAGYIIPLQGPGLTTTE</t>
  </si>
  <si>
    <t>RAGYIIPLQGPGLTTTESR</t>
  </si>
  <si>
    <t>RAGYIIPLQGPGLTTTESRQ</t>
  </si>
  <si>
    <t>RAGYIIPLQGPGLTTTESRQQPM</t>
  </si>
  <si>
    <t>Oxidation(M)@23</t>
  </si>
  <si>
    <t>RAGYIIPLQGPGLTTTESRQQPMA</t>
  </si>
  <si>
    <t>Deamidated(Q)@9; Oxidation(M)@23</t>
  </si>
  <si>
    <t>sp|P10412|H14_HUMAN</t>
  </si>
  <si>
    <t>Histone H1.4 OS=Homo sapiens GN=HIST1H1E PE=1 SV=2</t>
  </si>
  <si>
    <t>SETAPAAPAAPAPAEKTPV</t>
  </si>
  <si>
    <t>sp|P10515|ODP2_HUMAN</t>
  </si>
  <si>
    <t>Dihydrolipoyllysine-residue acetyltransferase component of pyruvate dehydrogenase complex, mitochondrial OS=Homo sapiens GN=DLAT PE=1 SV=3</t>
  </si>
  <si>
    <t>sp|P10586|PTPRF_HUMAN</t>
  </si>
  <si>
    <t>Receptor-type tyrosine-protein phosphatase F OS=Homo sapiens GN=PTPRF PE=1 SV=2</t>
  </si>
  <si>
    <t>MRYEGVVDMF</t>
  </si>
  <si>
    <t>sp|P10606|COX5B_HUMAN</t>
  </si>
  <si>
    <t>Cytochrome c oxidase subunit 5B, mitochondrial OS=Homo sapiens GN=COX5B PE=1 SV=2</t>
  </si>
  <si>
    <t>GAHYKLVPQQLAH</t>
  </si>
  <si>
    <t>AKDVKFGADARALM</t>
  </si>
  <si>
    <t>DKYKNIGAKLVQDVA</t>
  </si>
  <si>
    <t>KDKYKNIGAKLVQD</t>
  </si>
  <si>
    <t>YAKDVKFGADARALM</t>
  </si>
  <si>
    <t>sp|P10826|RARB_HUMAN</t>
  </si>
  <si>
    <t>Retinoic acid receptor beta OS=Homo sapiens GN=RARB PE=1 SV=2</t>
  </si>
  <si>
    <t>RRPSKPHMF</t>
  </si>
  <si>
    <t>sp|P10912|GHR_HUMAN</t>
  </si>
  <si>
    <t>Growth hormone receptor OS=Homo sapiens GN=GHR PE=1 SV=1</t>
  </si>
  <si>
    <t>SPQGLILNATALPLPDK</t>
  </si>
  <si>
    <t>SPQGLILNATALPLPDKE</t>
  </si>
  <si>
    <t>sp|P11021|GRP78_HUMAN</t>
  </si>
  <si>
    <t>78 kDa glucose-regulated protein OS=Homo sapiens GN=HSPA5 PE=1 SV=2</t>
  </si>
  <si>
    <t>VQQDIKFLPFKVVEKKT</t>
  </si>
  <si>
    <t>sp|P11166|GTR1_HUMAN</t>
  </si>
  <si>
    <t>Solute carrier family 2, facilitated glucose transporter member 1 OS=Homo sapiens GN=SLC2A1 PE=1 SV=2</t>
  </si>
  <si>
    <t>VPMYVGEVSPTALRG</t>
  </si>
  <si>
    <t>IAQVFGLDSIMGNKD</t>
  </si>
  <si>
    <t>sp|P11177|ODPB_HUMAN</t>
  </si>
  <si>
    <t>Pyruvate dehydrogenase E1 component subunit beta, mitochondrial OS=Homo sapiens GN=PDHB PE=1 SV=3</t>
  </si>
  <si>
    <t>GPAFNFLDAPAVRVTG</t>
  </si>
  <si>
    <t>sp|P11279|LAMP1_HUMAN</t>
  </si>
  <si>
    <t>Lysosome-associated membrane glycoprotein 1 OS=Homo sapiens GN=LAMP1 PE=1 SV=3</t>
  </si>
  <si>
    <t>IRADIDKKY</t>
  </si>
  <si>
    <t>SGFSGVIRL</t>
  </si>
  <si>
    <t>FYYDGKVMKL</t>
  </si>
  <si>
    <t>sp|P11388|TOP2A_HUMAN</t>
  </si>
  <si>
    <t>DNA topoisomerase 2-alpha OS=Homo sapiens GN=TOP2A PE=1 SV=3</t>
  </si>
  <si>
    <t>LRNEKEQEL</t>
  </si>
  <si>
    <t>sp|P11511|CP19A_HUMAN</t>
  </si>
  <si>
    <t>Aromatase OS=Homo sapiens GN=CYP19A1 PE=1 SV=3</t>
  </si>
  <si>
    <t>SGPGLVRMV</t>
  </si>
  <si>
    <t>sp|P11717|MPRI_HUMAN</t>
  </si>
  <si>
    <t>Cation-independent mannose-6-phosphate receptor OS=Homo sapiens GN=IGF2R PE=1 SV=3</t>
  </si>
  <si>
    <t>GASFGRLQSMKLDYRH</t>
  </si>
  <si>
    <t>DLNPLIKLSGAYLVDDSD</t>
  </si>
  <si>
    <t>DLNPLIKLSGAYLVDDSDPDT</t>
  </si>
  <si>
    <t>sp|P11940|PABP1_HUMAN</t>
  </si>
  <si>
    <t>Polyadenylate-binding protein 1 OS=Homo sapiens GN=PABPC1 PE=1 SV=2</t>
  </si>
  <si>
    <t>AERAIEKMNGMLLNDRK</t>
  </si>
  <si>
    <t>AERAIEKMNGMLLNDR</t>
  </si>
  <si>
    <t>Oxidation(M)@8; Oxidation(M)@11</t>
  </si>
  <si>
    <t>QRMASVRAV</t>
  </si>
  <si>
    <t>RAIEKMNGMLLNDRK</t>
  </si>
  <si>
    <t>sp|P12074|CX6A1_HUMAN</t>
  </si>
  <si>
    <t>Cytochrome c oxidase subunit 6A1, mitochondrial OS=Homo sapiens GN=COX6A1 PE=1 SV=4</t>
  </si>
  <si>
    <t>ARMWKTLTF</t>
  </si>
  <si>
    <t>sp|P12081|SYHC_HUMAN</t>
  </si>
  <si>
    <t>Histidine--tRNA ligase, cytoplasmic OS=Homo sapiens GN=HARS PE=1 SV=2</t>
  </si>
  <si>
    <t>KRYHIAKVY</t>
  </si>
  <si>
    <t>VRKNIEVRL</t>
  </si>
  <si>
    <t>VVQHYWDVLVQ</t>
  </si>
  <si>
    <t>sp|P13498|CY24A_HUMAN</t>
  </si>
  <si>
    <t>Cytochrome b-245 light chain OS=Homo sapiens GN=CYBA PE=1 SV=3</t>
  </si>
  <si>
    <t>TRNYYVRAV</t>
  </si>
  <si>
    <t>QPPRQVILTLQPTLVAVGK</t>
  </si>
  <si>
    <t>LEGEGSSGGGGRGGGSF</t>
  </si>
  <si>
    <t>SSGSVGESSSKGPRY</t>
  </si>
  <si>
    <t>sp|P13647|K2C5_HUMAN</t>
  </si>
  <si>
    <t>Keratin, type II cytoskeletal 5 OS=Homo sapiens GN=KRT5 PE=1 SV=3</t>
  </si>
  <si>
    <t>VSTTSSSRKSFK</t>
  </si>
  <si>
    <t>VSTTSSSRKSFKS</t>
  </si>
  <si>
    <t>sp|P13747|HLAE_HUMAN</t>
  </si>
  <si>
    <t>HLA class I histocompatibility antigen, alpha chain E OS=Homo sapiens GN=HLA-E PE=1 SV=3</t>
  </si>
  <si>
    <t>GSHSLKYFHTSVSRPG</t>
  </si>
  <si>
    <t>sp|P13796|PLSL_HUMAN</t>
  </si>
  <si>
    <t>Plastin-2 OS=Homo sapiens GN=LCP1 PE=1 SV=6</t>
  </si>
  <si>
    <t>IKIFHGLKSTDVAK</t>
  </si>
  <si>
    <t>KIFHGLKSTDVAK</t>
  </si>
  <si>
    <t>SINYDLLKTENLNDDEK</t>
  </si>
  <si>
    <t>DSKAYYHLLEQVAPK</t>
  </si>
  <si>
    <t>FIKIFHGLKSTDVAK</t>
  </si>
  <si>
    <t>LREAKKSSSISSFKDPKISTS</t>
  </si>
  <si>
    <t>REAKKSSSISSFKDPKISTS</t>
  </si>
  <si>
    <t>Deamidated(R)@1</t>
  </si>
  <si>
    <t>sp|P13798|ACPH_HUMAN</t>
  </si>
  <si>
    <t>Acylamino-acid-releasing enzyme OS=Homo sapiens GN=APEH PE=1 SV=4</t>
  </si>
  <si>
    <t>DSILSLPGNVGHQ</t>
  </si>
  <si>
    <t>sp|P13804|ETFA_HUMAN</t>
  </si>
  <si>
    <t>Electron transfer flavoprotein subunit alpha, mitochondrial OS=Homo sapiens GN=ETFA PE=1 SV=1</t>
  </si>
  <si>
    <t>VIAEHANDSL</t>
  </si>
  <si>
    <t>sp|P14174|MIF_HUMAN</t>
  </si>
  <si>
    <t>Macrophage migration inhibitory factor OS=Homo sapiens GN=MIF PE=1 SV=4</t>
  </si>
  <si>
    <t>IVNTNVPRASVPDGFLSEL</t>
  </si>
  <si>
    <t>NAANVGWNNSTF</t>
  </si>
  <si>
    <t>PMFIVNTNVPRASVPDG</t>
  </si>
  <si>
    <t>Methyl(D)@16</t>
  </si>
  <si>
    <t>sp|P14317|HCLS1_HUMAN</t>
  </si>
  <si>
    <t>Hematopoietic lineage cell-specific protein OS=Homo sapiens GN=HCLS1 PE=1 SV=3</t>
  </si>
  <si>
    <t>AEPEPEPEPEPEPENDYEDVEEMDRH</t>
  </si>
  <si>
    <t>sp|P14324|FPPS_HUMAN</t>
  </si>
  <si>
    <t>Farnesyl pyrophosphate synthase OS=Homo sapiens GN=FDPS PE=1 SV=4</t>
  </si>
  <si>
    <t>KRYKSIVKY</t>
  </si>
  <si>
    <t>RATPEQYQILKENYGQKEA</t>
  </si>
  <si>
    <t>sp|P14406|CX7A2_HUMAN</t>
  </si>
  <si>
    <t>Cytochrome c oxidase subunit 7A2, mitochondrial OS=Homo sapiens GN=COX7A2 PE=1 SV=1</t>
  </si>
  <si>
    <t>AVASFPKKQE</t>
  </si>
  <si>
    <t>sp|P14543|NID1_HUMAN</t>
  </si>
  <si>
    <t>Nidogen-1 OS=Homo sapiens GN=NID1 PE=1 SV=3</t>
  </si>
  <si>
    <t>IRAAWTRAL</t>
  </si>
  <si>
    <t>PTEATAVGAVEASFK</t>
  </si>
  <si>
    <t>SGMNVARLN</t>
  </si>
  <si>
    <t>sp|P14625|ENPL_HUMAN; sp|Q58FF3|ENPLL_HUMAN</t>
  </si>
  <si>
    <t>Endoplasmin OS=Homo sapiens GN=HSP90B1 PE=1 SV=1; Putative endoplasmin-like protein OS=Homo sapiens GN=HSP90B2P PE=5 SV=1</t>
  </si>
  <si>
    <t>KKSDYIKLY</t>
  </si>
  <si>
    <t>LPEFDGKRFQNVA</t>
  </si>
  <si>
    <t>sp|P14923|PLAK_HUMAN</t>
  </si>
  <si>
    <t>Junction plakoglobin OS=Homo sapiens GN=JUP PE=1 SV=3</t>
  </si>
  <si>
    <t>LKSAIVHLI</t>
  </si>
  <si>
    <t>sp|P15104|GLNA_HUMAN</t>
  </si>
  <si>
    <t>Glutamine synthetase OS=Homo sapiens GN=GLUL PE=1 SV=4</t>
  </si>
  <si>
    <t>LNETGDEPFQYK</t>
  </si>
  <si>
    <t>LNETGDEPFQYKN</t>
  </si>
  <si>
    <t>TTSASSHLNKGIKQVY</t>
  </si>
  <si>
    <t>sp|P15170|ERF3A_HUMAN</t>
  </si>
  <si>
    <t>Eukaryotic peptide chain release factor GTP-binding subunit ERF3A OS=Homo sapiens GN=GSPT1 PE=1 SV=1</t>
  </si>
  <si>
    <t>KKHFTILDAPGHK</t>
  </si>
  <si>
    <t>sp|P15884|ITF2_HUMAN</t>
  </si>
  <si>
    <t>Transcription factor 4 OS=Homo sapiens GN=TCF4 PE=1 SV=3</t>
  </si>
  <si>
    <t>SANRHSLM</t>
  </si>
  <si>
    <t>sp|P15954|COX7C_HUMAN</t>
  </si>
  <si>
    <t>Cytochrome c oxidase subunit 7C, mitochondrial OS=Homo sapiens GN=COX7C PE=1 SV=1</t>
  </si>
  <si>
    <t>ATPFLVVRHQLLKT</t>
  </si>
  <si>
    <t>SHYEEGPGKNLP</t>
  </si>
  <si>
    <t>FRNPDENSRGML</t>
  </si>
  <si>
    <t>AAKPKVVKPK</t>
  </si>
  <si>
    <t>sp|P16615|AT2A2_HUMAN</t>
  </si>
  <si>
    <t>Sarcoplasmic/endoplasmic reticulum calcium ATPase 2 OS=Homo sapiens GN=ATP2A2 PE=1 SV=1</t>
  </si>
  <si>
    <t>IINIGHFNDPVHGGS</t>
  </si>
  <si>
    <t>sp|P16671|CD36_HUMAN</t>
  </si>
  <si>
    <t>Platelet glycoprotein 4 OS=Homo sapiens GN=CD36 PE=1 SV=2</t>
  </si>
  <si>
    <t>GYRDPFLSLVPYPVTTT</t>
  </si>
  <si>
    <t>EGTIAFKNWVKTGTE</t>
  </si>
  <si>
    <t>KQVVLEEGTIAFK</t>
  </si>
  <si>
    <t>YRDPFLSLVPYPVT</t>
  </si>
  <si>
    <t>sp|P17302|CXA1_HUMAN</t>
  </si>
  <si>
    <t>Gap junction alpha-1 protein OS=Homo sapiens GN=GJA1 PE=1 SV=2</t>
  </si>
  <si>
    <t>KSFPISHV</t>
  </si>
  <si>
    <t>sp|P17405|ASM_HUMAN</t>
  </si>
  <si>
    <t>Sphingomyelin phosphodiesterase OS=Homo sapiens GN=SMPD1 PE=1 SV=4</t>
  </si>
  <si>
    <t>RIGGFYALSPYPGLR</t>
  </si>
  <si>
    <t>SPYPGLRLI</t>
  </si>
  <si>
    <t>sp|P17480|UBF1_HUMAN</t>
  </si>
  <si>
    <t>Nucleolar transcription factor 1 OS=Homo sapiens GN=UBTF PE=1 SV=1</t>
  </si>
  <si>
    <t>FKNDRVKAL</t>
  </si>
  <si>
    <t>sp|P17844|DDX5_HUMAN</t>
  </si>
  <si>
    <t>Probable ATP-dependent RNA helicase DDX5 OS=Homo sapiens GN=DDX5 PE=1 SV=1</t>
  </si>
  <si>
    <t>HNGMNQQAYAYP</t>
  </si>
  <si>
    <t>HNGMNQQAYAYPAT</t>
  </si>
  <si>
    <t>ISHGHTVYV</t>
  </si>
  <si>
    <t>sp|P17980|PRS6A_HUMAN</t>
  </si>
  <si>
    <t>26S protease regulatory subunit 6A OS=Homo sapiens GN=PSMC3 PE=1 SV=3</t>
  </si>
  <si>
    <t>DSEIKIMKSEVLR</t>
  </si>
  <si>
    <t>sp|P17987|TCPA_HUMAN</t>
  </si>
  <si>
    <t>T-complex protein 1 subunit alpha OS=Homo sapiens GN=TCP1 PE=1 SV=1</t>
  </si>
  <si>
    <t>DDELILIKNTKAR</t>
  </si>
  <si>
    <t>sp|P18124|RL7_HUMAN</t>
  </si>
  <si>
    <t>60S ribosomal protein L7 OS=Homo sapiens GN=RPL7 PE=1 SV=1</t>
  </si>
  <si>
    <t>LRKKFAQKM</t>
  </si>
  <si>
    <t>sp|P18206|VINC_HUMAN</t>
  </si>
  <si>
    <t>Vinculin OS=Homo sapiens GN=VCL PE=1 SV=4</t>
  </si>
  <si>
    <t>SPVAMQKAQQVSQG</t>
  </si>
  <si>
    <t>sp|P18433|PTPRA_HUMAN</t>
  </si>
  <si>
    <t>Receptor-type tyrosine-protein phosphatase alpha OS=Homo sapiens GN=PTPRA PE=1 SV=2</t>
  </si>
  <si>
    <t>LEEEFKKLTSIKIQND</t>
  </si>
  <si>
    <t>LEEEFKKLTSIKIQNDK</t>
  </si>
  <si>
    <t>RQKDSYIASQGPLLHTIE</t>
  </si>
  <si>
    <t>EEFKKLTSIKIQNDK</t>
  </si>
  <si>
    <t>QKDSYIASQGPLLHTI</t>
  </si>
  <si>
    <t>QKDSYIASQGPLLHTIE</t>
  </si>
  <si>
    <t>sp|P18583|SON_HUMAN</t>
  </si>
  <si>
    <t>Protein SON OS=Homo sapiens GN=SON PE=1 SV=4</t>
  </si>
  <si>
    <t>MSYAAERSM</t>
  </si>
  <si>
    <t>sp|P18669|PGAM1_HUMAN</t>
  </si>
  <si>
    <t>Phosphoglycerate mutase 1 OS=Homo sapiens GN=PGAM1 PE=1 SV=2</t>
  </si>
  <si>
    <t>GKRVLIAAHGNSLR</t>
  </si>
  <si>
    <t>RVLIAAHGNSLRG</t>
  </si>
  <si>
    <t>sp|P18859|ATP5J_HUMAN</t>
  </si>
  <si>
    <t>ATP synthase-coupling factor 6, mitochondrial OS=Homo sapiens GN=ATP5J PE=1 SV=1</t>
  </si>
  <si>
    <t>NKELDPIQKLF</t>
  </si>
  <si>
    <t>sp|P19105|ML12A_HUMAN; sp|O14950|ML12B_HUMAN</t>
  </si>
  <si>
    <t>Myosin regulatory light chain 12A OS=Homo sapiens GN=MYL12A PE=1 SV=2; Myosin regulatory light chain 12B OS=Homo sapiens GN=MYL12B PE=1 SV=2</t>
  </si>
  <si>
    <t>NYIEFTRIL</t>
  </si>
  <si>
    <t>sp|P19174|PLCG1_HUMAN</t>
  </si>
  <si>
    <t>1-phosphatidylinositol 4,5-bisphosphate phosphodiesterase gamma-1 OS=Homo sapiens GN=PLCG1 PE=1 SV=1</t>
  </si>
  <si>
    <t>SDQNFLAQATFPVKG</t>
  </si>
  <si>
    <t>SDQNFLAQATFPVKGLK</t>
  </si>
  <si>
    <t>sp|P19447|ERCC3_HUMAN</t>
  </si>
  <si>
    <t>TFIIH basal transcription factor complex helicase XPB subunit OS=Homo sapiens GN=ERCC3 PE=1 SV=1</t>
  </si>
  <si>
    <t>VSYGKVKLV</t>
  </si>
  <si>
    <t>sp|P19525|E2AK2_HUMAN</t>
  </si>
  <si>
    <t>Interferon-induced, double-stranded RNA-activated protein kinase OS=Homo sapiens GN=EIF2AK2 PE=1 SV=2</t>
  </si>
  <si>
    <t>NTSEILRTL</t>
  </si>
  <si>
    <t>sp|P19623|SPEE_HUMAN</t>
  </si>
  <si>
    <t>Spermidine synthase OS=Homo sapiens GN=SRM PE=1 SV=1</t>
  </si>
  <si>
    <t>VAQMQLKYYNSDVHR</t>
  </si>
  <si>
    <t>VAQMQLKYYNSDVHRA</t>
  </si>
  <si>
    <t>sp|P19784|CSK22_HUMAN</t>
  </si>
  <si>
    <t>Casein kinase II subunit alpha' OS=Homo sapiens GN=CSNK2A2 PE=1 SV=1</t>
  </si>
  <si>
    <t>LRYDHQQRL</t>
  </si>
  <si>
    <t>sp|P19823|ITIH2_HUMAN</t>
  </si>
  <si>
    <t>Inter-alpha-trypsin inhibitor heavy chain H2 OS=Homo sapiens GN=ITIH2 PE=1 SV=2</t>
  </si>
  <si>
    <t>FYNQVSTPLLRNVQF</t>
  </si>
  <si>
    <t>FYNQVSTPLLRNVQFN</t>
  </si>
  <si>
    <t>sp|P19838|NFKB1_HUMAN</t>
  </si>
  <si>
    <t>Nuclear factor NF-kappa-B p105 subunit OS=Homo sapiens GN=NFKB1 PE=1 SV=2</t>
  </si>
  <si>
    <t>IIHLHSQL</t>
  </si>
  <si>
    <t>sp|P19971|TYPH_HUMAN</t>
  </si>
  <si>
    <t>Thymidine phosphorylase OS=Homo sapiens GN=TYMP PE=1 SV=2</t>
  </si>
  <si>
    <t>SDRAPFAAPSPFAE</t>
  </si>
  <si>
    <t>sp|P20062|TCO2_HUMAN</t>
  </si>
  <si>
    <t>Transcobalamin-2 OS=Homo sapiens GN=TCN2 PE=1 SV=3</t>
  </si>
  <si>
    <t>LPPYRQSISVLAGST</t>
  </si>
  <si>
    <t>sp|P20073|ANXA7_HUMAN</t>
  </si>
  <si>
    <t>Annexin A7 OS=Homo sapiens GN=ANXA7 PE=1 SV=3</t>
  </si>
  <si>
    <t>INHQMAQEDAQRLYQA</t>
  </si>
  <si>
    <t>INHQMAQEDAQRLYQAG</t>
  </si>
  <si>
    <t>sp|P20591|MX1_HUMAN</t>
  </si>
  <si>
    <t>Interferon-induced GTP-binding protein Mx1 OS=Homo sapiens GN=MX1 PE=1 SV=4</t>
  </si>
  <si>
    <t>KVVDVVRNL</t>
  </si>
  <si>
    <t>sp|P20700|LMNB1_HUMAN</t>
  </si>
  <si>
    <t>Lamin-B1 OS=Homo sapiens GN=LMNB1 PE=1 SV=2</t>
  </si>
  <si>
    <t>YIDKVRSL</t>
  </si>
  <si>
    <t>sp|P20929|NEBU_HUMAN</t>
  </si>
  <si>
    <t>Nebulin OS=Homo sapiens GN=NEB PE=1 SV=5</t>
  </si>
  <si>
    <t>DHLDIDHNKKID</t>
  </si>
  <si>
    <t>sp|P20930|FILA_HUMAN; sp|P20930|FILA_HUMAN</t>
  </si>
  <si>
    <t>Filaggrin OS=Homo sapiens GN=FLG PE=1 SV=3; Filaggrin OS=Homo sapiens GN=FLG PE=1 SV=3</t>
  </si>
  <si>
    <t>TRHTQTSSGGQAASSHEQAR</t>
  </si>
  <si>
    <t>sp|P21281|VATB2_HUMAN; sp|P15313|VATB1_HUMAN</t>
  </si>
  <si>
    <t>V-type proton ATPase subunit B, brain isoform OS=Homo sapiens GN=ATP6V1B2 PE=1 SV=3; V-type proton ATPase subunit B, kidney isoform OS=Homo sapiens GN=ATP6V1B1 PE=1 SV=3</t>
  </si>
  <si>
    <t>SHPNKVKVY</t>
  </si>
  <si>
    <t>VVGKSADFVVEAIGDD</t>
  </si>
  <si>
    <t>sp|P21359|NF1_HUMAN</t>
  </si>
  <si>
    <t>Neurofibromin OS=Homo sapiens GN=NF1 PE=1 SV=2</t>
  </si>
  <si>
    <t>sp|P21580|TNAP3_HUMAN</t>
  </si>
  <si>
    <t>Tumor necrosis factor alpha-induced protein 3 OS=Homo sapiens GN=TNFAIP3 PE=1 SV=1</t>
  </si>
  <si>
    <t>sp|P22061|PIMT_HUMAN</t>
  </si>
  <si>
    <t>Protein-L-isoaspartate(D-aspartate) O-methyltransferase OS=Homo sapiens GN=PCMT1 PE=1 SV=4</t>
  </si>
  <si>
    <t>SHSELIHNL</t>
  </si>
  <si>
    <t>sp|P22102|PUR2_HUMAN</t>
  </si>
  <si>
    <t>Trifunctional purine biosynthetic protein adenosine-3 OS=Homo sapiens GN=GART PE=1 SV=1</t>
  </si>
  <si>
    <t>DAGQIILQEAVPVKR</t>
  </si>
  <si>
    <t>DAGQIILQEAVPVKRGD</t>
  </si>
  <si>
    <t>DAGQIILQEAVPVKRGDT</t>
  </si>
  <si>
    <t>DVDAGQIILQEAVPVKR</t>
  </si>
  <si>
    <t>DVDAGQIILQEAVPVKRG</t>
  </si>
  <si>
    <t>DVDAGQIILQEAVPVKRGD</t>
  </si>
  <si>
    <t>DVDAGQIILQEAVPVKRGDT</t>
  </si>
  <si>
    <t>VDAGQIILQEAVPVKR</t>
  </si>
  <si>
    <t>VDAGQIILQEAVPVKRG</t>
  </si>
  <si>
    <t>VDAGQIILQEAVPVKRGD</t>
  </si>
  <si>
    <t>AVQEIMQEKAFGAAGET</t>
  </si>
  <si>
    <t>DAGQIILQEAVPVKRG</t>
  </si>
  <si>
    <t>EDVDAGQIILQEAVPVK</t>
  </si>
  <si>
    <t>EDVDAGQIILQEAVPVKRGDT</t>
  </si>
  <si>
    <t>HTLAWKLAQSHHVK</t>
  </si>
  <si>
    <t>HTLAWKLAQSHHVKQ</t>
  </si>
  <si>
    <t>VDAGQIILQEAVPVK</t>
  </si>
  <si>
    <t>VDAGQIILQEAVPVKRGDT</t>
  </si>
  <si>
    <t>QIILQEAVPVKR</t>
  </si>
  <si>
    <t>sp|P22234|PUR6_HUMAN</t>
  </si>
  <si>
    <t>Multifunctional protein ADE2 OS=Homo sapiens GN=PAICS PE=1 SV=3</t>
  </si>
  <si>
    <t>AAQIFGLSNHLVWSK</t>
  </si>
  <si>
    <t>NRYDGQVAVF</t>
  </si>
  <si>
    <t>sp|P22392|NDKB_HUMAN</t>
  </si>
  <si>
    <t>Nucleoside diphosphate kinase B OS=Homo sapiens GN=NME2 PE=1 SV=1</t>
  </si>
  <si>
    <t>ANLERTFIAIKPDGVQ</t>
  </si>
  <si>
    <t>ANLERTFIAIKPDGVQR</t>
  </si>
  <si>
    <t>ANLERTFIAIKPDGVQRG</t>
  </si>
  <si>
    <t>ANLERTFIAIKPDGVQRGL</t>
  </si>
  <si>
    <t>GGGNYGSGNYNDFGNY</t>
  </si>
  <si>
    <t>NYGPMKSGNFGGSRNM</t>
  </si>
  <si>
    <t>RNMGGPYGGGNYGP</t>
  </si>
  <si>
    <t>YGPMKSGNFGGS</t>
  </si>
  <si>
    <t>sp|P22681|CBL_HUMAN</t>
  </si>
  <si>
    <t>E3 ubiquitin-protein ligase CBL OS=Homo sapiens GN=CBL PE=1 SV=2</t>
  </si>
  <si>
    <t>SANAIYSLAARPLPVPK</t>
  </si>
  <si>
    <t>sp|P23193|TCEA1_HUMAN</t>
  </si>
  <si>
    <t>Transcription elongation factor A protein 1 OS=Homo sapiens GN=TCEA1 PE=1 SV=2</t>
  </si>
  <si>
    <t>TRIGMSVNAI</t>
  </si>
  <si>
    <t>sp|P23246|SFPQ_HUMAN</t>
  </si>
  <si>
    <t>Splicing factor, proline- and glutamine-rich OS=Homo sapiens GN=SFPQ PE=1 SV=2</t>
  </si>
  <si>
    <t>RSPPPGMGL</t>
  </si>
  <si>
    <t>sp|P23284|PPIB_HUMAN</t>
  </si>
  <si>
    <t>Peptidyl-prolyl cis-trans isomerase B OS=Homo sapiens GN=PPIB PE=1 SV=2</t>
  </si>
  <si>
    <t>KGFGYKNSKFHRVIK</t>
  </si>
  <si>
    <t>sp|P23381|SYWC_HUMAN</t>
  </si>
  <si>
    <t>Tryptophan--tRNA ligase, cytoplasmic OS=Homo sapiens GN=WARS PE=1 SV=2</t>
  </si>
  <si>
    <t>KNVVKIQKHVTFNQVK</t>
  </si>
  <si>
    <t>KNVVKIQKHVTFNQVKG</t>
  </si>
  <si>
    <t>sp|P23526|SAHH_HUMAN</t>
  </si>
  <si>
    <t>Adenosylhomocysteinase OS=Homo sapiens GN=AHCY PE=1 SV=4</t>
  </si>
  <si>
    <t>IDIILGRHFEQMKDDA</t>
  </si>
  <si>
    <t>sp|P24534|EF1B_HUMAN</t>
  </si>
  <si>
    <t>Elongation factor 1-beta OS=Homo sapiens GN=EEF1B2 PE=1 SV=3</t>
  </si>
  <si>
    <t>YVQSMDVAAFNKI</t>
  </si>
  <si>
    <t>DVKPWDDETDMAK</t>
  </si>
  <si>
    <t>GFGDLKSPAGLQVL</t>
  </si>
  <si>
    <t>GFGDLKSPAGLQVLND</t>
  </si>
  <si>
    <t>sp|P25774|CATS_HUMAN</t>
  </si>
  <si>
    <t>Cathepsin S OS=Homo sapiens GN=CTSS PE=1 SV=3</t>
  </si>
  <si>
    <t>GKLVSLSAQNLVD</t>
  </si>
  <si>
    <t>KNLKFVMLHNLEHSM</t>
  </si>
  <si>
    <t>TYLERHM</t>
  </si>
  <si>
    <t>sp|P25788|PSA3_HUMAN</t>
  </si>
  <si>
    <t>Proteasome subunit alpha type-3 OS=Homo sapiens GN=PSMA3 PE=1 SV=2</t>
  </si>
  <si>
    <t>SPDGRVFQVEYAMKAVENS</t>
  </si>
  <si>
    <t>sp|P25789|PSA4_HUMAN</t>
  </si>
  <si>
    <t>Proteasome subunit alpha type-4 OS=Homo sapiens GN=PSMA4 PE=1 SV=1</t>
  </si>
  <si>
    <t>FFSEKIYKL</t>
  </si>
  <si>
    <t>sp|P26010|ITB7_HUMAN</t>
  </si>
  <si>
    <t>Integrin beta-7 OS=Homo sapiens GN=ITGB7 PE=1 SV=1</t>
  </si>
  <si>
    <t>sp|P26038|MOES_HUMAN</t>
  </si>
  <si>
    <t>Moesin OS=Homo sapiens GN=MSN PE=1 SV=3</t>
  </si>
  <si>
    <t>DAELEFAIQPNTTGKQ</t>
  </si>
  <si>
    <t>DAELEFAIQPNTTGKQL</t>
  </si>
  <si>
    <t>TISVRVTTM</t>
  </si>
  <si>
    <t>VQKHLKALTSELANAR</t>
  </si>
  <si>
    <t>VQKHLKALTSELANARD</t>
  </si>
  <si>
    <t>VQKHLKALTSELANARDE</t>
  </si>
  <si>
    <t>AELEFAIQPNTTGKQ</t>
  </si>
  <si>
    <t>AELEFAIQPNTTGKQL</t>
  </si>
  <si>
    <t>LEFAIQPNTTGKQ</t>
  </si>
  <si>
    <t>LEFAIQPNTTGKQL</t>
  </si>
  <si>
    <t>RVQKHLKALTSELANARDE</t>
  </si>
  <si>
    <t>sp|P26196|DDX6_HUMAN</t>
  </si>
  <si>
    <t>Probable ATP-dependent RNA helicase DDX6 OS=Homo sapiens GN=DDX6 PE=1 SV=2</t>
  </si>
  <si>
    <t>AKVDHVQMI</t>
  </si>
  <si>
    <t>sp|P26641|EF1G_HUMAN</t>
  </si>
  <si>
    <t>Elongation factor 1-gamma OS=Homo sapiens GN=EEF1G PE=1 SV=3</t>
  </si>
  <si>
    <t>RTPEFLRKF</t>
  </si>
  <si>
    <t>AAGTLYTYPENWRAFKAL</t>
  </si>
  <si>
    <t>sp|P27348|1433T_HUMAN</t>
  </si>
  <si>
    <t>14-3-3 protein theta OS=Homo sapiens GN=YWHAQ PE=1 SV=1</t>
  </si>
  <si>
    <t>NEERNLLSVAYKNVVGGR</t>
  </si>
  <si>
    <t>SNEERNLLSVAYKNVVGGR</t>
  </si>
  <si>
    <t>sp|P27361|MK03_HUMAN</t>
  </si>
  <si>
    <t>Mitogen-activated protein kinase 3 OS=Homo sapiens GN=MAPK3 PE=1 SV=4</t>
  </si>
  <si>
    <t>TDLYKLLKSQQLSNDH</t>
  </si>
  <si>
    <t>ETDLYKLLKSQQLSNDH</t>
  </si>
  <si>
    <t>sp|P27449|VATL_HUMAN</t>
  </si>
  <si>
    <t>V-type proton ATPase 16 kDa proteolipid subunit OS=Homo sapiens GN=ATP6V0C PE=1 SV=1</t>
  </si>
  <si>
    <t>AAMVFSALGAAYGTAK</t>
  </si>
  <si>
    <t>AMVFSALGAAYGTAK</t>
  </si>
  <si>
    <t>VFSALGAAYGTAK</t>
  </si>
  <si>
    <t>sp|P27708|PYR1_HUMAN</t>
  </si>
  <si>
    <t>CAD protein OS=Homo sapiens GN=CAD PE=1 SV=3</t>
  </si>
  <si>
    <t>DKVYFLPITPHYVTQ</t>
  </si>
  <si>
    <t>KEEILLIKAAKAR</t>
  </si>
  <si>
    <t>KEEILLIKAAKARG</t>
  </si>
  <si>
    <t>RKEEILLIKAAKARG</t>
  </si>
  <si>
    <t>KDDEFTHLYTLIVRPD</t>
  </si>
  <si>
    <t>sp|P27824|CALX_HUMAN</t>
  </si>
  <si>
    <t>Calnexin OS=Homo sapiens GN=CANX PE=1 SV=2</t>
  </si>
  <si>
    <t>NPDNSFEILVDQSVVNSG</t>
  </si>
  <si>
    <t>sp|P27930|IL1R2_HUMAN</t>
  </si>
  <si>
    <t>Interleukin-1 receptor type 2 OS=Homo sapiens GN=IL1R2 PE=1 SV=1</t>
  </si>
  <si>
    <t>DVKIQWYKDSLLLDK</t>
  </si>
  <si>
    <t>TDVKIQWYKDSLLLDK</t>
  </si>
  <si>
    <t>Dioxidation(W)@7</t>
  </si>
  <si>
    <t>sp|P28068|DMB_HUMAN</t>
  </si>
  <si>
    <t>HLA class II histocompatibility antigen, DM beta chain OS=Homo sapiens GN=HLA-DMB PE=1 SV=1</t>
  </si>
  <si>
    <t>GVLNSLANVLSQH</t>
  </si>
  <si>
    <t>sp|P28161|GSTM2_HUMAN</t>
  </si>
  <si>
    <t>Glutathione S-transferase Mu 2 OS=Homo sapiens GN=GSTM2 PE=1 SV=2</t>
  </si>
  <si>
    <t>EDILENQFMDSRMQ</t>
  </si>
  <si>
    <t>Oxidation(M)@9; Oxidation(M)@13</t>
  </si>
  <si>
    <t>sp|P28288|ABCD3_HUMAN</t>
  </si>
  <si>
    <t>ATP-binding cassette sub-family D member 3 OS=Homo sapiens GN=ABCD3 PE=1 SV=1</t>
  </si>
  <si>
    <t>YRYVNSRLI</t>
  </si>
  <si>
    <t>sp|P28482|MK01_HUMAN</t>
  </si>
  <si>
    <t>Mitogen-activated protein kinase 1 OS=Homo sapiens GN=MAPK1 PE=1 SV=3</t>
  </si>
  <si>
    <t>TDLYKLLKTQHLSNDH</t>
  </si>
  <si>
    <t>DLYKLLKTQHLSNDH</t>
  </si>
  <si>
    <t>ETDLYKLLKTQHLSNDH</t>
  </si>
  <si>
    <t>HPYLEQYYDPSDEPI</t>
  </si>
  <si>
    <t>sp|P29218|IMPA1_HUMAN</t>
  </si>
  <si>
    <t>Inositol monophosphatase 1 OS=Homo sapiens GN=IMPA1 PE=1 SV=1</t>
  </si>
  <si>
    <t>YPSHSFIGEESVAAGEK</t>
  </si>
  <si>
    <t>KEKYPSHSFIGEESVAAGEK</t>
  </si>
  <si>
    <t>YPSHSFIGEESVAAGE</t>
  </si>
  <si>
    <t>sp|P29320|EPHA3_HUMAN</t>
  </si>
  <si>
    <t>Ephrin type-A receptor 3 OS=Homo sapiens GN=EPHA3 PE=1 SV=2</t>
  </si>
  <si>
    <t>IPQPSNEVNLLDSKTIQG</t>
  </si>
  <si>
    <t>NPGSLKIITSAAARP</t>
  </si>
  <si>
    <t>DHPNIIRLEGVVTKSKP</t>
  </si>
  <si>
    <t>EHQFTKIDTIAADES</t>
  </si>
  <si>
    <t>IPQPSNEVNLLDSKTIQGELG</t>
  </si>
  <si>
    <t>sp|P29508|SPB3_HUMAN</t>
  </si>
  <si>
    <t>Serpin B3 OS=Homo sapiens GN=SERPINB3 PE=1 SV=2</t>
  </si>
  <si>
    <t>NKSTDAYELKIANKLFGEKTYL</t>
  </si>
  <si>
    <t>sp|P30040|ERP29_HUMAN</t>
  </si>
  <si>
    <t>Endoplasmic reticulum resident protein 29 OS=Homo sapiens GN=ERP29 PE=1 SV=4</t>
  </si>
  <si>
    <t>EKQDEFKRLAENSASSDD</t>
  </si>
  <si>
    <t>DALAGEFIRASGVEARQA</t>
  </si>
  <si>
    <t>EKQDEFKRLAENSASSDDL</t>
  </si>
  <si>
    <t>sp|P30085|KCY_HUMAN</t>
  </si>
  <si>
    <t>UMP-CMP kinase OS=Homo sapiens GN=CMPK1 PE=1 SV=3</t>
  </si>
  <si>
    <t>KYGYTHLSAGELLRDE</t>
  </si>
  <si>
    <t>sp|P30086|PEBP1_HUMAN</t>
  </si>
  <si>
    <t>Phosphatidylethanolamine-binding protein 1 OS=Homo sapiens GN=PEBP1 PE=1 SV=3</t>
  </si>
  <si>
    <t>PVDLSKWSGP</t>
  </si>
  <si>
    <t>FRPSHLTNKF</t>
  </si>
  <si>
    <t>FRPSHLTNKFE</t>
  </si>
  <si>
    <t>sp|P30153|2AAA_HUMAN</t>
  </si>
  <si>
    <t>Serine/threonine-protein phosphatase 2A 65 kDa regulatory subunit A alpha isoform OS=Homo sapiens GN=PPP2R1A PE=1 SV=4</t>
  </si>
  <si>
    <t>HFVPLVKRL</t>
  </si>
  <si>
    <t>VKSEIIPMFSNLASDE</t>
  </si>
  <si>
    <t>VKSEIIPMFSNLASDEQ</t>
  </si>
  <si>
    <t>DNVKSEIIPMFSNLASDEQ</t>
  </si>
  <si>
    <t>sp|P30511|HLAF_HUMAN</t>
  </si>
  <si>
    <t>HLA class I histocompatibility antigen, alpha chain F OS=Homo sapiens GN=HLA-F PE=2 SV=3</t>
  </si>
  <si>
    <t>TWQRDGEEQTQDTEL</t>
  </si>
  <si>
    <t>sp|P30876|RPB2_HUMAN</t>
  </si>
  <si>
    <t>DNA-directed RNA polymerase II subunit RPB2 OS=Homo sapiens GN=POLR2B PE=1 SV=1</t>
  </si>
  <si>
    <t>ARGPIQILNR</t>
  </si>
  <si>
    <t>sp|P31150|GDIA_HUMAN; sp|P50395|GDIB_HUMAN</t>
  </si>
  <si>
    <t>Rab GDP dissociation inhibitor alpha OS=Homo sapiens GN=GDI1 PE=1 SV=2; Rab GDP dissociation inhibitor beta OS=Homo sapiens GN=GDI2 PE=1 SV=2</t>
  </si>
  <si>
    <t>YNGATRKL</t>
  </si>
  <si>
    <t>sp|P31785|IL2RG_HUMAN</t>
  </si>
  <si>
    <t>Cytokine receptor common subunit gamma OS=Homo sapiens GN=IL2RG PE=1 SV=1</t>
  </si>
  <si>
    <t>VYFWLERTM</t>
  </si>
  <si>
    <t>sp|P31939|PUR9_HUMAN</t>
  </si>
  <si>
    <t>Bifunctional purine biosynthesis protein PURH OS=Homo sapiens GN=ATIC PE=1 SV=3</t>
  </si>
  <si>
    <t>KRAEISNAIDQ</t>
  </si>
  <si>
    <t>SGVAYIAAPSGSAADK</t>
  </si>
  <si>
    <t>sp|P31943|HNRH1_HUMAN</t>
  </si>
  <si>
    <t>Heterogeneous nuclear ribonucleoprotein H OS=Homo sapiens GN=HNRNPH1 PE=1 SV=4</t>
  </si>
  <si>
    <t>IQNGAQGIRFI</t>
  </si>
  <si>
    <t>sp|P31944|CASPE_HUMAN</t>
  </si>
  <si>
    <t>Caspase-14 OS=Homo sapiens GN=CASP14 PE=1 SV=2</t>
  </si>
  <si>
    <t>SNPRSLEEEKYDMSGARLAL</t>
  </si>
  <si>
    <t>sp|P31946|1433B_HUMAN</t>
  </si>
  <si>
    <t>14-3-3 protein beta/alpha OS=Homo sapiens GN=YWHAB PE=1 SV=3</t>
  </si>
  <si>
    <t>LDTLNEESYKDSTLIM</t>
  </si>
  <si>
    <t>sp|P31947|1433S_HUMAN</t>
  </si>
  <si>
    <t>14-3-3 protein sigma OS=Homo sapiens GN=SFN PE=1 SV=1</t>
  </si>
  <si>
    <t>GLLDSHLIKEAGDAESRVF</t>
  </si>
  <si>
    <t>MERASLIQKAKLAEQAERYEDM</t>
  </si>
  <si>
    <t>sp|P31949|S10AB_HUMAN</t>
  </si>
  <si>
    <t>Protein S100-A11 OS=Homo sapiens GN=S100A11 PE=1 SV=2</t>
  </si>
  <si>
    <t>FQKYAGKDGYNYTLSKTEF</t>
  </si>
  <si>
    <t>sp|P31994|FCG2B_HUMAN</t>
  </si>
  <si>
    <t>Low affinity immunoglobulin gamma Fc region receptor II-b OS=Homo sapiens GN=FCGR2B PE=1 SV=2</t>
  </si>
  <si>
    <t>LMHPDALEEPDDQNRI</t>
  </si>
  <si>
    <t>GVSVDSQFTHL</t>
  </si>
  <si>
    <t>sp|P32248|CCR7_HUMAN</t>
  </si>
  <si>
    <t>C-C chemokine receptor type 7 OS=Homo sapiens GN=CCR7 PE=1 SV=2</t>
  </si>
  <si>
    <t>IDRYVAIVQAVSAHRH</t>
  </si>
  <si>
    <t>FRNDLFKLF</t>
  </si>
  <si>
    <t>IDRYVAIVQAVSAHR</t>
  </si>
  <si>
    <t>sp|P32302|CXCR5_HUMAN</t>
  </si>
  <si>
    <t>C-X-C chemokine receptor type 5 OS=Homo sapiens GN=CXCR5 PE=1 SV=1</t>
  </si>
  <si>
    <t>VDRYLAIVHAVHAYRH</t>
  </si>
  <si>
    <t>VDRYLAIVHAVHAYRHR</t>
  </si>
  <si>
    <t>sp|P32314|FOXN2_HUMAN</t>
  </si>
  <si>
    <t>Forkhead box protein N2 OS=Homo sapiens GN=FOXN2 PE=2 SV=3</t>
  </si>
  <si>
    <t>AARPKATLV</t>
  </si>
  <si>
    <t>sp|P32455|GBP1_HUMAN</t>
  </si>
  <si>
    <t>Interferon-induced guanylate-binding protein 1 OS=Homo sapiens GN=GBP1 PE=1 SV=2</t>
  </si>
  <si>
    <t>DVDHLFQKELAAQLEKK</t>
  </si>
  <si>
    <t>DVDHLFQKELAAQLEKKRDD</t>
  </si>
  <si>
    <t>sp|P32970|CD70_HUMAN</t>
  </si>
  <si>
    <t>CD70 antigen OS=Homo sapiens GN=CD70 PE=1 SV=2</t>
  </si>
  <si>
    <t>SRSISLLRL</t>
  </si>
  <si>
    <t>sp|P33241|LSP1_HUMAN</t>
  </si>
  <si>
    <t>Lymphocyte-specific protein 1 OS=Homo sapiens GN=LSP1 PE=1 SV=1</t>
  </si>
  <si>
    <t>KLIDRTESL</t>
  </si>
  <si>
    <t>sp|P33527|MRP1_HUMAN</t>
  </si>
  <si>
    <t>Multidrug resistance-associated protein 1 OS=Homo sapiens GN=ABCC1 PE=1 SV=3</t>
  </si>
  <si>
    <t>SRSPVYSHF</t>
  </si>
  <si>
    <t>sp|P33552|CKS2_HUMAN</t>
  </si>
  <si>
    <t>Cyclin-dependent kinases regulatory subunit 2 OS=Homo sapiens GN=CKS2 PE=1 SV=1</t>
  </si>
  <si>
    <t>AHKQIYYSDKYFDEH</t>
  </si>
  <si>
    <t>sp|P33897|ABCD1_HUMAN</t>
  </si>
  <si>
    <t>ATP-binding cassette sub-family D member 1 OS=Homo sapiens GN=ABCD1 PE=1 SV=2</t>
  </si>
  <si>
    <t>LRYMHSRVV</t>
  </si>
  <si>
    <t>sp|P33908|MA1A1_HUMAN</t>
  </si>
  <si>
    <t>Mannosyl-oligosaccharide 1,2-alpha-mannosidase IA OS=Homo sapiens GN=MAN1A1 PE=1 SV=3</t>
  </si>
  <si>
    <t>QNEKYYILRPEVMET</t>
  </si>
  <si>
    <t>Gln-&gt;pyro-Glu@N-term; Oxidation(M)@13</t>
  </si>
  <si>
    <t>sp|P34059|GALNS_HUMAN</t>
  </si>
  <si>
    <t>N-acetylgalactosamine-6-sulfatase OS=Homo sapiens GN=GALNS PE=1 SV=1</t>
  </si>
  <si>
    <t>HAPVYASKPFLGTSQR</t>
  </si>
  <si>
    <t>sp|P34932|HSP74_HUMAN; sp|O95757|HS74L_HUMAN</t>
  </si>
  <si>
    <t>Heat shock 70 kDa protein 4 OS=Homo sapiens GN=HSPA4 PE=1 SV=4; Heat shock 70 kDa protein 4L OS=Homo sapiens GN=HSPA4L PE=1 SV=3</t>
  </si>
  <si>
    <t>LEDTENWLYEDGEDQPK</t>
  </si>
  <si>
    <t>sp|P35052|GPC1_HUMAN</t>
  </si>
  <si>
    <t>Glypican-1 OS=Homo sapiens GN=GPC1 PE=1 SV=2</t>
  </si>
  <si>
    <t>VASDVVRKV</t>
  </si>
  <si>
    <t>sp|P35222|CTNB1_HUMAN</t>
  </si>
  <si>
    <t>Catenin beta-1 OS=Homo sapiens GN=CTNNB1 PE=1 SV=1</t>
  </si>
  <si>
    <t>KAAVMVHQL</t>
  </si>
  <si>
    <t>sp|P35232|PHB_HUMAN</t>
  </si>
  <si>
    <t>Prohibitin OS=Homo sapiens GN=PHB PE=1 SV=1</t>
  </si>
  <si>
    <t>AAKVFESIGKFGLA</t>
  </si>
  <si>
    <t>sp|P35408|PE2R4_HUMAN</t>
  </si>
  <si>
    <t>Prostaglandin E2 receptor EP4 subtype OS=Homo sapiens GN=PTGER4 PE=1 SV=1</t>
  </si>
  <si>
    <t>SRSFISREL</t>
  </si>
  <si>
    <t>EEANNDLENKIQ</t>
  </si>
  <si>
    <t>sp|P35573|GDE_HUMAN</t>
  </si>
  <si>
    <t>Glycogen debranching enzyme OS=Homo sapiens GN=AGL PE=1 SV=3</t>
  </si>
  <si>
    <t>FRNPKTSFY</t>
  </si>
  <si>
    <t>sp|P35613|BASI_HUMAN</t>
  </si>
  <si>
    <t>Basigin OS=Homo sapiens GN=BSG PE=1 SV=2</t>
  </si>
  <si>
    <t>LKGGVVLKEDALPGQKTE</t>
  </si>
  <si>
    <t>sp|P35625|TIMP3_HUMAN</t>
  </si>
  <si>
    <t>Metalloproteinase inhibitor 3 OS=Homo sapiens GN=TIMP3 PE=1 SV=2</t>
  </si>
  <si>
    <t>EVNKYQYLLTGRVYDGK</t>
  </si>
  <si>
    <t>EVNKYQYLLTGRVYDG</t>
  </si>
  <si>
    <t>VNKYQYLLTGRVYDG</t>
  </si>
  <si>
    <t>sp|P36508|ZNF76_HUMAN; sp|P52747|ZN143_HUMAN</t>
  </si>
  <si>
    <t>Zinc finger protein 76 OS=Homo sapiens GN=ZNF76 PE=2 SV=2; Zinc finger protein 143 OS=Homo sapiens GN=ZNF143 PE=1 SV=2</t>
  </si>
  <si>
    <t>TSNIRKVHV</t>
  </si>
  <si>
    <t>sp|P36578|RL4_HUMAN</t>
  </si>
  <si>
    <t>60S ribosomal protein L4 OS=Homo sapiens GN=RPL4 PE=1 SV=5</t>
  </si>
  <si>
    <t>FDRSFVGKQFSANDK</t>
  </si>
  <si>
    <t>AANGIGRLV</t>
  </si>
  <si>
    <t>sp|P36956|SRBP1_HUMAN</t>
  </si>
  <si>
    <t>Sterol regulatory element-binding protein 1 OS=Homo sapiens GN=SREBF1 PE=1 SV=2</t>
  </si>
  <si>
    <t>KAIDYIRFL</t>
  </si>
  <si>
    <t>sp|P37108|SRP14_HUMAN</t>
  </si>
  <si>
    <t>Signal recognition particle 14 kDa protein OS=Homo sapiens GN=SRP14 PE=1 SV=2</t>
  </si>
  <si>
    <t>EVNKFQMAYSNLLR</t>
  </si>
  <si>
    <t>EVNKFQMAYSNLLRAN</t>
  </si>
  <si>
    <t>VNKFQMAYSNLLRAN</t>
  </si>
  <si>
    <t>sp|P37275|ZEB1_HUMAN; sp|O60315|ZEB2_HUMAN</t>
  </si>
  <si>
    <t>Zinc finger E-box-binding homeobox 1 OS=Homo sapiens GN=ZEB1 PE=1 SV=2; Zinc finger E-box-binding homeobox 2 OS=Homo sapiens GN=ZEB2 PE=1 SV=1</t>
  </si>
  <si>
    <t>YRTQLERHM</t>
  </si>
  <si>
    <t>RTLMNLGGLAVARDDG</t>
  </si>
  <si>
    <t>VQRTLMNLGGLAVARDDG</t>
  </si>
  <si>
    <t>sp|P38606|VATA_HUMAN</t>
  </si>
  <si>
    <t>V-type proton ATPase catalytic subunit A OS=Homo sapiens GN=ATP6V1A PE=1 SV=2</t>
  </si>
  <si>
    <t>ETDKITLEVAKLIKDD</t>
  </si>
  <si>
    <t>sp|P39019|RS19_HUMAN</t>
  </si>
  <si>
    <t>40S ribosomal protein S19 OS=Homo sapiens GN=RPS19 PE=1 SV=2</t>
  </si>
  <si>
    <t>DVNQQEFVRALAAFLKKSG</t>
  </si>
  <si>
    <t>IAGQVAAANKKH</t>
  </si>
  <si>
    <t>PGVTVKDVNQQE</t>
  </si>
  <si>
    <t>PGVTVKDVNQQEFVRALAA</t>
  </si>
  <si>
    <t>sp|P39023|RL3_HUMAN</t>
  </si>
  <si>
    <t>60S ribosomal protein L3 OS=Homo sapiens GN=RPL3 PE=1 SV=2</t>
  </si>
  <si>
    <t>INKKIYKIGQGYLIKDGK</t>
  </si>
  <si>
    <t>YKAGMTHIV</t>
  </si>
  <si>
    <t>INKKIYKIGQGYLIKDG</t>
  </si>
  <si>
    <t>INKKIYKIGQGYLIKDGKL</t>
  </si>
  <si>
    <t>KKIYKIGQGYLIKDG</t>
  </si>
  <si>
    <t>KKIYKIGQGYLIKDGK</t>
  </si>
  <si>
    <t>sp|P39656|OST48_HUMAN</t>
  </si>
  <si>
    <t>Dolichyl-diphosphooligosaccharide--protein glycosyltransferase 48 kDa subunit OS=Homo sapiens GN=DDOST PE=1 SV=4</t>
  </si>
  <si>
    <t>GPRTLVLLDNLNVRET</t>
  </si>
  <si>
    <t>sp|P39748|FEN1_HUMAN</t>
  </si>
  <si>
    <t>Flap endonuclease 1 OS=Homo sapiens GN=FEN1 PE=1 SV=1</t>
  </si>
  <si>
    <t>sp|P40425|PBX2_HUMAN</t>
  </si>
  <si>
    <t>Pre-B-cell leukemia transcription factor 2 OS=Homo sapiens GN=PBX2 PE=1 SV=2</t>
  </si>
  <si>
    <t>IRHIYHSEL</t>
  </si>
  <si>
    <t>sp|P40925|MDHC_HUMAN</t>
  </si>
  <si>
    <t>Malate dehydrogenase, cytoplasmic OS=Homo sapiens GN=MDH1 PE=1 SV=4</t>
  </si>
  <si>
    <t>ANVKIFKSQGAALDKYA</t>
  </si>
  <si>
    <t>KNKTWKFVEGLPIND</t>
  </si>
  <si>
    <t>sp|P40937|RFC5_HUMAN</t>
  </si>
  <si>
    <t>Replication factor C subunit 5 OS=Homo sapiens GN=RFC5 PE=1 SV=1</t>
  </si>
  <si>
    <t>HRVDFPSSV</t>
  </si>
  <si>
    <t>sp|P42167|LAP2B_HUMAN</t>
  </si>
  <si>
    <t>Lamina-associated polypeptide 2, isoforms beta/gamma OS=Homo sapiens GN=TMPO PE=1 SV=2</t>
  </si>
  <si>
    <t>SDFRMEESF</t>
  </si>
  <si>
    <t>sp|P42224|STAT1_HUMAN</t>
  </si>
  <si>
    <t>Signal transducer and activator of transcription 1-alpha/beta OS=Homo sapiens GN=STAT1 PE=1 SV=2</t>
  </si>
  <si>
    <t>IIRNYKVMAAENIPENP</t>
  </si>
  <si>
    <t>KRKEVVHKI</t>
  </si>
  <si>
    <t>sp|P42229|STA5A_HUMAN; sp|P51692|STA5B_HUMAN</t>
  </si>
  <si>
    <t>Signal transducer and activator of transcription 5A OS=Homo sapiens GN=STAT5A PE=1 SV=1; Signal transducer and activator of transcription 5B OS=Homo sapiens GN=STAT5B PE=1 SV=2</t>
  </si>
  <si>
    <t>LVFLAQKLFNNSSSH</t>
  </si>
  <si>
    <t>sp|P42356|PI4KA_HUMAN</t>
  </si>
  <si>
    <t>Phosphatidylinositol 4-kinase alpha OS=Homo sapiens GN=PI4KA PE=1 SV=3</t>
  </si>
  <si>
    <t>YRLEYMRVL</t>
  </si>
  <si>
    <t>ARYNFIRSM</t>
  </si>
  <si>
    <t>sp|P42695|CNDD3_HUMAN</t>
  </si>
  <si>
    <t>Condensin-2 complex subunit D3 OS=Homo sapiens GN=NCAPD3 PE=1 SV=2</t>
  </si>
  <si>
    <t>SIFPVVRIL</t>
  </si>
  <si>
    <t>sp|P42785|PCP_HUMAN</t>
  </si>
  <si>
    <t>Lysosomal Pro-X carboxypeptidase OS=Homo sapiens GN=PRCP PE=1 SV=1</t>
  </si>
  <si>
    <t>ARSLEVRHM</t>
  </si>
  <si>
    <t>HHYTGLLKL</t>
  </si>
  <si>
    <t>sp|P42892|ECE1_HUMAN</t>
  </si>
  <si>
    <t>Endothelin-converting enzyme 1 OS=Homo sapiens GN=ECE1 PE=1 SV=2</t>
  </si>
  <si>
    <t>KTSSFLDQRFQDAD</t>
  </si>
  <si>
    <t>sp|P42898|MTHR_HUMAN</t>
  </si>
  <si>
    <t>Methylenetetrahydrofolate reductase OS=Homo sapiens GN=MTHFR PE=1 SV=3</t>
  </si>
  <si>
    <t>YAVDLVKHI</t>
  </si>
  <si>
    <t>sp|P43243|MATR3_HUMAN</t>
  </si>
  <si>
    <t>Matrin-3 OS=Homo sapiens GN=MATR3 PE=1 SV=2</t>
  </si>
  <si>
    <t>GMSSSLNQQGAHSAL</t>
  </si>
  <si>
    <t>sp|P43355|MAGA1_HUMAN</t>
  </si>
  <si>
    <t>Melanoma-associated antigen 1 OS=Homo sapiens GN=MAGEA1 PE=1 SV=1</t>
  </si>
  <si>
    <t>SAYGEPRKL</t>
  </si>
  <si>
    <t>sp|P43487|RANG_HUMAN</t>
  </si>
  <si>
    <t>Ran-specific GTPase-activating protein OS=Homo sapiens GN=RANBP1 PE=1 SV=1</t>
  </si>
  <si>
    <t>LLAIRFLNAENAQK</t>
  </si>
  <si>
    <t>LLAIRFLNAENAQKFK</t>
  </si>
  <si>
    <t>TGYPLAVKL</t>
  </si>
  <si>
    <t>sp|P46087|NOP2_HUMAN</t>
  </si>
  <si>
    <t>Probable 28S rRNA (cytosine(4447)-C(5))-methyltransferase OS=Homo sapiens GN=NOP2 PE=1 SV=2</t>
  </si>
  <si>
    <t>sp|P46459|NSF_HUMAN</t>
  </si>
  <si>
    <t>Vesicle-fusing ATPase OS=Homo sapiens GN=NSF PE=1 SV=3</t>
  </si>
  <si>
    <t>AAEFIQQFNNQAFSVG</t>
  </si>
  <si>
    <t>LREEGASPLDFD</t>
  </si>
  <si>
    <t>sp|P46777|RL5_HUMAN</t>
  </si>
  <si>
    <t>60S ribosomal protein L5 OS=Homo sapiens GN=RPL5 PE=1 SV=3</t>
  </si>
  <si>
    <t>YKKQFSQYI</t>
  </si>
  <si>
    <t>TEWETAAPAVAETPDIKL</t>
  </si>
  <si>
    <t>Carbamyl@N-term</t>
  </si>
  <si>
    <t>Carbamyl@N-term; Oxidation(W)@3</t>
  </si>
  <si>
    <t>sp|P46783|RS10_HUMAN</t>
  </si>
  <si>
    <t>40S ribosomal protein S10 OS=Homo sapiens GN=RPS10 PE=1 SV=1</t>
  </si>
  <si>
    <t>YLTNEGIQYLRD</t>
  </si>
  <si>
    <t>sp|P46976|GLYG_HUMAN</t>
  </si>
  <si>
    <t>Glycogenin-1 OS=Homo sapiens GN=GYG1 PE=1 SV=4</t>
  </si>
  <si>
    <t>TDQAFVTLTTNDAYAK</t>
  </si>
  <si>
    <t>sp|P46977|STT3A_HUMAN</t>
  </si>
  <si>
    <t>Dolichyl-diphosphooligosaccharide--protein glycosyltransferase subunit STT3A OS=Homo sapiens GN=STT3A PE=1 SV=2</t>
  </si>
  <si>
    <t>FSAVMVRLM</t>
  </si>
  <si>
    <t>sp|P47929|LEG7_HUMAN</t>
  </si>
  <si>
    <t>Galectin-7 OS=Homo sapiens GN=LGALS7 PE=1 SV=2</t>
  </si>
  <si>
    <t>SNVPHKSSLPEGIR</t>
  </si>
  <si>
    <t>SNVPHKSSLPEGIRPGT</t>
  </si>
  <si>
    <t>SNVPHKSSLPEGIRPGTV</t>
  </si>
  <si>
    <t>SNVPHKSSLPEGIRPGTVL</t>
  </si>
  <si>
    <t>sp|P48147|PPCE_HUMAN</t>
  </si>
  <si>
    <t>Prolyl endopeptidase OS=Homo sapiens GN=PREP PE=1 SV=2</t>
  </si>
  <si>
    <t>STNLHQKLYYHVLGTD</t>
  </si>
  <si>
    <t>TSTNLHQKLYYHVLGTD</t>
  </si>
  <si>
    <t>sp|P48163|MAOX_HUMAN</t>
  </si>
  <si>
    <t>NADP-dependent malic enzyme OS=Homo sapiens GN=ME1 PE=1 SV=1</t>
  </si>
  <si>
    <t>TRNPHLNKDL</t>
  </si>
  <si>
    <t>sp|P48449|ERG7_HUMAN</t>
  </si>
  <si>
    <t>Lanosterol synthase OS=Homo sapiens GN=LSS PE=1 SV=1</t>
  </si>
  <si>
    <t>IDWLAQRNNVAPDE</t>
  </si>
  <si>
    <t>ALGRFSQLYPERALA</t>
  </si>
  <si>
    <t>RQTWTYLQDERAG</t>
  </si>
  <si>
    <t>sp|P48594|SPB4_HUMAN</t>
  </si>
  <si>
    <t>Serpin B4 OS=Homo sapiens GN=SERPINB4 PE=1 SV=2</t>
  </si>
  <si>
    <t>LGAKDNTAQQISKVLHFDQVTENTTEK</t>
  </si>
  <si>
    <t>sp|P48594|SPB4_HUMAN; sp|P29508|SPB3_HUMAN</t>
  </si>
  <si>
    <t>Serpin B4 OS=Homo sapiens GN=SERPINB4 PE=1 SV=2; Serpin B3 OS=Homo sapiens GN=SERPINB3 PE=1 SV=2</t>
  </si>
  <si>
    <t>EDVQAKVLEIPYKGKDLS</t>
  </si>
  <si>
    <t>EDVQAKVLEIPYKGKDLSM</t>
  </si>
  <si>
    <t>FIRQNKTNSILF</t>
  </si>
  <si>
    <t>FIRQNKTNSILFYGRFSSP</t>
  </si>
  <si>
    <t>LEDVQAKVLEIPYKGKDLSM</t>
  </si>
  <si>
    <t>QEYLDAIKKF</t>
  </si>
  <si>
    <t>VQAKVLEIPYKGKDLSM</t>
  </si>
  <si>
    <t>MNSLSEANTKF</t>
  </si>
  <si>
    <t>MNSLSEANTKFMFD</t>
  </si>
  <si>
    <t>sp|P48643|TCPE_HUMAN</t>
  </si>
  <si>
    <t>T-complex protein 1 subunit epsilon OS=Homo sapiens GN=CCT5 PE=1 SV=1</t>
  </si>
  <si>
    <t>VPRFSELTAEKLG</t>
  </si>
  <si>
    <t>sp|P48723|HSP13_HUMAN</t>
  </si>
  <si>
    <t>Heat shock 70 kDa protein 13 OS=Homo sapiens GN=HSPA13 PE=1 SV=1</t>
  </si>
  <si>
    <t>SRKEEIHRL</t>
  </si>
  <si>
    <t>sp|P48960|CD97_HUMAN</t>
  </si>
  <si>
    <t>CD97 antigen OS=Homo sapiens GN=CD97 PE=1 SV=4</t>
  </si>
  <si>
    <t>APGDVEALAPPVRHL</t>
  </si>
  <si>
    <t>sp|P49327|FAS_HUMAN</t>
  </si>
  <si>
    <t>Fatty acid synthase OS=Homo sapiens GN=FASN PE=1 SV=3</t>
  </si>
  <si>
    <t>APESFEYIEAHGTG</t>
  </si>
  <si>
    <t>APESFEYIEAHGTGT</t>
  </si>
  <si>
    <t>GVAPESFEYIEAHGTGTK</t>
  </si>
  <si>
    <t>VAPESFEYIEAHGTGT</t>
  </si>
  <si>
    <t>APESFEYIEAHGTGTK</t>
  </si>
  <si>
    <t>LLEGSGLESIISIIHS</t>
  </si>
  <si>
    <t>QRAMMANRL</t>
  </si>
  <si>
    <t>VAPESFEYIEAHGTG</t>
  </si>
  <si>
    <t>GGMAFHSYF</t>
  </si>
  <si>
    <t>Gln-&gt;pyro-Glu@N-term; Oxidation(M)@5</t>
  </si>
  <si>
    <t>sp|P49354|FNTA_HUMAN</t>
  </si>
  <si>
    <t>Protein farnesyltransferase/geranylgeranyltransferase type-1 subunit alpha OS=Homo sapiens GN=FNTA PE=1 SV=1</t>
  </si>
  <si>
    <t>HRQWVIQEF</t>
  </si>
  <si>
    <t>sp|P49368|TCPG_HUMAN</t>
  </si>
  <si>
    <t>T-complex protein 1 subunit gamma OS=Homo sapiens GN=CCT3 PE=1 SV=4</t>
  </si>
  <si>
    <t>CGASTIRLL</t>
  </si>
  <si>
    <t>Dioxidation(C)@1</t>
  </si>
  <si>
    <t>sp|P49585|PCY1A_HUMAN</t>
  </si>
  <si>
    <t>Choline-phosphate cytidylyltransferase A OS=Homo sapiens GN=PCYT1A PE=1 SV=2</t>
  </si>
  <si>
    <t>FRADNLNKL</t>
  </si>
  <si>
    <t>VDGFEGEKGAVVAGSR</t>
  </si>
  <si>
    <t>Dioxidation(M)@9</t>
  </si>
  <si>
    <t>sp|P49641|MA2A2_HUMAN</t>
  </si>
  <si>
    <t>Alpha-mannosidase 2x OS=Homo sapiens GN=MAN2A2 PE=2 SV=3</t>
  </si>
  <si>
    <t>AEVLYSLAAAHAR</t>
  </si>
  <si>
    <t>sp|P49642|PRI1_HUMAN</t>
  </si>
  <si>
    <t>DNA primase small subunit OS=Homo sapiens GN=PRIM1 PE=1 SV=1</t>
  </si>
  <si>
    <t>QRWEHLKKV</t>
  </si>
  <si>
    <t>sp|P49736|MCM2_HUMAN</t>
  </si>
  <si>
    <t>DNA replication licensing factor MCM2 OS=Homo sapiens GN=MCM2 PE=1 SV=4</t>
  </si>
  <si>
    <t>MRKTFARYL</t>
  </si>
  <si>
    <t>sp|P49768|PSN1_HUMAN</t>
  </si>
  <si>
    <t>Presenilin-1 OS=Homo sapiens GN=PSEN1 PE=1 SV=1</t>
  </si>
  <si>
    <t>LVETAQERNETLF</t>
  </si>
  <si>
    <t>ARYGKSPYL</t>
  </si>
  <si>
    <t>sp|P50402|EMD_HUMAN</t>
  </si>
  <si>
    <t>Emerin OS=Homo sapiens GN=EMD PE=1 SV=1</t>
  </si>
  <si>
    <t>LPKKEDALLYQSKGYNDDYYEES</t>
  </si>
  <si>
    <t>sp|P50747|BPL1_HUMAN</t>
  </si>
  <si>
    <t>Biotin--protein ligase OS=Homo sapiens GN=HLCS PE=1 SV=1</t>
  </si>
  <si>
    <t>QRIPFVQHL</t>
  </si>
  <si>
    <t>sp|P50991|TCPD_HUMAN</t>
  </si>
  <si>
    <t>T-complex protein 1 subunit delta OS=Homo sapiens GN=CCT4 PE=1 SV=4</t>
  </si>
  <si>
    <t>ILKIDDVVNTR</t>
  </si>
  <si>
    <t>GSNKLVIEEAERSIHD</t>
  </si>
  <si>
    <t>SNKLVIEEAERSIHD</t>
  </si>
  <si>
    <t>sp|P50995|ANX11_HUMAN</t>
  </si>
  <si>
    <t>Annexin A11 OS=Homo sapiens GN=ANXA11 PE=1 SV=1</t>
  </si>
  <si>
    <t>RSNEHIREL</t>
  </si>
  <si>
    <t>sp|P51114|FXR1_HUMAN</t>
  </si>
  <si>
    <t>Fragile X mental retardation syndrome-related protein 1 OS=Homo sapiens GN=FXR1 PE=1 SV=3</t>
  </si>
  <si>
    <t>FYKGFIKDV</t>
  </si>
  <si>
    <t>sp|P51148|RAB5C_HUMAN</t>
  </si>
  <si>
    <t>Ras-related protein Rab-5C OS=Homo sapiens GN=RAB5C PE=1 SV=2</t>
  </si>
  <si>
    <t>ASPNIVIALAGNKADLAS</t>
  </si>
  <si>
    <t>sp|P51149|RAB7A_HUMAN</t>
  </si>
  <si>
    <t>Ras-related protein Rab-7a OS=Homo sapiens GN=RAB7A PE=1 SV=1</t>
  </si>
  <si>
    <t>AKEAINVEQAFQTIAR</t>
  </si>
  <si>
    <t>TSAKEAINVEQAFQTIAR</t>
  </si>
  <si>
    <t>SAKEAINVEQAFQTIAR</t>
  </si>
  <si>
    <t>sp|P51398|RT29_HUMAN</t>
  </si>
  <si>
    <t>28S ribosomal protein S29, mitochondrial OS=Homo sapiens GN=DAP3 PE=1 SV=1</t>
  </si>
  <si>
    <t>sp|P51531|SMCA2_HUMAN; sp|P51532|SMCA4_HUMAN</t>
  </si>
  <si>
    <t>Probable global transcription activator SNF2L2 OS=Homo sapiens GN=SMARCA2 PE=1 SV=2; Transcription activator BRG1 OS=Homo sapiens GN=SMARCA4 PE=1 SV=2</t>
  </si>
  <si>
    <t>IRNHKYRSL</t>
  </si>
  <si>
    <t>sp|P51659|DHB4_HUMAN</t>
  </si>
  <si>
    <t>Peroxisomal multifunctional enzyme type 2 OS=Homo sapiens GN=HSD17B4 PE=1 SV=3</t>
  </si>
  <si>
    <t>LGRAYALAFAERGAL</t>
  </si>
  <si>
    <t>LGRAYALAFAERGALV</t>
  </si>
  <si>
    <t>sp|P51809|VAMP7_HUMAN</t>
  </si>
  <si>
    <t>Vesicle-associated membrane protein 7 OS=Homo sapiens GN=VAMP7 PE=1 SV=3</t>
  </si>
  <si>
    <t>NSEFSSVLAAQLKHHSE</t>
  </si>
  <si>
    <t>sp|P51816|AFF2_HUMAN</t>
  </si>
  <si>
    <t>AF4/FMR2 family member 2 OS=Homo sapiens GN=AFF2 PE=1 SV=4</t>
  </si>
  <si>
    <t>KRKHKPIEV</t>
  </si>
  <si>
    <t>SMTNLVRYV</t>
  </si>
  <si>
    <t>sp|P52272|HNRPM_HUMAN</t>
  </si>
  <si>
    <t>Heterogeneous nuclear ribonucleoprotein M OS=Homo sapiens GN=HNRNPM PE=1 SV=3</t>
  </si>
  <si>
    <t>AAGVEAAAEVAATEIK</t>
  </si>
  <si>
    <t>sp|P52566|GDIR2_HUMAN</t>
  </si>
  <si>
    <t>Rho GDP-dissociation inhibitor 2 OS=Homo sapiens GN=ARHGDIB PE=1 SV=3</t>
  </si>
  <si>
    <t>TEKAPEPH</t>
  </si>
  <si>
    <t>sp|P52569|CTR2_HUMAN</t>
  </si>
  <si>
    <t>Cationic amino acid transporter 2 OS=Homo sapiens GN=SLC7A2 PE=1 SV=2</t>
  </si>
  <si>
    <t>DENNEEDAYPDNVH</t>
  </si>
  <si>
    <t>ENNEEDAYPDNVH</t>
  </si>
  <si>
    <t>sp|P52701|MSH6_HUMAN</t>
  </si>
  <si>
    <t>DNA mismatch repair protein Msh6 OS=Homo sapiens GN=MSH6 PE=1 SV=2</t>
  </si>
  <si>
    <t>STHYHSLV</t>
  </si>
  <si>
    <t>sp|P52746|ZN142_HUMAN</t>
  </si>
  <si>
    <t>Zinc finger protein 142 OS=Homo sapiens GN=ZNF142 PE=2 SV=4</t>
  </si>
  <si>
    <t>LRHDITRHV</t>
  </si>
  <si>
    <t>sp|P52848|NDST1_HUMAN</t>
  </si>
  <si>
    <t>Bifunctional heparan sulfate N-deacetylase/N-sulfotransferase 1 OS=Homo sapiens GN=NDST1 PE=1 SV=1</t>
  </si>
  <si>
    <t>HANQILVLDGKLLRTEPA</t>
  </si>
  <si>
    <t>sp|P52888|THOP1_HUMAN</t>
  </si>
  <si>
    <t>Thimet oligopeptidase OS=Homo sapiens GN=THOP1 PE=1 SV=2</t>
  </si>
  <si>
    <t>GLAFHHEEGASAWHED</t>
  </si>
  <si>
    <t>sp|P52948|NUP98_HUMAN</t>
  </si>
  <si>
    <t>Nuclear pore complex protein Nup98-Nup96 OS=Homo sapiens GN=NUP98 PE=1 SV=4</t>
  </si>
  <si>
    <t>RRKEVVVYL</t>
  </si>
  <si>
    <t>sp|P53041|PPP5_HUMAN</t>
  </si>
  <si>
    <t>Serine/threonine-protein phosphatase 5 OS=Homo sapiens GN=PPP5C PE=1 SV=1</t>
  </si>
  <si>
    <t>GNKASYIHLQGSDLR</t>
  </si>
  <si>
    <t>GNKASYIHLQGSDLRPQ</t>
  </si>
  <si>
    <t>NKASYIHLQGSDLR</t>
  </si>
  <si>
    <t>NKASYIHLQGSDLRPQ</t>
  </si>
  <si>
    <t>NKASYIHLQGSDLRPQFH</t>
  </si>
  <si>
    <t>KASYIHLQGSDLRPQ</t>
  </si>
  <si>
    <t>sp|P53367|ARFP1_HUMAN</t>
  </si>
  <si>
    <t>Arfaptin-1 OS=Homo sapiens GN=ARFIP1 PE=1 SV=2</t>
  </si>
  <si>
    <t>LAQTLSTQLFQMVHTQR</t>
  </si>
  <si>
    <t>sp|P53384|NUBP1_HUMAN</t>
  </si>
  <si>
    <t>Cytosolic Fe-S cluster assembly factor NUBP1 OS=Homo sapiens GN=NUBP1 PE=1 SV=2</t>
  </si>
  <si>
    <t>DKGQSFFIDAPDSP</t>
  </si>
  <si>
    <t>sp|P53618|COPB_HUMAN</t>
  </si>
  <si>
    <t>Coatomer subunit beta OS=Homo sapiens GN=COPB1 PE=1 SV=3</t>
  </si>
  <si>
    <t>KVTQLTGFSDPVYAEA</t>
  </si>
  <si>
    <t>sp|P53680|AP2S1_HUMAN</t>
  </si>
  <si>
    <t>AP-2 complex subunit sigma OS=Homo sapiens GN=AP2S1 PE=1 SV=2</t>
  </si>
  <si>
    <t>NDNNLAYLEAIHNFVE</t>
  </si>
  <si>
    <t>sp|P53985|MOT1_HUMAN</t>
  </si>
  <si>
    <t>Monocarboxylate transporter 1 OS=Homo sapiens GN=SLC16A1 PE=1 SV=3</t>
  </si>
  <si>
    <t>YAFPKSITV</t>
  </si>
  <si>
    <t>sp|P53992|SC24C_HUMAN</t>
  </si>
  <si>
    <t>Protein transport protein Sec24C OS=Homo sapiens GN=SEC24C PE=1 SV=3</t>
  </si>
  <si>
    <t>SYNAIRTGL</t>
  </si>
  <si>
    <t>FQIGKMRYV</t>
  </si>
  <si>
    <t>sp|P54105|ICLN_HUMAN</t>
  </si>
  <si>
    <t>Methylosome subunit pICln OS=Homo sapiens GN=CLNS1A PE=1 SV=1</t>
  </si>
  <si>
    <t>DSIRDYEDGMEVD</t>
  </si>
  <si>
    <t>TEDSIRDYEDGMEVD</t>
  </si>
  <si>
    <t>DSIRDYEDGMEVDT</t>
  </si>
  <si>
    <t>DSIRDYEDGMEVDTTPT</t>
  </si>
  <si>
    <t>TEDSIRDYEDGMEVDT</t>
  </si>
  <si>
    <t>sp|P54259|ATN1_HUMAN; sp|Q9P2R6|RERE_HUMAN</t>
  </si>
  <si>
    <t>Atrophin-1 OS=Homo sapiens GN=ATN1 PE=1 SV=3; Arginine-glutamic acid dipeptide repeats protein OS=Homo sapiens GN=RERE PE=1 SV=2</t>
  </si>
  <si>
    <t>HSHIHSHL</t>
  </si>
  <si>
    <t>DPNGYVLLHPNLQPK</t>
  </si>
  <si>
    <t>sp|P54578|UBP14_HUMAN</t>
  </si>
  <si>
    <t>Ubiquitin carboxyl-terminal hydrolase 14 OS=Homo sapiens GN=USP14 PE=1 SV=3</t>
  </si>
  <si>
    <t>SNNCGYYDLQAVLTHQG</t>
  </si>
  <si>
    <t>Dioxidation(C)@4</t>
  </si>
  <si>
    <t>sp|P54687|BCAT1_HUMAN</t>
  </si>
  <si>
    <t>Branched-chain-amino-acid aminotransferase, cytosolic OS=Homo sapiens GN=BCAT1 PE=1 SV=3</t>
  </si>
  <si>
    <t>EKPHIKPLQNLSLHPG</t>
  </si>
  <si>
    <t>WEKPHIKPLQNLSLHPG</t>
  </si>
  <si>
    <t>sp|P54709|AT1B3_HUMAN</t>
  </si>
  <si>
    <t>VGYLQPLVAVQVS</t>
  </si>
  <si>
    <t>MNRIIGLKPEGVPR</t>
  </si>
  <si>
    <t>sp|P54792|DVLP1_HUMAN; sp|O14640|DVL1_HUMAN</t>
  </si>
  <si>
    <t>Putative segment polarity protein dishevelled homolog DVL1P1 OS=Homo sapiens GN=DVL1P1 PE=5 SV=1; Segment polarity protein dishevelled homolog DVL-1 OS=Homo sapiens GN=DVL1 PE=1 SV=2</t>
  </si>
  <si>
    <t>TVVGGPPGGPPVREL</t>
  </si>
  <si>
    <t>sp|P54802|ANAG_HUMAN</t>
  </si>
  <si>
    <t>Alpha-N-acetylglucosaminidase OS=Homo sapiens GN=NAGLU PE=1 SV=2</t>
  </si>
  <si>
    <t>AAAGLHRYL</t>
  </si>
  <si>
    <t>AAGLHRYL</t>
  </si>
  <si>
    <t>sp|P54920|SNAA_HUMAN</t>
  </si>
  <si>
    <t>Alpha-soluble NSF attachment protein OS=Homo sapiens GN=NAPA PE=1 SV=3</t>
  </si>
  <si>
    <t>AGNAFKKADPQEAIN</t>
  </si>
  <si>
    <t>sp|P55008|AIF1_HUMAN</t>
  </si>
  <si>
    <t>Allograft inflammatory factor 1 OS=Homo sapiens GN=AIF1 PE=1 SV=1</t>
  </si>
  <si>
    <t>SYPDFLRMM</t>
  </si>
  <si>
    <t>sp|P55060|XPO2_HUMAN</t>
  </si>
  <si>
    <t>Exportin-2 OS=Homo sapiens GN=CSE1L PE=1 SV=3</t>
  </si>
  <si>
    <t>DTPGYQTAFSQLAFAGK</t>
  </si>
  <si>
    <t>LETHKNDIPSSY</t>
  </si>
  <si>
    <t>LLETHKNDIPSSY</t>
  </si>
  <si>
    <t>RAADEEAFEDNSEE</t>
  </si>
  <si>
    <t>MALFPHLLQPVL</t>
  </si>
  <si>
    <t>sp|P55145|MANF_HUMAN</t>
  </si>
  <si>
    <t>Mesencephalic astrocyte-derived neurotrophic factor OS=Homo sapiens GN=MANF PE=1 SV=3</t>
  </si>
  <si>
    <t>DAATKIINEVSKPLAHH</t>
  </si>
  <si>
    <t>DDAATKIINEVSKPLAHH</t>
  </si>
  <si>
    <t>DDAATKIINEVSKPLAHHIPV</t>
  </si>
  <si>
    <t>sp|P55786|PSA_HUMAN</t>
  </si>
  <si>
    <t>Puromycin-sensitive aminopeptidase OS=Homo sapiens GN=NPEPPS PE=1 SV=2</t>
  </si>
  <si>
    <t>GFPLIYVEAEQVEDDR</t>
  </si>
  <si>
    <t>sp|P55795|HNRH2_HUMAN; sp|P31943|HNRH1_HUMAN</t>
  </si>
  <si>
    <t>Heterogeneous nuclear ribonucleoprotein H2 OS=Homo sapiens GN=HNRNPH2 PE=1 SV=1; Heterogeneous nuclear ribonucleoprotein H OS=Homo sapiens GN=HNRNPH1 PE=1 SV=4</t>
  </si>
  <si>
    <t>GGYGGGYGGQSSM</t>
  </si>
  <si>
    <t>sp|P56270|MAZ_HUMAN</t>
  </si>
  <si>
    <t>Myc-associated zinc finger protein OS=Homo sapiens GN=MAZ PE=1 SV=1</t>
  </si>
  <si>
    <t>AAAAAAAAAAVAAAP</t>
  </si>
  <si>
    <t>sp|P56381|ATP5E_HUMAN</t>
  </si>
  <si>
    <t>ATP synthase subunit epsilon, mitochondrial OS=Homo sapiens GN=ATP5E PE=1 SV=2</t>
  </si>
  <si>
    <t>SNVKIVKVKKE</t>
  </si>
  <si>
    <t>sp|P57059|SIK1_HUMAN</t>
  </si>
  <si>
    <t>Serine/threonine-protein kinase SIK1 OS=Homo sapiens GN=SIK1 PE=1 SV=2</t>
  </si>
  <si>
    <t>NHPHIIKLY</t>
  </si>
  <si>
    <t>sp|P57737|CORO7_HUMAN</t>
  </si>
  <si>
    <t>Coronin-7 OS=Homo sapiens GN=CORO7 PE=1 SV=2</t>
  </si>
  <si>
    <t>GPSSKFRHAQGTVLHRD</t>
  </si>
  <si>
    <t>GPSSKFRHAQGTVLHRDS</t>
  </si>
  <si>
    <t>sp|P57775|FBXW4_HUMAN</t>
  </si>
  <si>
    <t>F-box/WD repeat-containing protein 4 OS=Homo sapiens GN=FBXW4 PE=2 SV=1</t>
  </si>
  <si>
    <t>SSYYGVVRL</t>
  </si>
  <si>
    <t>sp|P58004|SESN2_HUMAN</t>
  </si>
  <si>
    <t>Sestrin-2 OS=Homo sapiens GN=SESN2 PE=1 SV=1</t>
  </si>
  <si>
    <t>HRAPEKLRKL</t>
  </si>
  <si>
    <t>FRHSEKVHV</t>
  </si>
  <si>
    <t>sp|P58005|SESN3_HUMAN</t>
  </si>
  <si>
    <t>Sestrin-3 OS=Homo sapiens GN=SESN3 PE=2 SV=2</t>
  </si>
  <si>
    <t>ITKEHIQKL</t>
  </si>
  <si>
    <t>sp|P58546|MTPN_HUMAN</t>
  </si>
  <si>
    <t>Myotrophin OS=Homo sapiens GN=MTPN PE=1 SV=2</t>
  </si>
  <si>
    <t>ILEFLLLKGADINAPD</t>
  </si>
  <si>
    <t>VALDFEQEMATAASSS</t>
  </si>
  <si>
    <t>AGFAGDDAPR</t>
  </si>
  <si>
    <t>DFEQEMATAASSSSL</t>
  </si>
  <si>
    <t>EITALAPSTMK</t>
  </si>
  <si>
    <t>EQEMATAASSSSLEKS</t>
  </si>
  <si>
    <t>KEITALAPSTM</t>
  </si>
  <si>
    <t>LDFEQEMATAASS</t>
  </si>
  <si>
    <t>IADRMQKEITALAPSTMKIK</t>
  </si>
  <si>
    <t>LDFEQEMATAASSSS</t>
  </si>
  <si>
    <t>LDFEQEMATAASSSSLEKS</t>
  </si>
  <si>
    <t>sp|P60896|DSS1_HUMAN</t>
  </si>
  <si>
    <t>26S proteasome complex subunit DSS1 OS=Homo sapiens GN=SHFM1 PE=1 SV=1</t>
  </si>
  <si>
    <t>EDAHVWEDNWDDDN</t>
  </si>
  <si>
    <t>SEKKQPVDLGLLEEDDEFEEF</t>
  </si>
  <si>
    <t>sp|P60953|CDC42_HUMAN</t>
  </si>
  <si>
    <t>Cell division control protein 42 homolog OS=Homo sapiens GN=CDC42 PE=1 SV=2</t>
  </si>
  <si>
    <t>DDPSTIEKLAKNKQKPITPETAEKLARD</t>
  </si>
  <si>
    <t>DDPSTIEKLAKNKQKPITPETAEKLARDL</t>
  </si>
  <si>
    <t>sp|P61086|UBE2K_HUMAN</t>
  </si>
  <si>
    <t>Ubiquitin-conjugating enzyme E2 K OS=Homo sapiens GN=UBE2K PE=1 SV=3</t>
  </si>
  <si>
    <t>DENFTELRGEIAGPPD</t>
  </si>
  <si>
    <t>LVDENFTELRGEIAGPPD</t>
  </si>
  <si>
    <t>VDENFTELRGEIAGPPD</t>
  </si>
  <si>
    <t>ENFTELRGEIAGPPD</t>
  </si>
  <si>
    <t>sp|P61160|ARP2_HUMAN</t>
  </si>
  <si>
    <t>Actin-related protein 2 OS=Homo sapiens GN=ACTR2 PE=1 SV=1</t>
  </si>
  <si>
    <t>TRSEFYKHI</t>
  </si>
  <si>
    <t>sp|P61289|PSME3_HUMAN</t>
  </si>
  <si>
    <t>Proteasome activator complex subunit 3 OS=Homo sapiens GN=PSME3 PE=1 SV=1</t>
  </si>
  <si>
    <t>AKYPHVEDY</t>
  </si>
  <si>
    <t>sp|P61421|VA0D1_HUMAN</t>
  </si>
  <si>
    <t>V-type proton ATPase subunit d 1 OS=Homo sapiens GN=ATP6V0D1 PE=1 SV=1</t>
  </si>
  <si>
    <t>HPLGSFEQMEAVNIAQTPA</t>
  </si>
  <si>
    <t>sp|P61513|RL37A_HUMAN</t>
  </si>
  <si>
    <t>60S ribosomal protein L37a OS=Homo sapiens GN=RPL37A PE=1 SV=2</t>
  </si>
  <si>
    <t>YGASLRKMV</t>
  </si>
  <si>
    <t>sp|P61764|STXB1_HUMAN</t>
  </si>
  <si>
    <t>Syntaxin-binding protein 1 OS=Homo sapiens GN=STXBP1 PE=1 SV=1</t>
  </si>
  <si>
    <t>LRHKHIAEV</t>
  </si>
  <si>
    <t>sp|P61769|B2MG_HUMAN</t>
  </si>
  <si>
    <t>Beta-2-microglobulin OS=Homo sapiens GN=B2M PE=1 SV=1</t>
  </si>
  <si>
    <t>IQRTPKIQVYSRHPA</t>
  </si>
  <si>
    <t>IQVYSRHPAENGKS</t>
  </si>
  <si>
    <t>TPKIQVYSRHPAENGKS</t>
  </si>
  <si>
    <t>sp|P61923|COPZ1_HUMAN</t>
  </si>
  <si>
    <t>Coatomer subunit zeta-1 OS=Homo sapiens GN=COPZ1 PE=1 SV=1</t>
  </si>
  <si>
    <t>EQKAFEKNIFNKTHRTD</t>
  </si>
  <si>
    <t>sp|P61962|DCAF7_HUMAN</t>
  </si>
  <si>
    <t>DDB1- and CUL4-associated factor 7 OS=Homo sapiens GN=DCAF7 PE=1 SV=1</t>
  </si>
  <si>
    <t>VRMFDLRHL</t>
  </si>
  <si>
    <t>sp|P61970|NTF2_HUMAN</t>
  </si>
  <si>
    <t>Nuclear transport factor 2 OS=Homo sapiens GN=NUTF2 PE=1 SV=1</t>
  </si>
  <si>
    <t>IVEKLSSLPFQKIQHS</t>
  </si>
  <si>
    <t>sp|P61978|HNRPK_HUMAN</t>
  </si>
  <si>
    <t>Heterogeneous nuclear ribonucleoprotein K OS=Homo sapiens GN=HNRNPK PE=1 SV=1</t>
  </si>
  <si>
    <t>PDSSGPERIL</t>
  </si>
  <si>
    <t>sp|P62068|UBP46_HUMAN; sp|O75317|UBP12_HUMAN</t>
  </si>
  <si>
    <t>Ubiquitin carboxyl-terminal hydrolase 46 OS=Homo sapiens GN=USP46 PE=1 SV=1; Ubiquitin carboxyl-terminal hydrolase 12 OS=Homo sapiens GN=USP12 PE=1 SV=2</t>
  </si>
  <si>
    <t>YRVVFPLEL</t>
  </si>
  <si>
    <t>sp|P62081|RS7_HUMAN</t>
  </si>
  <si>
    <t>40S ribosomal protein S7 OS=Homo sapiens GN=RPS7 PE=1 SV=1</t>
  </si>
  <si>
    <t>FSGVYKKLTGKDVN</t>
  </si>
  <si>
    <t>GVYKKLTGKDVNFE</t>
  </si>
  <si>
    <t>SGVYKKLTGKDVNFE</t>
  </si>
  <si>
    <t>FSGVYKKLTGKDVNFE</t>
  </si>
  <si>
    <t>GVYKKLTGKDVN</t>
  </si>
  <si>
    <t>SGVYKKLTGKDVN</t>
  </si>
  <si>
    <t>sp|P62273|RS29_HUMAN</t>
  </si>
  <si>
    <t>40S ribosomal protein S29 OS=Homo sapiens GN=RPS29 PE=1 SV=2</t>
  </si>
  <si>
    <t>NRHGLIRKY</t>
  </si>
  <si>
    <t>GHQQLYWSHPRK</t>
  </si>
  <si>
    <t>HQQLYWSHP</t>
  </si>
  <si>
    <t>HQQLYWSHPR</t>
  </si>
  <si>
    <t>sp|P62424|RL7A_HUMAN</t>
  </si>
  <si>
    <t>60S ribosomal protein L7a OS=Homo sapiens GN=RPL7A PE=1 SV=2</t>
  </si>
  <si>
    <t>QRAILYKRL</t>
  </si>
  <si>
    <t>RRHWGGNVL</t>
  </si>
  <si>
    <t>sp|P62487|RPB7_HUMAN</t>
  </si>
  <si>
    <t>DNA-directed RNA polymerase II subunit RPB7 OS=Homo sapiens GN=POLR2G PE=1 SV=1</t>
  </si>
  <si>
    <t>SRHSIPSEM</t>
  </si>
  <si>
    <t>sp|P62491|RB11A_HUMAN; sp|Q15907|RB11B_HUMAN</t>
  </si>
  <si>
    <t>Ras-related protein Rab-11A OS=Homo sapiens GN=RAB11A PE=1 SV=3; Ras-related protein Rab-11B OS=Homo sapiens GN=RAB11B PE=1 SV=4</t>
  </si>
  <si>
    <t>NKSDLRHLRAVPTDEAR</t>
  </si>
  <si>
    <t>WLKELRDHADSNIV</t>
  </si>
  <si>
    <t>sp|P62495|ERF1_HUMAN</t>
  </si>
  <si>
    <t>Eukaryotic peptide chain release factor subunit 1 OS=Homo sapiens GN=ETF1 PE=1 SV=3</t>
  </si>
  <si>
    <t>KRHNYVRKV</t>
  </si>
  <si>
    <t>sp|P62508|ERR3_HUMAN</t>
  </si>
  <si>
    <t>Estrogen-related receptor gamma OS=Homo sapiens GN=ESRRG PE=1 SV=1</t>
  </si>
  <si>
    <t>GGSGPVRKL</t>
  </si>
  <si>
    <t>VFLENVIR</t>
  </si>
  <si>
    <t>sp|P62807|H2B1C_HUMAN; sp|Q16778|H2B2E_HUMAN; sp|P06899|H2B1J_HUMAN</t>
  </si>
  <si>
    <t>Histone H2B type 1-C/E/F/G/I OS=Homo sapiens GN=HIST1H2BC PE=1 SV=4; Histone H2B type 2-E OS=Homo sapiens GN=HIST2H2BE PE=1 SV=3; Histone H2B type 1-J OS=Homo sapiens GN=HIST1H2BJ PE=1 SV=3</t>
  </si>
  <si>
    <t>PEPAKSAPAPK</t>
  </si>
  <si>
    <t>PEPAKSAPAPKKGSKK</t>
  </si>
  <si>
    <t>PEPAKSAPAPKKGSKKAV</t>
  </si>
  <si>
    <t>PEPAKSAPAPKKGSKKAVTK</t>
  </si>
  <si>
    <t>sp|P62807|H2B1C_HUMAN; sp|Q16778|H2B2E_HUMAN; sp|P06899|H2B1J_HUMAN; sp|P23527|H2B1O_HUMAN; sp|P33778|H2B1B_HUMAN; sp|Q8N257|H2B3B_HUMAN</t>
  </si>
  <si>
    <t>Histone H2B type 1-C/E/F/G/I OS=Homo sapiens GN=HIST1H2BC PE=1 SV=4; Histone H2B type 2-E OS=Homo sapiens GN=HIST2H2BE PE=1 SV=3; Histone H2B type 1-J OS=Homo sapiens GN=HIST1H2BJ PE=1 SV=3; Histone H2B type 1-O OS=Homo sapiens GN=HIST1H2BO PE=1 SV=3; Histone H2B type 1-B OS=Homo sapiens GN=HIST1H2BB PE=1 SV=2; Histone H2B type 3-B OS=Homo sapiens GN=HIST3H2BB PE=1 SV=3</t>
  </si>
  <si>
    <t>KQVHPDTGISSKAMGIMN</t>
  </si>
  <si>
    <t>sp|P62807|H2B1C_HUMAN; sp|Q16778|H2B2E_HUMAN; sp|P23527|H2B1O_HUMAN; sp|P33778|H2B1B_HUMAN; sp|Q8N257|H2B3B_HUMAN</t>
  </si>
  <si>
    <t>Histone H2B type 1-C/E/F/G/I OS=Homo sapiens GN=HIST1H2BC PE=1 SV=4; Histone H2B type 2-E OS=Homo sapiens GN=HIST2H2BE PE=1 SV=3; Histone H2B type 1-O OS=Homo sapiens GN=HIST1H2BO PE=1 SV=3; Histone H2B type 1-B OS=Homo sapiens GN=HIST1H2BB PE=1 SV=2; Histone H2B type 3-B OS=Homo sapiens GN=HIST3H2BB PE=1 SV=3</t>
  </si>
  <si>
    <t>VRLLLPGELAKHAVSEGTKAVTKYTSSK</t>
  </si>
  <si>
    <t>sp|P62829|RL23_HUMAN</t>
  </si>
  <si>
    <t>60S ribosomal protein L23 OS=Homo sapiens GN=RPL23 PE=1 SV=1</t>
  </si>
  <si>
    <t>sp|P62851|RS25_HUMAN</t>
  </si>
  <si>
    <t>40S ribosomal protein S25 OS=Homo sapiens GN=RPS25 PE=1 SV=1</t>
  </si>
  <si>
    <t>EVPNYKLITPAVVSER</t>
  </si>
  <si>
    <t>EVPNYKLITPAVVSERL</t>
  </si>
  <si>
    <t>KEVPNYKLITPAVVSER</t>
  </si>
  <si>
    <t>KEVPNYKLITPAVVSERL</t>
  </si>
  <si>
    <t>EVPNYKLITPAVVSERLK</t>
  </si>
  <si>
    <t>KEVPNYKLITPAVVSERLK</t>
  </si>
  <si>
    <t>sp|P62888|RL30_HUMAN</t>
  </si>
  <si>
    <t>60S ribosomal protein L30 OS=Homo sapiens GN=RPL30 PE=1 SV=2</t>
  </si>
  <si>
    <t>SEIEYYAMLAKTGVHHY</t>
  </si>
  <si>
    <t>sp|P62899|RL31_HUMAN</t>
  </si>
  <si>
    <t>60S ribosomal protein L31 OS=Homo sapiens GN=RPL31 PE=1 SV=1</t>
  </si>
  <si>
    <t>VPVTTFKNLQTVNVDEN</t>
  </si>
  <si>
    <t>sp|P62906|RL10A_HUMAN</t>
  </si>
  <si>
    <t>60S ribosomal protein L10a OS=Homo sapiens GN=RPL10A PE=1 SV=2</t>
  </si>
  <si>
    <t>YIKSTMGKPQRLY</t>
  </si>
  <si>
    <t>sp|P62910|RL32_HUMAN</t>
  </si>
  <si>
    <t>60S ribosomal protein L32 OS=Homo sapiens GN=RPL32 PE=1 SV=2</t>
  </si>
  <si>
    <t>RRFKGQIL</t>
  </si>
  <si>
    <t>sp|P62937|PPIA_HUMAN</t>
  </si>
  <si>
    <t>Peptidyl-prolyl cis-trans isomerase A OS=Homo sapiens GN=PPIA PE=1 SV=2</t>
  </si>
  <si>
    <t>FDIAVDGEPLGRVS</t>
  </si>
  <si>
    <t>sp|P62987|RL40_HUMAN; sp|P62979|RS27A_HUMAN; sp|P0CG48|UBC_HUMAN; sp|P0CG48|UBC_HUMAN; sp|P0CG48|UBC_HUMAN; sp|P0CG48|UBC_HUMAN; sp|P0CG48|UBC_HUMAN; sp|P0CG48|UBC_HUMAN; sp|P0CG48|UBC_HUMAN; sp|P0CG48|UBC_HUMAN; sp|P0CG48|UBC_HUMAN; sp|P0CG47|UBB_HUMAN; sp|P0CG47|UBB_HUMAN; sp|P0CG47|UBB_HUMAN</t>
  </si>
  <si>
    <t>Ubiquitin-60S ribosomal protein L40 OS=Homo sapiens GN=UBA52 PE=1 SV=2; Ubiquitin-40S ribosomal protein S27a OS=Homo sapiens GN=RPS27A PE=1 SV=2; Polyubiquitin-C OS=Homo sapiens GN=UBC PE=1 SV=3; Polyubiquitin-C OS=Homo sapiens GN=UBC PE=1 SV=3; Polyubiquitin-C OS=Homo sapiens GN=UBC PE=1 SV=3; Polyubiquitin-C OS=Homo sapiens GN=UBC PE=1 SV=3; Polyubiquitin-C OS=Homo sapiens GN=UBC PE=1 SV=3; Polyubiquitin-C OS=Homo sapiens GN=UBC PE=1 SV=3; Polyubiquitin-C OS=Homo sapiens GN=UBC PE=1 SV=3; Polyubiquitin-C OS=Homo sapiens GN=UBC PE=1 SV=3; Polyubiquitin-C OS=Homo sapiens GN=UBC PE=1 SV=3; Polyubiquitin-B OS=Homo sapiens GN=UBB PE=1 SV=1; Polyubiquitin-B OS=Homo sapiens GN=UBB PE=1 SV=1; Polyubiquitin-B OS=Homo sapiens GN=UBB PE=1 SV=1</t>
  </si>
  <si>
    <t>sp|P62993|GRB2_HUMAN</t>
  </si>
  <si>
    <t>Growth factor receptor-bound protein 2 OS=Homo sapiens GN=GRB2 PE=1 SV=1</t>
  </si>
  <si>
    <t>KDGFIPKNYIEMKPH</t>
  </si>
  <si>
    <t>KDGFIPKNYIEMKPHP</t>
  </si>
  <si>
    <t>KDGFIPKNYIEMKPHPW</t>
  </si>
  <si>
    <t>sp|P63000|RAC1_HUMAN; sp|P60763|RAC3_HUMAN</t>
  </si>
  <si>
    <t>Ras-related C3 botulinum toxin substrate 1 OS=Homo sapiens GN=RAC1 PE=1 SV=1; Ras-related C3 botulinum toxin substrate 3 OS=Homo sapiens GN=RAC3 PE=1 SV=1</t>
  </si>
  <si>
    <t>VRAKWYPEV</t>
  </si>
  <si>
    <t>sp|P63010|AP2B1_HUMAN</t>
  </si>
  <si>
    <t>AP-2 complex subunit beta OS=Homo sapiens GN=AP2B1 PE=1 SV=1</t>
  </si>
  <si>
    <t>ESFLEGFHDESTQ</t>
  </si>
  <si>
    <t>KNSFGVIPSTPLAIH</t>
  </si>
  <si>
    <t>VKYNDPIYV</t>
  </si>
  <si>
    <t>sp|P63098|CANB1_HUMAN</t>
  </si>
  <si>
    <t>Calcineurin subunit B type 1 OS=Homo sapiens GN=PPP3R1 PE=1 SV=2</t>
  </si>
  <si>
    <t>FQVLKMMVGNNLKDTQ</t>
  </si>
  <si>
    <t>sp|P63104|1433Z_HUMAN</t>
  </si>
  <si>
    <t>14-3-3 protein zeta/delta OS=Homo sapiens GN=YWHAZ PE=1 SV=1</t>
  </si>
  <si>
    <t>GDYYRYLAEVAAGDD</t>
  </si>
  <si>
    <t>GDYYRYLAEVAAGDDK</t>
  </si>
  <si>
    <t>sp|P63104|1433Z_HUMAN; sp|P31946|1433B_HUMAN</t>
  </si>
  <si>
    <t>14-3-3 protein zeta/delta OS=Homo sapiens GN=YWHAZ PE=1 SV=1; 14-3-3 protein beta/alpha OS=Homo sapiens GN=YWHAB PE=1 SV=3</t>
  </si>
  <si>
    <t>ERNLLSVAYKNVVGAR</t>
  </si>
  <si>
    <t>sp|P63151|2ABA_HUMAN; sp|Q9Y2T4|2ABG_HUMAN; sp|Q66LE6|2ABD_HUMAN; sp|Q00005|2ABB_HUMAN</t>
  </si>
  <si>
    <t>Serine/threonine-protein phosphatase 2A 55 kDa regulatory subunit B alpha isoform OS=Homo sapiens GN=PPP2R2A PE=1 SV=1; Serine/threonine-protein phosphatase 2A 55 kDa regulatory subunit B gamma isoform OS=Homo sapiens GN=PPP2R2C PE=1 SV=4; Serine/threonine-protein phosphatase 2A 55 kDa regulatory subunit B delta isoform OS=Homo sapiens GN=PPP2R2D PE=2 SV=1; Serine/threonine-protein phosphatase 2A 55 kDa regulatory subunit B beta isoform OS=Homo sapiens GN=PPP2R2B PE=1 SV=1</t>
  </si>
  <si>
    <t>HEPEFDYLKSLEIEEK</t>
  </si>
  <si>
    <t>sp|P63244|GBLP_HUMAN</t>
  </si>
  <si>
    <t>Guanine nucleotide-binding protein subunit beta-2-like 1 OS=Homo sapiens GN=GNB2L1 PE=1 SV=3</t>
  </si>
  <si>
    <t>FSSDNRQIV</t>
  </si>
  <si>
    <t>sp|P63252|KCNJ2_HUMAN; sp|P48050|KCNJ4_HUMAN</t>
  </si>
  <si>
    <t>Inward rectifier potassium channel 2 OS=Homo sapiens GN=KCNJ2 PE=1 SV=1; Inward rectifier potassium channel 4 OS=Homo sapiens GN=KCNJ4 PE=1 SV=1</t>
  </si>
  <si>
    <t>SRFHKTYEV</t>
  </si>
  <si>
    <t>sp|P63272|SPT4H_HUMAN</t>
  </si>
  <si>
    <t>Transcription elongation factor SPT4 OS=Homo sapiens GN=SUPT4H1 PE=1 SV=1</t>
  </si>
  <si>
    <t>RLPQGIVREL</t>
  </si>
  <si>
    <t>sp|P68036|UB2L3_HUMAN</t>
  </si>
  <si>
    <t>Ubiquitin-conjugating enzyme E2 L3 OS=Homo sapiens GN=UBE2L3 PE=1 SV=1</t>
  </si>
  <si>
    <t>KPPKITFKTKIYHPNID</t>
  </si>
  <si>
    <t>sp|P78325|ADAM8_HUMAN</t>
  </si>
  <si>
    <t>Disintegrin and metalloproteinase domain-containing protein 8 OS=Homo sapiens GN=ADAM8 PE=1 SV=2</t>
  </si>
  <si>
    <t>DNAEFQMLGSEAAVRH</t>
  </si>
  <si>
    <t>sp|P78362|SRPK2_HUMAN; sp|Q96SB4|SRPK1_HUMAN</t>
  </si>
  <si>
    <t>SRSF protein kinase 2 OS=Homo sapiens GN=SRPK2 PE=1 SV=3; SRSF protein kinase 1 OS=Homo sapiens GN=SRPK1 PE=1 SV=2</t>
  </si>
  <si>
    <t>GRYHVIRKL</t>
  </si>
  <si>
    <t>sp|P78406|RAE1L_HUMAN</t>
  </si>
  <si>
    <t>mRNA export factor OS=Homo sapiens GN=RAE1 PE=1 SV=1</t>
  </si>
  <si>
    <t>DTVPEVYTPVLEHL</t>
  </si>
  <si>
    <t>KSKDFVQVM</t>
  </si>
  <si>
    <t>sp|P78537|BL1S1_HUMAN</t>
  </si>
  <si>
    <t>Biogenesis of lysosome-related organelles complex 1 subunit 1 OS=Homo sapiens GN=BLOC1S1 PE=1 SV=2</t>
  </si>
  <si>
    <t>QAYMNQRKL</t>
  </si>
  <si>
    <t>sp|P78556|CCL20_HUMAN</t>
  </si>
  <si>
    <t>C-C motif chemokine 20 OS=Homo sapiens GN=CCL20 PE=1 SV=1</t>
  </si>
  <si>
    <t>FIVGFTRQL</t>
  </si>
  <si>
    <t>sp|P78562|PHEX_HUMAN</t>
  </si>
  <si>
    <t>Phosphate-regulating neutral endopeptidase OS=Homo sapiens GN=PHEX PE=1 SV=1</t>
  </si>
  <si>
    <t>KENEWMDAGTK</t>
  </si>
  <si>
    <t>LEKENEWMDAGTK</t>
  </si>
  <si>
    <t>SPPQFRVNGAISNFEE</t>
  </si>
  <si>
    <t>SPPQFRVNGAISNFE</t>
  </si>
  <si>
    <t>sp|P81605|DCD_HUMAN</t>
  </si>
  <si>
    <t>Dermcidin OS=Homo sapiens GN=DCD PE=1 SV=2</t>
  </si>
  <si>
    <t>GKDAVEDLESVGK</t>
  </si>
  <si>
    <t>AVGGLGKLGKDAVED</t>
  </si>
  <si>
    <t>SSLLEKGLDGAK</t>
  </si>
  <si>
    <t>sp|P82094|TMF1_HUMAN</t>
  </si>
  <si>
    <t>TATA element modulatory factor OS=Homo sapiens GN=TMF1 PE=1 SV=2</t>
  </si>
  <si>
    <t>YNTILQMYGEKAEEA</t>
  </si>
  <si>
    <t>LRQIENLQATLGSQT</t>
  </si>
  <si>
    <t>YNTILQMYGEKAEE</t>
  </si>
  <si>
    <t>YNTILQMYGEKAEEAE</t>
  </si>
  <si>
    <t>sp|P84103|SRSF3_HUMAN</t>
  </si>
  <si>
    <t>Serine/arginine-rich splicing factor 3 OS=Homo sapiens GN=SRSF3 PE=1 SV=1</t>
  </si>
  <si>
    <t>sp|P98171|RHG04_HUMAN</t>
  </si>
  <si>
    <t>Rho GTPase-activating protein 4 OS=Homo sapiens GN=ARHGAP4 PE=1 SV=2</t>
  </si>
  <si>
    <t>AGPLRKSSL</t>
  </si>
  <si>
    <t>sp|P98194|AT2C1_HUMAN</t>
  </si>
  <si>
    <t>Calcium-transporting ATPase type 2C member 1 OS=Homo sapiens GN=ATP2C1 PE=1 SV=3</t>
  </si>
  <si>
    <t>DVYQQEKARMGSAG</t>
  </si>
  <si>
    <t>GAYEQVIKY</t>
  </si>
  <si>
    <t>sp|P99999|CYC_HUMAN</t>
  </si>
  <si>
    <t>Cytochrome c OS=Homo sapiens GN=CYCS PE=1 SV=2</t>
  </si>
  <si>
    <t>GDVEKGKKIFIM</t>
  </si>
  <si>
    <t>Acetyl@N-term; Dethiomethyl(M)@12</t>
  </si>
  <si>
    <t>sp|Q00266|METK1_HUMAN; sp|P31153|METK2_HUMAN</t>
  </si>
  <si>
    <t>S-adenosylmethionine synthase isoform type-1 OS=Homo sapiens GN=MAT1A PE=1 SV=2; S-adenosylmethionine synthase isoform type-2 OS=Homo sapiens GN=MAT2A PE=1 SV=1</t>
  </si>
  <si>
    <t>SAAYAARWV</t>
  </si>
  <si>
    <t>sp|Q00325|MPCP_HUMAN</t>
  </si>
  <si>
    <t>Phosphate carrier protein, mitochondrial OS=Homo sapiens GN=SLC25A3 PE=1 SV=2</t>
  </si>
  <si>
    <t>LRDAAPKMYKEEGLKAF</t>
  </si>
  <si>
    <t>sp|Q00610|CLH1_HUMAN</t>
  </si>
  <si>
    <t>Clathrin heavy chain 1 OS=Homo sapiens GN=CLTC PE=1 SV=5</t>
  </si>
  <si>
    <t>EELINYYQDRGYFE</t>
  </si>
  <si>
    <t>INYYQDRGYFE</t>
  </si>
  <si>
    <t>AKQKWLLLTGISAQQNR</t>
  </si>
  <si>
    <t>EELINYYQDRGYFEE</t>
  </si>
  <si>
    <t>NLQNLLILTAIKADRT</t>
  </si>
  <si>
    <t>sp|Q00765|REEP5_HUMAN</t>
  </si>
  <si>
    <t>Receptor expression-enhancing protein 5 OS=Homo sapiens GN=REEP5 PE=1 SV=3</t>
  </si>
  <si>
    <t>YPAYISIKAIESPN</t>
  </si>
  <si>
    <t>sp|Q00839|HNRPU_HUMAN</t>
  </si>
  <si>
    <t>Heterogeneous nuclear ribonucleoprotein U OS=Homo sapiens GN=HNRNPU PE=1 SV=6</t>
  </si>
  <si>
    <t>GRPLFPHVL</t>
  </si>
  <si>
    <t>sp|Q00987|MDM2_HUMAN</t>
  </si>
  <si>
    <t>E3 ubiquitin-protein ligase Mdm2 OS=Homo sapiens GN=MDM2 PE=1 SV=1</t>
  </si>
  <si>
    <t>IYTMIYRNL</t>
  </si>
  <si>
    <t>sp|Q01082|SPTB2_HUMAN</t>
  </si>
  <si>
    <t>Spectrin beta chain, non-erythrocytic 1 OS=Homo sapiens GN=SPTBN1 PE=1 SV=2</t>
  </si>
  <si>
    <t>NRKFANSLVGV</t>
  </si>
  <si>
    <t>SNAHYNLQNAFNLAEQ</t>
  </si>
  <si>
    <t>sp|Q02487|DSC2_HUMAN</t>
  </si>
  <si>
    <t>Desmocollin-2 OS=Homo sapiens GN=DSC2 PE=1 SV=1</t>
  </si>
  <si>
    <t>TPDGYTPELPLPLIIK</t>
  </si>
  <si>
    <t>sp|Q02790|FKBP4_HUMAN</t>
  </si>
  <si>
    <t>Peptidyl-prolyl cis-trans isomerase FKBP4 OS=Homo sapiens GN=FKBP4 PE=1 SV=3</t>
  </si>
  <si>
    <t>GEHSIVYLKPSYAFG</t>
  </si>
  <si>
    <t>GEHSIVYLKPSYAFGSV</t>
  </si>
  <si>
    <t>GEHSIVYLKPSYAFGSVG</t>
  </si>
  <si>
    <t>KGEHSIVYLKPSYAFGSVG</t>
  </si>
  <si>
    <t>VALEGYYKDKLFDQR</t>
  </si>
  <si>
    <t>EHSIVYLKPSYAFG</t>
  </si>
  <si>
    <t>GEHSIVYLKPSYAFGS</t>
  </si>
  <si>
    <t>KGEHSIVYLKPSYAFG</t>
  </si>
  <si>
    <t>sp|Q02878|RL6_HUMAN</t>
  </si>
  <si>
    <t>60S ribosomal protein L6 OS=Homo sapiens GN=RPL6 PE=1 SV=3</t>
  </si>
  <si>
    <t>ALTNGIYPHKLV</t>
  </si>
  <si>
    <t>QKAWKIKYY</t>
  </si>
  <si>
    <t>sp|Q03111|ENL_HUMAN</t>
  </si>
  <si>
    <t>Protein ENL OS=Homo sapiens GN=MLLT1 PE=1 SV=2</t>
  </si>
  <si>
    <t>SQGPLRSM</t>
  </si>
  <si>
    <t>sp|Q03154|ACY1_HUMAN</t>
  </si>
  <si>
    <t>Aminoacylase-1 OS=Homo sapiens GN=ACY1 PE=1 SV=1</t>
  </si>
  <si>
    <t>VAFFEETARQL</t>
  </si>
  <si>
    <t>sp|Q03164|KMT2A_HUMAN</t>
  </si>
  <si>
    <t>Histone-lysine N-methyltransferase 2A OS=Homo sapiens GN=KMT2A PE=1 SV=5</t>
  </si>
  <si>
    <t>SRFWEPNKV</t>
  </si>
  <si>
    <t>sp|Q03252|LMNB2_HUMAN</t>
  </si>
  <si>
    <t>Lamin-B2 OS=Homo sapiens GN=LMNB2 PE=1 SV=3</t>
  </si>
  <si>
    <t>HYIDRVRAL</t>
  </si>
  <si>
    <t>sp|Q03701|CEBPZ_HUMAN</t>
  </si>
  <si>
    <t>CCAAT/enhancer-binding protein zeta OS=Homo sapiens GN=CEBPZ PE=1 SV=3</t>
  </si>
  <si>
    <t>YYTALYRKM</t>
  </si>
  <si>
    <t>sp|Q04118|PRB3_HUMAN; sp|P10163|PRB4_HUMAN; sp|P10163|PRB4_HUMAN; sp|P10163|PRB4_HUMAN; sp|P10163|PRB4_HUMAN</t>
  </si>
  <si>
    <t>Basic salivary proline-rich protein 3 OS=Homo sapiens GN=PRB3 PE=1 SV=2; Basic salivary proline-rich protein 4 OS=Homo sapiens GN=PRB4 PE=1 SV=4; Basic salivary proline-rich protein 4 OS=Homo sapiens GN=PRB4 PE=1 SV=4; Basic salivary proline-rich protein 4 OS=Homo sapiens GN=PRB4 PE=1 SV=4; Basic salivary proline-rich protein 4 OS=Homo sapiens GN=PRB4 PE=1 SV=4</t>
  </si>
  <si>
    <t>SQGPPPHPGKPE</t>
  </si>
  <si>
    <t>sp|Q04656|ATP7A_HUMAN</t>
  </si>
  <si>
    <t>Copper-transporting ATPase 1 OS=Homo sapiens GN=ATP7A PE=1 SV=3</t>
  </si>
  <si>
    <t>NAQQYKVLIGNREWM</t>
  </si>
  <si>
    <t>sp|Q04727|TLE4_HUMAN</t>
  </si>
  <si>
    <t>Transducin-like enhancer protein 4 OS=Homo sapiens GN=TLE4 PE=1 SV=3</t>
  </si>
  <si>
    <t>VDVSNEDPSSPRGSPA</t>
  </si>
  <si>
    <t>sp|Q04760|LGUL_HUMAN</t>
  </si>
  <si>
    <t>Lactoylglutathione lyase OS=Homo sapiens GN=GLO1 PE=1 SV=4</t>
  </si>
  <si>
    <t>KRFEELGVKFVKKPDD</t>
  </si>
  <si>
    <t>sp|Q04912|RON_HUMAN</t>
  </si>
  <si>
    <t>Macrophage-stimulating protein receptor OS=Homo sapiens GN=MST1R PE=1 SV=2</t>
  </si>
  <si>
    <t>DLLDTLIDEGVERCCESPVHPG</t>
  </si>
  <si>
    <t>sp|Q04917|1433F_HUMAN</t>
  </si>
  <si>
    <t>14-3-3 protein eta OS=Homo sapiens GN=YWHAH PE=1 SV=4</t>
  </si>
  <si>
    <t>LSNEDRNLLSVAYKNVVGAR</t>
  </si>
  <si>
    <t>Methyl(N)@7</t>
  </si>
  <si>
    <t>sp|Q05086|UBE3A_HUMAN</t>
  </si>
  <si>
    <t>Ubiquitin-protein ligase E3A OS=Homo sapiens GN=UBE3A PE=1 SV=4</t>
  </si>
  <si>
    <t>DYSPLIRVI</t>
  </si>
  <si>
    <t>sp|Q05397|FAK1_HUMAN</t>
  </si>
  <si>
    <t>Focal adhesion kinase 1 OS=Homo sapiens GN=PTK2 PE=1 SV=2</t>
  </si>
  <si>
    <t>LRSEEVHWL</t>
  </si>
  <si>
    <t>sp|Q06033|ITIH3_HUMAN</t>
  </si>
  <si>
    <t>Inter-alpha-trypsin inhibitor heavy chain H3 OS=Homo sapiens GN=ITIH3 PE=1 SV=2</t>
  </si>
  <si>
    <t>FYEEVANPLL</t>
  </si>
  <si>
    <t>sp|Q06187|BTK_HUMAN</t>
  </si>
  <si>
    <t>Tyrosine-protein kinase BTK OS=Homo sapiens GN=BTK PE=1 SV=3</t>
  </si>
  <si>
    <t>HRFQTQQLL</t>
  </si>
  <si>
    <t>sp|Q06210|GFPT1_HUMAN; sp|O94808|GFPT2_HUMAN</t>
  </si>
  <si>
    <t>Glutamine--fructose-6-phosphate aminotransferase [isomerizing] 1 OS=Homo sapiens GN=GFPT1 PE=1 SV=3; Glutamine--fructose-6-phosphate aminotransferase [isomerizing] 2 OS=Homo sapiens GN=GFPT2 PE=1 SV=3</t>
  </si>
  <si>
    <t>KIKEITYMHSEGILA</t>
  </si>
  <si>
    <t>sp|Q06413|MEF2C_HUMAN</t>
  </si>
  <si>
    <t>Myocyte-specific enhancer factor 2C OS=Homo sapiens GN=MEF2C PE=1 SV=1</t>
  </si>
  <si>
    <t>HLHNMPPSAL</t>
  </si>
  <si>
    <t>sp|Q06481|APLP2_HUMAN</t>
  </si>
  <si>
    <t>Amyloid-like protein 2 OS=Homo sapiens GN=APLP2 PE=1 SV=2</t>
  </si>
  <si>
    <t>GVDQFHGTEYVCCPQ</t>
  </si>
  <si>
    <t>Cys-&gt;Dha(C)@12; Dioxidation(C)@13</t>
  </si>
  <si>
    <t>sp|Q06828|FMOD_HUMAN</t>
  </si>
  <si>
    <t>Fibromodulin OS=Homo sapiens GN=FMOD PE=1 SV=2</t>
  </si>
  <si>
    <t>LSYNHLRKV</t>
  </si>
  <si>
    <t>RSQQSTYYDPYDPYPY</t>
  </si>
  <si>
    <t>WIALHGNQITS</t>
  </si>
  <si>
    <t>sp|Q07864|DPOE1_HUMAN</t>
  </si>
  <si>
    <t>DNA polymerase epsilon catalytic subunit A OS=Homo sapiens GN=POLE PE=1 SV=5</t>
  </si>
  <si>
    <t>FYVDTVRAF</t>
  </si>
  <si>
    <t>sp|Q07889|SOS1_HUMAN</t>
  </si>
  <si>
    <t>Son of sevenless homolog 1 OS=Homo sapiens GN=SOS1 PE=1 SV=1</t>
  </si>
  <si>
    <t>VQYVLPRLL</t>
  </si>
  <si>
    <t>sp|Q07890|SOS2_HUMAN</t>
  </si>
  <si>
    <t>Son of sevenless homolog 2 OS=Homo sapiens GN=SOS2 PE=1 SV=2</t>
  </si>
  <si>
    <t>FRHWVEHHF</t>
  </si>
  <si>
    <t>MKYPSPFFV</t>
  </si>
  <si>
    <t>sp|Q08345|DDR1_HUMAN</t>
  </si>
  <si>
    <t>Epithelial discoidin domain-containing receptor 1 OS=Homo sapiens GN=DDR1 PE=1 SV=1</t>
  </si>
  <si>
    <t>RLKDPNIIRLL</t>
  </si>
  <si>
    <t>sp|Q08554|DSC1_HUMAN</t>
  </si>
  <si>
    <t>Desmocollin-1 OS=Homo sapiens GN=DSC1 PE=1 SV=2</t>
  </si>
  <si>
    <t>SISGPGVDKEPF</t>
  </si>
  <si>
    <t>sp|Q09666|AHNK_HUMAN; sp|Q09666|AHNK_HUMAN; sp|Q09666|AHNK_HUMAN; sp|Q09666|AHNK_HUMAN; sp|Q09666|AHNK_HUMAN; sp|Q09666|AHNK_HUMAN; sp|Q09666|AHNK_HUMAN</t>
  </si>
  <si>
    <t>Neuroblast differentiation-associated protein AHNAK OS=Homo sapiens GN=AHNAK PE=1 SV=2; Neuroblast differentiation-associated protein AHNAK OS=Homo sapiens GN=AHNAK PE=1 SV=2; Neuroblast differentiation-associated protein AHNAK OS=Homo sapiens GN=AHNAK PE=1 SV=2; Neuroblast differentiation-associated protein AHNAK OS=Homo sapiens GN=AHNAK PE=1 SV=2; Neuroblast differentiation-associated protein AHNAK OS=Homo sapiens GN=AHNAK PE=1 SV=2; Neuroblast differentiation-associated protein AHNAK OS=Homo sapiens GN=AHNAK PE=1 SV=2; Neuroblast differentiation-associated protein AHNAK OS=Homo sapiens GN=AHNAK PE=1 SV=2</t>
  </si>
  <si>
    <t>PGFKGEGPEVD</t>
  </si>
  <si>
    <t>sp|Q0VDF9|HSP7E_HUMAN</t>
  </si>
  <si>
    <t>Heat shock 70 kDa protein 14 OS=Homo sapiens GN=HSPA14 PE=1 SV=1</t>
  </si>
  <si>
    <t>VNSGIYRVL</t>
  </si>
  <si>
    <t>sp|Q10570|CPSF1_HUMAN</t>
  </si>
  <si>
    <t>Cleavage and polyadenylation specificity factor subunit 1 OS=Homo sapiens GN=CPSF1 PE=1 SV=2</t>
  </si>
  <si>
    <t>ESFGGMRLL</t>
  </si>
  <si>
    <t>sp|Q10589|BST2_HUMAN</t>
  </si>
  <si>
    <t>Bone marrow stromal antigen 2 OS=Homo sapiens GN=BST2 PE=1 SV=1</t>
  </si>
  <si>
    <t>ELTEAQKGFQDVEAQ</t>
  </si>
  <si>
    <t>MASLDAEKAQGQK</t>
  </si>
  <si>
    <t>VMALMASLDAEKAQ</t>
  </si>
  <si>
    <t>sp|Q12766|HMGX3_HUMAN</t>
  </si>
  <si>
    <t>HMG domain-containing protein 3 OS=Homo sapiens GN=HMGXB3 PE=2 SV=2</t>
  </si>
  <si>
    <t>SGSALVRLL</t>
  </si>
  <si>
    <t>sp|Q12798|CETN1_HUMAN; sp|P41208|CETN2_HUMAN</t>
  </si>
  <si>
    <t>Centrin-1 OS=Homo sapiens GN=CETN1 PE=1 SV=1; Centrin-2 OS=Homo sapiens GN=CETN2 PE=1 SV=1</t>
  </si>
  <si>
    <t>TDEELQEMIDEADRDG</t>
  </si>
  <si>
    <t>TDEELQEMIDEADRDGDG</t>
  </si>
  <si>
    <t>sp|Q12802|AKP13_HUMAN</t>
  </si>
  <si>
    <t>A-kinase anchor protein 13 OS=Homo sapiens GN=AKAP13 PE=1 SV=2</t>
  </si>
  <si>
    <t>NSRPFHSTF</t>
  </si>
  <si>
    <t>sp|Q12840|KIF5A_HUMAN; sp|P33176|KINH_HUMAN; sp|O60282|KIF5C_HUMAN</t>
  </si>
  <si>
    <t>Kinesin heavy chain isoform 5A OS=Homo sapiens GN=KIF5A PE=1 SV=2; Kinesin-1 heavy chain OS=Homo sapiens GN=KIF5B PE=1 SV=1; Kinesin heavy chain isoform 5C OS=Homo sapiens GN=KIF5C PE=1 SV=1</t>
  </si>
  <si>
    <t>NRHVAVTNM</t>
  </si>
  <si>
    <t>sp|Q12860|CNTN1_HUMAN</t>
  </si>
  <si>
    <t>Contactin-1 OS=Homo sapiens GN=CNTN1 PE=1 SV=1</t>
  </si>
  <si>
    <t>DRYSMVGGNLVINNPD</t>
  </si>
  <si>
    <t>TSDRYSMVGGNLVINNPD</t>
  </si>
  <si>
    <t>KKKILAAKGGRVI</t>
  </si>
  <si>
    <t>SDRYSMVGGNLVINN</t>
  </si>
  <si>
    <t>SDRYSMVGGNLVINNP</t>
  </si>
  <si>
    <t>SDRYSMVGGNLVINNPD</t>
  </si>
  <si>
    <t>TSDRYSMVGGNLVINNP</t>
  </si>
  <si>
    <t>sp|Q12899|TRI26_HUMAN</t>
  </si>
  <si>
    <t>Tripartite motif-containing protein 26 OS=Homo sapiens GN=TRIM26 PE=2 SV=1</t>
  </si>
  <si>
    <t>NRYPRKKFW</t>
  </si>
  <si>
    <t>sp|Q12905|ILF2_HUMAN</t>
  </si>
  <si>
    <t>Interleukin enhancer-binding factor 2 OS=Homo sapiens GN=ILF2 PE=1 SV=2</t>
  </si>
  <si>
    <t>sp|Q13103|SPP24_HUMAN</t>
  </si>
  <si>
    <t>Secreted phosphoprotein 24 OS=Homo sapiens GN=SPP2 PE=1 SV=1</t>
  </si>
  <si>
    <t>ESISEQFYDRSLGI</t>
  </si>
  <si>
    <t>sp|Q13123|RED_HUMAN</t>
  </si>
  <si>
    <t>Protein Red OS=Homo sapiens GN=IK PE=1 SV=3</t>
  </si>
  <si>
    <t>YAKLRQQEI</t>
  </si>
  <si>
    <t>sp|Q13131|AAPK1_HUMAN; sp|P54646|AAPK2_HUMAN</t>
  </si>
  <si>
    <t>5'-AMP-activated protein kinase catalytic subunit alpha-1 OS=Homo sapiens GN=PRKAA1 PE=1 SV=4; 5'-AMP-activated protein kinase catalytic subunit alpha-2 OS=Homo sapiens GN=PRKAA2 PE=1 SV=2</t>
  </si>
  <si>
    <t>FRHPHIIKL</t>
  </si>
  <si>
    <t>sp|Q13155|AIMP2_HUMAN</t>
  </si>
  <si>
    <t>Aminoacyl tRNA synthase complex-interacting multifunctional protein 2 OS=Homo sapiens GN=AIMP2 PE=1 SV=2</t>
  </si>
  <si>
    <t>AAVFRSMNSALGKSPW</t>
  </si>
  <si>
    <t>sp|Q13177|PAK2_HUMAN</t>
  </si>
  <si>
    <t>Serine/threonine-protein kinase PAK 2 OS=Homo sapiens GN=PAK2 PE=1 SV=3</t>
  </si>
  <si>
    <t>LQALEFLHANQVIHRD</t>
  </si>
  <si>
    <t>sp|Q13200|PSMD2_HUMAN</t>
  </si>
  <si>
    <t>26S proteasome non-ATPase regulatory subunit 2 OS=Homo sapiens GN=PSMD2 PE=1 SV=3</t>
  </si>
  <si>
    <t>VAAMQPRML</t>
  </si>
  <si>
    <t>SRFPEALRL</t>
  </si>
  <si>
    <t>VRHPDSHQL</t>
  </si>
  <si>
    <t>sp|Q13287|NMI_HUMAN</t>
  </si>
  <si>
    <t>N-myc-interactor OS=Homo sapiens GN=NMI PE=1 SV=2</t>
  </si>
  <si>
    <t>VPYEIQKGQALIT</t>
  </si>
  <si>
    <t>VPYEIQKGQALITFE</t>
  </si>
  <si>
    <t>VSPYTEIHL</t>
  </si>
  <si>
    <t>sp|Q13291|SLAF1_HUMAN</t>
  </si>
  <si>
    <t>Signaling lymphocytic activation molecule OS=Homo sapiens GN=SLAMF1 PE=1 SV=1</t>
  </si>
  <si>
    <t>ENSVENKIVSLDPSEAGPPR</t>
  </si>
  <si>
    <t>SRKEDEGWYL</t>
  </si>
  <si>
    <t>sp|Q13363|CTBP1_HUMAN; sp|P56545|CTBP2_HUMAN</t>
  </si>
  <si>
    <t>C-terminal-binding protein 1 OS=Homo sapiens GN=CTBP1 PE=1 SV=2; C-terminal-binding protein 2 OS=Homo sapiens GN=CTBP2 PE=1 SV=1</t>
  </si>
  <si>
    <t>GPLHPRPLV</t>
  </si>
  <si>
    <t>sp|Q13459|MYO9B_HUMAN</t>
  </si>
  <si>
    <t>Unconventional myosin-IXb OS=Homo sapiens GN=MYO9B PE=1 SV=3</t>
  </si>
  <si>
    <t>YASGVERTI</t>
  </si>
  <si>
    <t>sp|Q13501|SQSTM_HUMAN</t>
  </si>
  <si>
    <t>Sequestosome-1 OS=Homo sapiens GN=SQSTM1 PE=1 SV=1</t>
  </si>
  <si>
    <t>DDWTHLSSKEVD</t>
  </si>
  <si>
    <t>GDDDWTHLSSKEVDPSTGEL</t>
  </si>
  <si>
    <t>GGDDDWTHLSSKEVD</t>
  </si>
  <si>
    <t>SGGDDDWTHLSSKEVD</t>
  </si>
  <si>
    <t>SGGDDDWTHLSSKEVDPS</t>
  </si>
  <si>
    <t>GDDDWTHLSSKEVDP</t>
  </si>
  <si>
    <t>SGGDDDWTHLSSKEVDPSTGEL</t>
  </si>
  <si>
    <t>THLSSKEVDPSTG</t>
  </si>
  <si>
    <t>Amidated@C-term</t>
  </si>
  <si>
    <t>Phospho(S)@1</t>
  </si>
  <si>
    <t>sp|Q13505|MTX1_HUMAN</t>
  </si>
  <si>
    <t>Metaxin-1 OS=Homo sapiens GN=MTX1 PE=1 SV=2</t>
  </si>
  <si>
    <t>ARAPGTRTL</t>
  </si>
  <si>
    <t>ARFTGAPLKV</t>
  </si>
  <si>
    <t>sp|Q13530|SERC3_HUMAN</t>
  </si>
  <si>
    <t>Serine incorporator 3 OS=Homo sapiens GN=SERINC3 PE=2 SV=2</t>
  </si>
  <si>
    <t>QRKEMETYL</t>
  </si>
  <si>
    <t>YRNIEPVYL</t>
  </si>
  <si>
    <t>LRPILTKLY</t>
  </si>
  <si>
    <t>YGSPKIKSL</t>
  </si>
  <si>
    <t>sp|Q13586|STIM1_HUMAN</t>
  </si>
  <si>
    <t>Stromal interaction molecule 1 OS=Homo sapiens GN=STIM1 PE=1 SV=3</t>
  </si>
  <si>
    <t>SRNTRIPHL</t>
  </si>
  <si>
    <t>sp|Q13609|DNSL3_HUMAN</t>
  </si>
  <si>
    <t>Deoxyribonuclease gamma OS=Homo sapiens GN=DNASE1L3 PE=1 SV=1</t>
  </si>
  <si>
    <t>KRSYHYHDYQDGDA</t>
  </si>
  <si>
    <t>VPKSNSVFDFQKAYKLTE</t>
  </si>
  <si>
    <t>sp|Q13618|CUL3_HUMAN</t>
  </si>
  <si>
    <t>Cullin-3 OS=Homo sapiens GN=CUL3 PE=1 SV=2</t>
  </si>
  <si>
    <t>KLYTGLREV</t>
  </si>
  <si>
    <t>sp|Q13740|CD166_HUMAN</t>
  </si>
  <si>
    <t>CD166 antigen OS=Homo sapiens GN=ALCAM PE=1 SV=2</t>
  </si>
  <si>
    <t>KKSVQYDDVPE</t>
  </si>
  <si>
    <t>RSSTKKSVQYDDVPEYKD</t>
  </si>
  <si>
    <t>sp|Q13761|RUNX3_HUMAN; sp|Q13950|RUNX2_HUMAN; sp|Q01196|RUNX1_HUMAN</t>
  </si>
  <si>
    <t>Runt-related transcription factor 3 OS=Homo sapiens GN=RUNX3 PE=1 SV=2; Runt-related transcription factor 2 OS=Homo sapiens GN=RUNX2 PE=1 SV=2; Runt-related transcription factor 1 OS=Homo sapiens GN=RUNX1 PE=1 SV=3</t>
  </si>
  <si>
    <t>ARFNDLRFV</t>
  </si>
  <si>
    <t>sp|Q13772|NCOA4_HUMAN</t>
  </si>
  <si>
    <t>Nuclear receptor coactivator 4 OS=Homo sapiens GN=NCOA4 PE=1 SV=1</t>
  </si>
  <si>
    <t>GNLKGLENWLLKSEK</t>
  </si>
  <si>
    <t>sp|Q13823|NOG2_HUMAN</t>
  </si>
  <si>
    <t>Nucleolar GTP-binding protein 2 OS=Homo sapiens GN=GNL2 PE=1 SV=1</t>
  </si>
  <si>
    <t>AKPEYISKTY</t>
  </si>
  <si>
    <t>sp|Q13867|BLMH_HUMAN</t>
  </si>
  <si>
    <t>Bleomycin hydrolase OS=Homo sapiens GN=BLMH PE=1 SV=1</t>
  </si>
  <si>
    <t>SDPQFVLAQNVGTTHDL</t>
  </si>
  <si>
    <t>QPIDFLKKMVAASIKDG</t>
  </si>
  <si>
    <t>sp|Q14008|CKAP5_HUMAN</t>
  </si>
  <si>
    <t>Cytoskeleton-associated protein 5 OS=Homo sapiens GN=CKAP5 PE=1 SV=3</t>
  </si>
  <si>
    <t>DKKEFKPLPGRTAASG</t>
  </si>
  <si>
    <t>KKEFKPLPGRTAASG</t>
  </si>
  <si>
    <t>ADKKEFKPLPGRTAASG</t>
  </si>
  <si>
    <t>DKKEFKPLPGRTAAS</t>
  </si>
  <si>
    <t>LIATFMQLR</t>
  </si>
  <si>
    <t>sp|Q14108|SCRB2_HUMAN</t>
  </si>
  <si>
    <t>Lysosome membrane protein 2 OS=Homo sapiens GN=SCARB2 PE=1 SV=2</t>
  </si>
  <si>
    <t>SDYESVQGLPAFR</t>
  </si>
  <si>
    <t>VDELLWGYKDEILS</t>
  </si>
  <si>
    <t>sp|Q14126|DSG2_HUMAN</t>
  </si>
  <si>
    <t>Desmoglein-2 OS=Homo sapiens GN=DSG2 PE=1 SV=2</t>
  </si>
  <si>
    <t>DREETPFFLLTGYALDARGNN</t>
  </si>
  <si>
    <t>sp|Q14141|SEPT6_HUMAN</t>
  </si>
  <si>
    <t>Septin-6 OS=Homo sapiens GN=SEPT6 PE=1 SV=4</t>
  </si>
  <si>
    <t>sp|Q14151|SAFB2_HUMAN</t>
  </si>
  <si>
    <t>Scaffold attachment factor B2 OS=Homo sapiens GN=SAFB2 PE=1 SV=1</t>
  </si>
  <si>
    <t>YVAAQLRQL</t>
  </si>
  <si>
    <t>sp|Q14152|EIF3A_HUMAN</t>
  </si>
  <si>
    <t>Eukaryotic translation initiation factor 3 subunit A OS=Homo sapiens GN=EIF3A PE=1 SV=1</t>
  </si>
  <si>
    <t>IRNQLTAMSSVLAKAL</t>
  </si>
  <si>
    <t>sp|Q14165|MLEC_HUMAN</t>
  </si>
  <si>
    <t>Malectin OS=Homo sapiens GN=MLEC PE=1 SV=1</t>
  </si>
  <si>
    <t>sp|Q14190|SIM2_HUMAN</t>
  </si>
  <si>
    <t>Single-minded homolog 2 OS=Homo sapiens GN=SIM2 PE=1 SV=2</t>
  </si>
  <si>
    <t>AQLPFVLLNY</t>
  </si>
  <si>
    <t>sp|Q14191|WRN_HUMAN</t>
  </si>
  <si>
    <t>Werner syndrome ATP-dependent helicase OS=Homo sapiens GN=WRN PE=1 SV=2</t>
  </si>
  <si>
    <t>IRNEKFRLY</t>
  </si>
  <si>
    <t>NALFVRPHI</t>
  </si>
  <si>
    <t>LYKWFTSQV</t>
  </si>
  <si>
    <t>VGKEFTSKM</t>
  </si>
  <si>
    <t>SRYPIAVDCSWTLPPAPNS</t>
  </si>
  <si>
    <t>Cys-&gt;Dha(C)@9; Trp-&gt;Kynurenin(W)@11</t>
  </si>
  <si>
    <t>sp|Q14254|FLOT2_HUMAN</t>
  </si>
  <si>
    <t>Flotillin-2 OS=Homo sapiens GN=FLOT2 PE=1 SV=2</t>
  </si>
  <si>
    <t>EEVNIKTAEAQLAYE</t>
  </si>
  <si>
    <t>EVNIKTAEAQLAYE</t>
  </si>
  <si>
    <t>EVNRLLAELPASVHAL</t>
  </si>
  <si>
    <t>VNIKTAEAQLAYE</t>
  </si>
  <si>
    <t>sp|Q14332|FZD2_HUMAN; sp|O75084|FZD7_HUMAN</t>
  </si>
  <si>
    <t>Frizzled-2 OS=Homo sapiens GN=FZD2 PE=2 SV=1; Frizzled-7 OS=Homo sapiens GN=FZD7 PE=1 SV=2</t>
  </si>
  <si>
    <t>ANSQYFHLAAWAVPAV</t>
  </si>
  <si>
    <t>sp|Q14534|ERG1_HUMAN</t>
  </si>
  <si>
    <t>Squalene monooxygenase OS=Homo sapiens GN=SQLE PE=1 SV=3</t>
  </si>
  <si>
    <t>RAFHHGRFI</t>
  </si>
  <si>
    <t>sp|Q14574|DSC3_HUMAN</t>
  </si>
  <si>
    <t>Desmocollin-3 OS=Homo sapiens GN=DSC3 PE=1 SV=3</t>
  </si>
  <si>
    <t>AVDPDEPVHGAP</t>
  </si>
  <si>
    <t>sp|Q14593|ZN273_HUMAN; sp|Q03936|ZNF92_HUMAN; sp|P17019|ZN708_HUMAN</t>
  </si>
  <si>
    <t>Zinc finger protein 273 OS=Homo sapiens GN=ZNF273 PE=2 SV=3; Zinc finger protein 92 OS=Homo sapiens GN=ZNF92 PE=2 SV=2; Zinc finger protein 708 OS=Homo sapiens GN=ZNF708 PE=1 SV=5</t>
  </si>
  <si>
    <t>KAFSVFSTL</t>
  </si>
  <si>
    <t>IASTILRLIF</t>
  </si>
  <si>
    <t>IRSKSVREL</t>
  </si>
  <si>
    <t>IRSKSVRELA</t>
  </si>
  <si>
    <t>sp|Q14653|IRF3_HUMAN</t>
  </si>
  <si>
    <t>Interferon regulatory factor 3 OS=Homo sapiens GN=IRF3 PE=1 SV=1</t>
  </si>
  <si>
    <t>FRIPWKHGL</t>
  </si>
  <si>
    <t>sp|Q14669|TRIPC_HUMAN</t>
  </si>
  <si>
    <t>E3 ubiquitin-protein ligase TRIP12 OS=Homo sapiens GN=TRIP12 PE=1 SV=1</t>
  </si>
  <si>
    <t>AKPAHIAKV</t>
  </si>
  <si>
    <t>sp|Q14687|GSE1_HUMAN</t>
  </si>
  <si>
    <t>Genetic suppressor element 1 OS=Homo sapiens GN=GSE1 PE=1 SV=3</t>
  </si>
  <si>
    <t>AAYYHPSYL</t>
  </si>
  <si>
    <t>sp|Q14690|RRP5_HUMAN</t>
  </si>
  <si>
    <t>Protein RRP5 homolog OS=Homo sapiens GN=PDCD11 PE=1 SV=3</t>
  </si>
  <si>
    <t>QTHGFIIRV</t>
  </si>
  <si>
    <t>sp|Q14691|PSF1_HUMAN</t>
  </si>
  <si>
    <t>DNA replication complex GINS protein PSF1 OS=Homo sapiens GN=GINS1 PE=1 SV=1</t>
  </si>
  <si>
    <t>KAMELIREL</t>
  </si>
  <si>
    <t>sp|Q14692|BMS1_HUMAN</t>
  </si>
  <si>
    <t>Ribosome biogenesis protein BMS1 homolog OS=Homo sapiens GN=BMS1 PE=1 SV=1</t>
  </si>
  <si>
    <t>IREPHERKI</t>
  </si>
  <si>
    <t>QAAPNLRKL</t>
  </si>
  <si>
    <t>sp|Q14728|MFS10_HUMAN</t>
  </si>
  <si>
    <t>Major facilitator superfamily domain-containing protein 10 OS=Homo sapiens GN=MFSD10 PE=2 SV=1</t>
  </si>
  <si>
    <t>AAFLASRLI</t>
  </si>
  <si>
    <t>sp|Q14738|2A5D_HUMAN</t>
  </si>
  <si>
    <t>Serine/threonine-protein phosphatase 2A 56 kDa regulatory subunit delta isoform OS=Homo sapiens GN=PPP2R5D PE=1 SV=1</t>
  </si>
  <si>
    <t>SDPLSDLKFKEVKRAG</t>
  </si>
  <si>
    <t>sp|Q14764|MVP_HUMAN</t>
  </si>
  <si>
    <t>Major vault protein OS=Homo sapiens GN=MVP PE=1 SV=4</t>
  </si>
  <si>
    <t>GPEMQVKLLQSLGLKST</t>
  </si>
  <si>
    <t>sp|Q147X3|NAA30_HUMAN</t>
  </si>
  <si>
    <t>N-alpha-acetyltransferase 30 OS=Homo sapiens GN=NAA30 PE=1 SV=1</t>
  </si>
  <si>
    <t>QMPDIMRLI</t>
  </si>
  <si>
    <t>sp|Q14807|KIF22_HUMAN</t>
  </si>
  <si>
    <t>Kinesin-like protein KIF22 OS=Homo sapiens GN=KIF22 PE=1 SV=5</t>
  </si>
  <si>
    <t>sp|Q14849|STAR3_HUMAN</t>
  </si>
  <si>
    <t>StAR-related lipid transfer protein 3 OS=Homo sapiens GN=STARD3 PE=1 SV=2</t>
  </si>
  <si>
    <t>DTVYTIEVPFHGKT</t>
  </si>
  <si>
    <t>EYGDTVYTIEVPFHGKT</t>
  </si>
  <si>
    <t>KNNEYGDTVYTIEVPFHGKT</t>
  </si>
  <si>
    <t>sp|Q14980|NUMA1_HUMAN</t>
  </si>
  <si>
    <t>Nuclear mitotic apparatus protein 1 OS=Homo sapiens GN=NUMA1 PE=1 SV=2</t>
  </si>
  <si>
    <t>ARAELEMRL</t>
  </si>
  <si>
    <t>VRADAETRL</t>
  </si>
  <si>
    <t>sp|Q14999|CUL7_HUMAN</t>
  </si>
  <si>
    <t>Cullin-7 OS=Homo sapiens GN=CUL7 PE=1 SV=2</t>
  </si>
  <si>
    <t>TRFWPIIQI</t>
  </si>
  <si>
    <t>sp|Q15029|U5S1_HUMAN</t>
  </si>
  <si>
    <t>116 kDa U5 small nuclear ribonucleoprotein component OS=Homo sapiens GN=EFTUD2 PE=1 SV=1</t>
  </si>
  <si>
    <t>IKPVKTKKF</t>
  </si>
  <si>
    <t>sp|Q15047|SETB1_HUMAN</t>
  </si>
  <si>
    <t>Histone-lysine N-methyltransferase SETDB1 OS=Homo sapiens GN=SETDB1 PE=1 SV=1</t>
  </si>
  <si>
    <t>YRAPMEKLFY</t>
  </si>
  <si>
    <t>sp|Q15061|WDR43_HUMAN</t>
  </si>
  <si>
    <t>WD repeat-containing protein 43 OS=Homo sapiens GN=WDR43 PE=1 SV=3</t>
  </si>
  <si>
    <t>ITKVRTPVM</t>
  </si>
  <si>
    <t>TPGVFIGKGFEPGVT</t>
  </si>
  <si>
    <t>sp|Q15075|EEA1_HUMAN</t>
  </si>
  <si>
    <t>Early endosome antigen 1 OS=Homo sapiens GN=EEA1 PE=1 SV=2</t>
  </si>
  <si>
    <t>QRADLQNHL</t>
  </si>
  <si>
    <t>sp|Q15084|PDIA6_HUMAN</t>
  </si>
  <si>
    <t>Protein disulfide-isomerase A6 OS=Homo sapiens GN=PDIA6 PE=1 SV=1</t>
  </si>
  <si>
    <t>DGRDGELPVEDDIDLSDV</t>
  </si>
  <si>
    <t>KMKFALLKGSFSEQ</t>
  </si>
  <si>
    <t>sp|Q15149|PLEC_HUMAN</t>
  </si>
  <si>
    <t>Plectin OS=Homo sapiens GN=PLEC PE=1 SV=3</t>
  </si>
  <si>
    <t>QRAEAERVL</t>
  </si>
  <si>
    <t>VYAALQRQL</t>
  </si>
  <si>
    <t>sp|Q15154|PCM1_HUMAN</t>
  </si>
  <si>
    <t>Pericentriolar material 1 protein OS=Homo sapiens GN=PCM1 PE=1 SV=4</t>
  </si>
  <si>
    <t>SPVLVNDYEAESGNISQK</t>
  </si>
  <si>
    <t>QRQENLRWV</t>
  </si>
  <si>
    <t>SPVLVNDYEAESGNISQKSD</t>
  </si>
  <si>
    <t>sp|Q15165|PON2_HUMAN</t>
  </si>
  <si>
    <t>Serum paraoxonase/arylesterase 2 OS=Homo sapiens GN=PON2 PE=1 SV=3</t>
  </si>
  <si>
    <t>DGKLLIGTLYHRAL</t>
  </si>
  <si>
    <t>FRKPGEKTF</t>
  </si>
  <si>
    <t>ARHEHQVML</t>
  </si>
  <si>
    <t>TVRNLPQYV</t>
  </si>
  <si>
    <t>sp|Q15274|NADC_HUMAN</t>
  </si>
  <si>
    <t>Nicotinate-nucleotide pyrophosphorylase [carboxylating] OS=Homo sapiens GN=QPRT PE=1 SV=3</t>
  </si>
  <si>
    <t>VEKYGLLVGGAASH</t>
  </si>
  <si>
    <t>sp|Q15365|PCBP1_HUMAN</t>
  </si>
  <si>
    <t>Poly(rC)-binding protein 1 OS=Homo sapiens GN=PCBP1 PE=1 SV=2</t>
  </si>
  <si>
    <t>ANINEIRQMSGAQIK</t>
  </si>
  <si>
    <t>sp|Q15365|PCBP1_HUMAN; sp|Q15366|PCBP2_HUMAN</t>
  </si>
  <si>
    <t>Poly(rC)-binding protein 1 OS=Homo sapiens GN=PCBP1 PE=1 SV=2; Poly(rC)-binding protein 2 OS=Homo sapiens GN=PCBP2 PE=1 SV=1</t>
  </si>
  <si>
    <t>INEIRQMSGAQIKIANP</t>
  </si>
  <si>
    <t>NCPERIITL</t>
  </si>
  <si>
    <t>sp|Q15369|ELOC_HUMAN</t>
  </si>
  <si>
    <t>Transcription elongation factor B polypeptide 1 OS=Homo sapiens GN=TCEB1 PE=1 SV=1</t>
  </si>
  <si>
    <t>NEVNFREIPSHVLSK</t>
  </si>
  <si>
    <t>sp|Q15393|SF3B3_HUMAN</t>
  </si>
  <si>
    <t>Splicing factor 3B subunit 3 OS=Homo sapiens GN=SF3B3 PE=1 SV=4</t>
  </si>
  <si>
    <t>YPDGIRHI</t>
  </si>
  <si>
    <t>sp|Q15417|CNN3_HUMAN</t>
  </si>
  <si>
    <t>Calponin-3 OS=Homo sapiens GN=CNN3 PE=1 SV=1</t>
  </si>
  <si>
    <t>DSDYQAEYPDEYHG</t>
  </si>
  <si>
    <t>sp|Q15418|KS6A1_HUMAN</t>
  </si>
  <si>
    <t>Ribosomal protein S6 kinase alpha-1 OS=Homo sapiens GN=RPS6KA1 PE=1 SV=2</t>
  </si>
  <si>
    <t>IGKTVEYLHSQGVVHRD</t>
  </si>
  <si>
    <t>sp|Q15427|SF3B4_HUMAN</t>
  </si>
  <si>
    <t>Splicing factor 3B subunit 4 OS=Homo sapiens GN=SF3B4 PE=1 SV=1</t>
  </si>
  <si>
    <t>KLYGKPIRV</t>
  </si>
  <si>
    <t>sp|Q15437|SC23B_HUMAN</t>
  </si>
  <si>
    <t>Protein transport protein Sec23B OS=Homo sapiens GN=SEC23B PE=1 SV=2</t>
  </si>
  <si>
    <t>ATKHYEMLANRTAANG</t>
  </si>
  <si>
    <t>DSFNTSLFKQTFQRI</t>
  </si>
  <si>
    <t>GDSFNTSLFKQTFQRI</t>
  </si>
  <si>
    <t>TKHYEMLANRTAANG</t>
  </si>
  <si>
    <t>KHYEMLANRTAANG</t>
  </si>
  <si>
    <t>sp|Q15477|SKIV2_HUMAN</t>
  </si>
  <si>
    <t>Helicase SKI2W OS=Homo sapiens GN=SKIV2L PE=1 SV=3</t>
  </si>
  <si>
    <t>SGSDVIRDL</t>
  </si>
  <si>
    <t>sp|Q15528|MED22_HUMAN</t>
  </si>
  <si>
    <t>Mediator of RNA polymerase II transcription subunit 22 OS=Homo sapiens GN=MED22 PE=1 SV=2</t>
  </si>
  <si>
    <t>QRNQQLRTL</t>
  </si>
  <si>
    <t>sp|Q15628|TRADD_HUMAN</t>
  </si>
  <si>
    <t>Tumor necrosis factor receptor type 1-associated DEATH domain protein OS=Homo sapiens GN=TRADD PE=1 SV=2</t>
  </si>
  <si>
    <t>LRAALQRSL</t>
  </si>
  <si>
    <t>VAVYRALQAALAESGGSPD</t>
  </si>
  <si>
    <t>sp|Q15691|MARE1_HUMAN</t>
  </si>
  <si>
    <t>Microtubule-associated protein RP/EB family member 1 OS=Homo sapiens GN=MAPRE1 PE=1 SV=3</t>
  </si>
  <si>
    <t>FYFGKLRNI</t>
  </si>
  <si>
    <t>QLPDFERESL</t>
  </si>
  <si>
    <t>sp|Q15788|NCOA1_HUMAN</t>
  </si>
  <si>
    <t>Nuclear receptor coactivator 1 OS=Homo sapiens GN=NCOA1 PE=1 SV=3</t>
  </si>
  <si>
    <t>ASSPVLRQM</t>
  </si>
  <si>
    <t>sp|Q15907|RB11B_HUMAN; sp|P62491|RB11A_HUMAN</t>
  </si>
  <si>
    <t>Ras-related protein Rab-11B OS=Homo sapiens GN=RAB11B PE=1 SV=4; Ras-related protein Rab-11A OS=Homo sapiens GN=RAB11A PE=1 SV=3</t>
  </si>
  <si>
    <t>ADSNIVIMLVGNKSDLR</t>
  </si>
  <si>
    <t>ILTEIYRIV</t>
  </si>
  <si>
    <t>sp|Q15935|ZNF77_HUMAN</t>
  </si>
  <si>
    <t>Zinc finger protein 77 OS=Homo sapiens GN=ZNF77 PE=2 SV=2</t>
  </si>
  <si>
    <t>SRTASVTYV</t>
  </si>
  <si>
    <t>sp|Q15942|ZYX_HUMAN</t>
  </si>
  <si>
    <t>Zyxin OS=Homo sapiens GN=ZYX PE=1 SV=1</t>
  </si>
  <si>
    <t>GRDETVRVV</t>
  </si>
  <si>
    <t>sp|Q16181|SEPT7_HUMAN</t>
  </si>
  <si>
    <t>Septin-7 OS=Homo sapiens GN=SEPT7 PE=1 SV=2</t>
  </si>
  <si>
    <t>sp|Q16222|UAP1_HUMAN</t>
  </si>
  <si>
    <t>UDP-N-acetylhexosamine pyrophosphorylase OS=Homo sapiens GN=UAP1 PE=1 SV=3</t>
  </si>
  <si>
    <t>GNGGLYRALAAQNIVED</t>
  </si>
  <si>
    <t>sp|Q16514|TAF12_HUMAN</t>
  </si>
  <si>
    <t>Transcription initiation factor TFIID subunit 12 OS=Homo sapiens GN=TAF12 PE=1 SV=1</t>
  </si>
  <si>
    <t>HRKSSTLEV</t>
  </si>
  <si>
    <t>sp|Q16531|DDB1_HUMAN</t>
  </si>
  <si>
    <t>DNA damage-binding protein 1 OS=Homo sapiens GN=DDB1 PE=1 SV=1</t>
  </si>
  <si>
    <t>GRHVKTYEV</t>
  </si>
  <si>
    <t>sp|Q16543|CDC37_HUMAN</t>
  </si>
  <si>
    <t>Hsp90 co-chaperone Cdc37 OS=Homo sapiens GN=CDC37 PE=1 SV=1</t>
  </si>
  <si>
    <t>RQYMEGFNDELE</t>
  </si>
  <si>
    <t>DGSHYWSKNWAKAAAF</t>
  </si>
  <si>
    <t>sp|Q16585|SGCB_HUMAN</t>
  </si>
  <si>
    <t>Beta-sarcoglycan OS=Homo sapiens GN=SGCB PE=1 SV=1</t>
  </si>
  <si>
    <t>HLPSGVKSL</t>
  </si>
  <si>
    <t>sp|Q16658|FSCN1_HUMAN</t>
  </si>
  <si>
    <t>Fascin OS=Homo sapiens GN=FSCN1 PE=1 SV=3</t>
  </si>
  <si>
    <t>DSLITLAFQDQRYSVQ</t>
  </si>
  <si>
    <t>sp|Q16666|IF16_HUMAN</t>
  </si>
  <si>
    <t>Gamma-interferon-inducible protein 16 OS=Homo sapiens GN=IFI16 PE=1 SV=3</t>
  </si>
  <si>
    <t>KGLEVINDYHFRMV</t>
  </si>
  <si>
    <t>KRPVIVKVL</t>
  </si>
  <si>
    <t>sp|Q16706|MA2A1_HUMAN</t>
  </si>
  <si>
    <t>Alpha-mannosidase 2 OS=Homo sapiens GN=MAN2A1 PE=1 SV=2</t>
  </si>
  <si>
    <t>IDQLIEGHQWLENNIGVKPR</t>
  </si>
  <si>
    <t>sp|Q16777|H2A2C_HUMAN</t>
  </si>
  <si>
    <t>Histone H2A type 2-C OS=Homo sapiens GN=HIST2H2AC PE=1 SV=4</t>
  </si>
  <si>
    <t>VLLPKKTESHKAKSK</t>
  </si>
  <si>
    <t>sp|Q16832|DDR2_HUMAN</t>
  </si>
  <si>
    <t>Discoidin domain-containing receptor 2 OS=Homo sapiens GN=DDR2 PE=1 SV=2</t>
  </si>
  <si>
    <t>HTLHFITLVGTQGRHAG</t>
  </si>
  <si>
    <t>sp|Q16877|F264_HUMAN</t>
  </si>
  <si>
    <t>6-phosphofructo-2-kinase/fructose-2,6-bisphosphatase 4 OS=Homo sapiens GN=PFKFB4 PE=2 SV=6</t>
  </si>
  <si>
    <t>YRRDVVKTY</t>
  </si>
  <si>
    <t>sp|Q1KMD3|HNRL2_HUMAN</t>
  </si>
  <si>
    <t>Heterogeneous nuclear ribonucleoprotein U-like protein 2 OS=Homo sapiens GN=HNRNPUL2 PE=1 SV=1</t>
  </si>
  <si>
    <t>sp|Q1RMZ1|BMT2_HUMAN</t>
  </si>
  <si>
    <t>Probable methyltransferase BTM2 homolog OS=Homo sapiens GN=C7orf60 PE=2 SV=1</t>
  </si>
  <si>
    <t>QASGKIRLL</t>
  </si>
  <si>
    <t>sp|Q29963|1C06_HUMAN; sp|P13747|HLAE_HUMAN; sp|P18463|1B37_HUMAN; sp|Q29718|1B82_HUMAN; sp|Q95365|1B38_HUMAN; sp|Q29836|1B67_HUMAN; sp|P30475|1B39_HUMAN; sp|P30462|1B14_HUMAN</t>
  </si>
  <si>
    <t>HLA class I histocompatibility antigen, Cw-6 alpha chain OS=Homo sapiens GN=HLA-C PE=2 SV=2; HLA class I histocompatibility antigen, alpha chain E OS=Homo sapiens GN=HLA-E PE=1 SV=3; HLA class I histocompatibility antigen, B-37 alpha chain OS=Homo sapiens GN=HLA-B PE=1 SV=1; HLA class I histocompatibility antigen, B-82 alpha chain OS=Homo sapiens GN=HLA-B PE=1 SV=1; HLA class I histocompatibility antigen, B-38 alpha chain OS=Homo sapiens GN=HLA-B PE=1 SV=1; HLA class I histocompatibility antigen, B-67 alpha chain OS=Homo sapiens GN=HLA-B PE=1 SV=1; HLA class I histocompatibility antigen, B-39 alpha chain OS=Homo sapiens GN=HLA-B PE=1 SV=1; HLA class I histocompatibility antigen, B-14 alpha chain OS=Homo sapiens GN=HLA-B PE=1 SV=1</t>
  </si>
  <si>
    <t>GEPRFISVGYVDDTQ</t>
  </si>
  <si>
    <t>EPRFISVGYVDDTQFVR</t>
  </si>
  <si>
    <t>sp|Q29963|1C06_HUMAN; sp|P30508|1C12_HUMAN; sp|P30510|1C14_HUMAN</t>
  </si>
  <si>
    <t>HLA class I histocompatibility antigen, Cw-6 alpha chain OS=Homo sapiens GN=HLA-C PE=2 SV=2; HLA class I histocompatibility antigen, Cw-12 alpha chain OS=Homo sapiens GN=HLA-C PE=2 SV=2; HLA class I histocompatibility antigen, Cw-14 alpha chain OS=Homo sapiens GN=HLA-C PE=2 SV=2</t>
  </si>
  <si>
    <t>SAYDGKDYIALNEDLRS</t>
  </si>
  <si>
    <t>sp|Q29963|1C06_HUMAN; sp|P30508|1C12_HUMAN; sp|P30510|1C14_HUMAN; sp|Q07000|1C15_HUMAN; sp|P30504|1C04_HUMAN; sp|P04222|1C03_HUMAN; sp|P30455|1A36_HUMAN; sp|P30443|1A01_HUMAN; sp|P13746|1A11_HUMAN; sp|P04439|1A03_HUMAN; sp|P16188|1A30_HUMAN; sp|Q29960|1C16_HUMAN; sp|P13747|HLAE_HUMAN; sp|Q9TNN7|1C05_HUMAN; sp|P30505|1C08_HUMAN</t>
  </si>
  <si>
    <t>HLA class I histocompatibility antigen, Cw-6 alpha chain OS=Homo sapiens GN=HLA-C PE=2 SV=2; HLA class I histocompatibility antigen, Cw-12 alpha chain OS=Homo sapiens GN=HLA-C PE=2 SV=2; HLA class I histocompatibility antigen, Cw-14 alpha chain OS=Homo sapiens GN=HLA-C PE=2 SV=2; HLA class I histocompatibility antigen, Cw-15 alpha chain OS=Homo sapiens GN=HLA-C PE=1 SV=1; HLA class I histocompatibility antigen, Cw-4 alpha chain OS=Homo sapiens GN=HLA-C PE=1 SV=1; HLA class I histocompatibility antigen, Cw-3 alpha chain OS=Homo sapiens GN=HLA-C PE=1 SV=2; HLA class I histocompatibility antigen, A-36 alpha chain OS=Homo sapiens GN=HLA-A PE=1 SV=1; HLA class I histocompatibility antigen, A-1 alpha chain OS=Homo sapiens GN=HLA-A PE=1 SV=1; HLA class I histocompatibility antigen, A-11 alpha chain OS=Homo sapiens GN=HLA-A PE=1 SV=1; HLA class I histocompatibility antigen, A-3 alpha chain OS=Homo sapiens GN=HLA-A PE=1 SV=2; HLA class I histocompatibility antigen, A-30 alpha chain OS=Homo sapiens GN=HLA-A PE=1 SV=2; HLA class I histocompatibility antigen, Cw-16 alpha chain OS=Homo sapiens GN=HLA-C PE=2 SV=1; HLA class I histocompatibility antigen, alpha chain E OS=Homo sapiens GN=HLA-E PE=1 SV=3; HLA class I histocompatibility antigen, Cw-5 alpha chain OS=Homo sapiens GN=HLA-C PE=2 SV=1; HLA class I histocompatibility antigen, Cw-8 alpha chain OS=Homo sapiens GN=HLA-C PE=1 SV=1</t>
  </si>
  <si>
    <t>GDGTFQKWAAVVVPSG</t>
  </si>
  <si>
    <t>sp|Q29963|1C06_HUMAN; sp|P30508|1C12_HUMAN; sp|P30510|1C14_HUMAN; sp|Q07000|1C15_HUMAN; sp|P30504|1C04_HUMAN; sp|P04222|1C03_HUMAN; sp|P30455|1A36_HUMAN; sp|P30443|1A01_HUMAN; sp|P13746|1A11_HUMAN; sp|P04439|1A03_HUMAN; sp|P16188|1A30_HUMAN; sp|Q29960|1C16_HUMAN; sp|P13747|HLAE_HUMAN; sp|Q9TNN7|1C05_HUMAN; sp|P30505|1C08_HUMAN; sp|P30511|HLAF_HUMAN</t>
  </si>
  <si>
    <t>HLA class I histocompatibility antigen, Cw-6 alpha chain OS=Homo sapiens GN=HLA-C PE=2 SV=2; HLA class I histocompatibility antigen, Cw-12 alpha chain OS=Homo sapiens GN=HLA-C PE=2 SV=2; HLA class I histocompatibility antigen, Cw-14 alpha chain OS=Homo sapiens GN=HLA-C PE=2 SV=2; HLA class I histocompatibility antigen, Cw-15 alpha chain OS=Homo sapiens GN=HLA-C PE=1 SV=1; HLA class I histocompatibility antigen, Cw-4 alpha chain OS=Homo sapiens GN=HLA-C PE=1 SV=1; HLA class I histocompatibility antigen, Cw-3 alpha chain OS=Homo sapiens GN=HLA-C PE=1 SV=2; HLA class I histocompatibility antigen, A-36 alpha chain OS=Homo sapiens GN=HLA-A PE=1 SV=1; HLA class I histocompatibility antigen, A-1 alpha chain OS=Homo sapiens GN=HLA-A PE=1 SV=1; HLA class I histocompatibility antigen, A-11 alpha chain OS=Homo sapiens GN=HLA-A PE=1 SV=1; HLA class I histocompatibility antigen, A-3 alpha chain OS=Homo sapiens GN=HLA-A PE=1 SV=2; HLA class I histocompatibility antigen, A-30 alpha chain OS=Homo sapiens GN=HLA-A PE=1 SV=2; HLA class I histocompatibility antigen, Cw-16 alpha chain OS=Homo sapiens GN=HLA-C PE=2 SV=1; HLA class I histocompatibility antigen, alpha chain E OS=Homo sapiens GN=HLA-E PE=1 SV=3; HLA class I histocompatibility antigen, Cw-5 alpha chain OS=Homo sapiens GN=HLA-C PE=2 SV=1; HLA class I histocompatibility antigen, Cw-8 alpha chain OS=Homo sapiens GN=HLA-C PE=1 SV=1; HLA class I histocompatibility antigen, alpha chain F OS=Homo sapiens GN=HLA-F PE=2 SV=3</t>
  </si>
  <si>
    <t>VETRPAGDGTFQKWAA</t>
  </si>
  <si>
    <t>sp|Q29963|1C06_HUMAN; sp|P30508|1C12_HUMAN; sp|P30510|1C14_HUMAN; sp|Q07000|1C15_HUMAN; sp|P30504|1C04_HUMAN; sp|P04222|1C03_HUMAN; sp|P30455|1A36_HUMAN; sp|P30443|1A01_HUMAN; sp|P13746|1A11_HUMAN; sp|P04439|1A03_HUMAN; sp|P16188|1A30_HUMAN; sp|Q9TNN7|1C05_HUMAN; sp|P30505|1C08_HUMAN; sp|P30512|1A29_HUMAN; sp|P30459|1A74_HUMAN; sp|P16190|1A33_HUMAN; sp|P16189|1A31_HUMAN; sp|P10314|1A32_HUMAN</t>
  </si>
  <si>
    <t>HLA class I histocompatibility antigen, Cw-6 alpha chain OS=Homo sapiens GN=HLA-C PE=2 SV=2; HLA class I histocompatibility antigen, Cw-12 alpha chain OS=Homo sapiens GN=HLA-C PE=2 SV=2; HLA class I histocompatibility antigen, Cw-14 alpha chain OS=Homo sapiens GN=HLA-C PE=2 SV=2; HLA class I histocompatibility antigen, Cw-15 alpha chain OS=Homo sapiens GN=HLA-C PE=1 SV=1; HLA class I histocompatibility antigen, Cw-4 alpha chain OS=Homo sapiens GN=HLA-C PE=1 SV=1; HLA class I histocompatibility antigen, Cw-3 alpha chain OS=Homo sapiens GN=HLA-C PE=1 SV=2; HLA class I histocompatibility antigen, A-36 alpha chain OS=Homo sapiens GN=HLA-A PE=1 SV=1; HLA class I histocompatibility antigen, A-1 alpha chain OS=Homo sapiens GN=HLA-A PE=1 SV=1; HLA class I histocompatibility antigen, A-11 alpha chain OS=Homo sapiens GN=HLA-A PE=1 SV=1; HLA class I histocompatibility antigen, A-3 alpha chain OS=Homo sapiens GN=HLA-A PE=1 SV=2; HLA class I histocompatibility antigen, A-30 alpha chain OS=Homo sapiens GN=HLA-A PE=1 SV=2; HLA class I histocompatibility antigen, Cw-5 alpha chain OS=Homo sapiens GN=HLA-C PE=2 SV=1; HLA class I histocompatibility antigen, Cw-8 alpha chain OS=Homo sapiens GN=HLA-C PE=1 SV=1; HLA class I histocompatibility antigen, A-29 alpha chain OS=Homo sapiens GN=HLA-A PE=1 SV=2; HLA class I histocompatibility antigen, A-74 alpha chain OS=Homo sapiens GN=HLA-A PE=1 SV=1; HLA class I histocompatibility antigen, A-33 alpha chain OS=Homo sapiens GN=HLA-A PE=1 SV=3; HLA class I histocompatibility antigen, A-31 alpha chain OS=Homo sapiens GN=HLA-A PE=1 SV=2; HLA class I histocompatibility antigen, A-32 alpha chain OS=Homo sapiens GN=HLA-A PE=1 SV=2</t>
  </si>
  <si>
    <t>AYDGKDYIALNEDLRS</t>
  </si>
  <si>
    <t>sp|Q29963|1C06_HUMAN; sp|P30508|1C12_HUMAN; sp|P30510|1C14_HUMAN; sp|Q07000|1C15_HUMAN; sp|P30504|1C04_HUMAN; sp|P04222|1C03_HUMAN; sp|P30499|1C01_HUMAN; sp|P30455|1A36_HUMAN; sp|P30443|1A01_HUMAN; sp|P16188|1A30_HUMAN; sp|P13746|1A11_HUMAN; sp|P04439|1A03_HUMAN; sp|Q9TNN7|1C05_HUMAN; sp|P30505|1C08_HUMAN; sp|Q29960|1C16_HUMAN; sp|P30512|1A29_HUMAN; sp|P30459|1A74_HUMAN; sp|P16190|1A33_HUMAN; sp|P16189|1A31_HUMAN; sp|P10314|1A32_HUMAN; sp|P13747|HLAE_HUMAN; sp|P30511|HLAF_HUMAN</t>
  </si>
  <si>
    <t>HLA class I histocompatibility antigen, Cw-6 alpha chain OS=Homo sapiens GN=HLA-C PE=2 SV=2; HLA class I histocompatibility antigen, Cw-12 alpha chain OS=Homo sapiens GN=HLA-C PE=2 SV=2; HLA class I histocompatibility antigen, Cw-14 alpha chain OS=Homo sapiens GN=HLA-C PE=2 SV=2; HLA class I histocompatibility antigen, Cw-15 alpha chain OS=Homo sapiens GN=HLA-C PE=1 SV=1; HLA class I histocompatibility antigen, Cw-4 alpha chain OS=Homo sapiens GN=HLA-C PE=1 SV=1; HLA class I histocompatibility antigen, Cw-3 alpha chain OS=Homo sapiens GN=HLA-C PE=1 SV=2; HLA class I histocompatibility antigen, Cw-1 alpha chain OS=Homo sapiens GN=HLA-C PE=2 SV=1; HLA class I histocompatibility antigen, A-36 alpha chain OS=Homo sapiens GN=HLA-A PE=1 SV=1; HLA class I histocompatibility antigen, A-1 alpha chain OS=Homo sapiens GN=HLA-A PE=1 SV=1; HLA class I histocompatibility antigen, A-30 alpha chain OS=Homo sapiens GN=HLA-A PE=1 SV=2; HLA class I histocompatibility antigen, A-11 alpha chain OS=Homo sapiens GN=HLA-A PE=1 SV=1; HLA class I histocompatibility antigen, A-3 alpha chain OS=Homo sapiens GN=HLA-A PE=1 SV=2; HLA class I histocompatibility antigen, Cw-5 alpha chain OS=Homo sapiens GN=HLA-C PE=2 SV=1; HLA class I histocompatibility antigen, Cw-8 alpha chain OS=Homo sapiens GN=HLA-C PE=1 SV=1; HLA class I histocompatibility antigen, Cw-16 alpha chain OS=Homo sapiens GN=HLA-C PE=2 SV=1; HLA class I histocompatibility antigen, A-29 alpha chain OS=Homo sapiens GN=HLA-A PE=1 SV=2; HLA class I histocompatibility antigen, A-74 alpha chain OS=Homo sapiens GN=HLA-A PE=1 SV=1; HLA class I histocompatibility antigen, A-33 alpha chain OS=Homo sapiens GN=HLA-A PE=1 SV=3; HLA class I histocompatibility antigen, A-31 alpha chain OS=Homo sapiens GN=HLA-A PE=1 SV=2; HLA class I histocompatibility antigen, A-32 alpha chain OS=Homo sapiens GN=HLA-A PE=1 SV=2; HLA class I histocompatibility antigen, alpha chain E OS=Homo sapiens GN=HLA-E PE=1 SV=3; HLA class I histocompatibility antigen, alpha chain F OS=Homo sapiens GN=HLA-F PE=2 SV=3</t>
  </si>
  <si>
    <t>VETRPAGDGTFQKW</t>
  </si>
  <si>
    <t>sp|Q29963|1C06_HUMAN; sp|P30508|1C12_HUMAN; sp|Q07000|1C15_HUMAN; sp|P30455|1A36_HUMAN; sp|P30443|1A01_HUMAN; sp|P13746|1A11_HUMAN; sp|P04439|1A03_HUMAN; sp|P16188|1A30_HUMAN; sp|Q29960|1C16_HUMAN; sp|Q9TNN7|1C05_HUMAN; sp|P30505|1C08_HUMAN; sp|P30685|1B35_HUMAN; sp|P30491|1B53_HUMAN; sp|P10319|1B58_HUMAN; sp|P30484|1B46_HUMAN; sp|P30464|1B15_HUMAN; sp|P18465|1B57_HUMAN; sp|P30512|1A29_HUMAN; sp|P30459|1A74_HUMAN; sp|P16190|1A33_HUMAN; sp|P16189|1A31_HUMAN; sp|P10314|1A32_HUMAN; sp|P18463|1B37_HUMAN; sp|Q29718|1B82_HUMAN; sp|Q95365|1B38_HUMAN; sp|Q29836|1B67_HUMAN; sp|P30475|1B39_HUMAN; sp|P30462|1B14_HUMAN; sp|P30492|1B54_HUMAN; sp|P30498|1B78_HUMAN; sp|P30490|1B52_HUMAN; sp|P18464|1B51_HUMAN; sp|Q29940|1B59_HUMAN; sp|P30495|1B56_HUMAN; sp|P30493|1B55_HUMAN; sp|P30466|1B18_HUMAN; sp|P30461|1B13_HUMAN; sp|P30488|1B50_HUMAN; sp|P30487|1B49_HUMAN; sp|P30483|1B45_HUMAN; sp|P30485|1B47_HUMAN; sp|P30481|1B44_HUMAN; sp|P03989|1B27_HUMAN</t>
  </si>
  <si>
    <t>HLA class I histocompatibility antigen, Cw-6 alpha chain OS=Homo sapiens GN=HLA-C PE=2 SV=2; HLA class I histocompatibility antigen, Cw-12 alpha chain OS=Homo sapiens GN=HLA-C PE=2 SV=2; HLA class I histocompatibility antigen, Cw-15 alpha chain OS=Homo sapiens GN=HLA-C PE=1 SV=1; HLA class I histocompatibility antigen, A-36 alpha chain OS=Homo sapiens GN=HLA-A PE=1 SV=1; HLA class I histocompatibility antigen, A-1 alpha chain OS=Homo sapiens GN=HLA-A PE=1 SV=1; HLA class I histocompatibility antigen, A-11 alpha chain OS=Homo sapiens GN=HLA-A PE=1 SV=1; HLA class I histocompatibility antigen, A-3 alpha chain OS=Homo sapiens GN=HLA-A PE=1 SV=2; HLA class I histocompatibility antigen, A-30 alpha chain OS=Homo sapiens GN=HLA-A PE=1 SV=2; HLA class I histocompatibility antigen, Cw-16 alpha chain OS=Homo sapiens GN=HLA-C PE=2 SV=1; HLA class I histocompatibility antigen, Cw-5 alpha chain OS=Homo sapiens GN=HLA-C PE=2 SV=1; HLA class I histocompatibility antigen, Cw-8 alpha chain OS=Homo sapiens GN=HLA-C PE=1 SV=1; HLA class I histocompatibility antigen, B-35 alpha chain OS=Homo sapiens GN=HLA-B PE=1 SV=1; HLA class I histocompatibility antigen, B-53 alpha chain OS=Homo sapiens GN=HLA-B PE=1 SV=1; HLA class I histocompatibility antigen, B-58 alpha chain OS=Homo sapiens GN=HLA-B PE=1 SV=1; HLA class I histocompatibility antigen, B-46 alpha chain OS=Homo sapiens GN=HLA-B PE=1 SV=1; HLA class I histocompatibility antigen, B-15 alpha chain OS=Homo sapiens GN=HLA-B PE=1 SV=2; HLA class I histocompatibility antigen, B-57 alpha chain OS=Homo sapiens GN=HLA-B PE=1 SV=1; HLA class I histocompatibility antigen, A-29 alpha chain OS=Homo sapiens GN=HLA-A PE=1 SV=2; HLA class I histocompatibility antigen, A-74 alpha chain OS=Homo sapiens GN=HLA-A PE=1 SV=1; HLA class I histocompatibility antigen, A-33 alpha chain OS=Homo sapiens GN=HLA-A PE=1 SV=3; HLA class I histocompatibility antigen, A-31 alpha chain OS=Homo sapiens GN=HLA-A PE=1 SV=2; HLA class I histocompatibility antigen, A-32 alpha chain OS=Homo sapiens GN=HLA-A PE=1 SV=2; HLA class I histocompatibility antigen, B-37 alpha chain OS=Homo sapiens GN=HLA-B PE=1 SV=1; HLA class I histocompatibility antigen, B-82 alpha chain OS=Homo sapiens GN=HLA-B PE=1 SV=1; HLA class I histocompatibility antigen, B-38 alpha chain OS=Homo sapiens GN=HLA-B PE=1 SV=1; HLA class I histocompatibility antigen, B-67 alpha chain OS=Homo sapiens GN=HLA-B PE=1 SV=1; HLA class I histocompatibility antigen, B-39 alpha chain OS=Homo sapiens GN=HLA-B PE=1 SV=1; HLA class I histocompatibility antigen, B-14 alpha chain OS=Homo sapiens GN=HLA-B PE=1 SV=1; HLA class I histocompatibility antigen, B-54 alpha chain OS=Homo sapiens GN=HLA-B PE=1 SV=1; HLA class I histocompatibility antigen, B-78 alpha chain OS=Homo sapiens GN=HLA-B PE=1 SV=1; HLA class I histocompatibility antigen, B-52 alpha chain OS=Homo sapiens GN=HLA-B PE=1 SV=1; HLA class I histocompatibility antigen, B-51 alpha chain OS=Homo sapiens GN=HLA-B PE=1 SV=1; HLA class I histocompatibility antigen, B-59 alpha chain OS=Homo sapiens GN=HLA-B PE=1 SV=1; HLA class I histocompatibility antigen, B-56 alpha chain OS=Homo sapiens GN=HLA-B PE=1 SV=1; HLA class I histocompatibility antigen, B-55 alpha chain OS=Homo sapiens GN=HLA-B PE=1 SV=1; HLA class I histocompatibility antigen, B-18 alpha chain OS=Homo sapiens GN=HLA-B PE=1 SV=1; HLA class I histocompatibility antigen, B-13 alpha chain OS=Homo sapiens GN=HLA-B PE=1 SV=1; HLA class I histocompatibility antigen, B-50 alpha chain OS=Homo sapiens GN=HLA-B PE=1 SV=1; HLA class I histocompatibility antigen, B-49 alpha chain OS=Homo sapiens GN=HLA-B PE=1 SV=2; HLA class I histocompatibility antigen, B-45 alpha chain OS=Homo sapiens GN=HLA-B PE=1 SV=1; HLA class I histocompatibility antigen, B-47 alpha chain OS=Homo sapiens GN=HLA-B PE=1 SV=1; HLA class I histocompatibility antigen, B-44 alpha chain OS=Homo sapiens GN=HLA-B PE=1 SV=1; HLA class I histocompatibility antigen, B-27 alpha chain OS=Homo sapiens GN=HLA-B PE=1 SV=2</t>
  </si>
  <si>
    <t>WQRDGEDQTQDTEL</t>
  </si>
  <si>
    <t>Trp-&gt;Kynurenin(W)@2</t>
  </si>
  <si>
    <t>sp|Q2M2I8|AAK1_HUMAN</t>
  </si>
  <si>
    <t>AP2-associated protein kinase 1 OS=Homo sapiens GN=AAK1 PE=1 SV=3</t>
  </si>
  <si>
    <t>DDDNFSKLTAEELLNK</t>
  </si>
  <si>
    <t>sp|Q2M389|WASH7_HUMAN</t>
  </si>
  <si>
    <t>WASH complex subunit 7 OS=Homo sapiens GN=KIAA1033 PE=1 SV=2</t>
  </si>
  <si>
    <t>NAMGYVRMI</t>
  </si>
  <si>
    <t>sp|Q2M3G4|SHRM1_HUMAN</t>
  </si>
  <si>
    <t>Protein Shroom1 OS=Homo sapiens GN=SHROOM1 PE=1 SV=1</t>
  </si>
  <si>
    <t>FMADLERVL</t>
  </si>
  <si>
    <t>sp|Q2YD98|UVSSA_HUMAN</t>
  </si>
  <si>
    <t>UV-stimulated scaffold protein A OS=Homo sapiens GN=UVSSA PE=1 SV=2</t>
  </si>
  <si>
    <t>HRFWKPSEV</t>
  </si>
  <si>
    <t>sp|Q3MHD2|LSM12_HUMAN</t>
  </si>
  <si>
    <t>Protein LSM12 homolog OS=Homo sapiens GN=LSM12 PE=1 SV=2</t>
  </si>
  <si>
    <t>sp|Q3SXM5|HSDL1_HUMAN</t>
  </si>
  <si>
    <t>Inactive hydroxysteroid dehydrogenase-like protein 1 OS=Homo sapiens GN=HSDL1 PE=1 SV=3</t>
  </si>
  <si>
    <t>sp|Q3YEC7|RABL6_HUMAN</t>
  </si>
  <si>
    <t>Rab-like protein 6 OS=Homo sapiens GN=RABL6 PE=1 SV=2</t>
  </si>
  <si>
    <t>GNPMVAGFQDDVDLEDQPR</t>
  </si>
  <si>
    <t>sp|Q495W5|FUT11_HUMAN</t>
  </si>
  <si>
    <t>Alpha-(1,3)-fucosyltransferase 11 OS=Homo sapiens GN=FUT11 PE=1 SV=1</t>
  </si>
  <si>
    <t>AAGPIRVVL</t>
  </si>
  <si>
    <t>sp|Q4ADV7|RIC1_HUMAN</t>
  </si>
  <si>
    <t>RAB6A-GEF complex partner protein 1 OS=Homo sapiens GN=RIC1 PE=1 SV=2</t>
  </si>
  <si>
    <t>HRHWHVVQI</t>
  </si>
  <si>
    <t>sp|Q4G0F5|VP26B_HUMAN</t>
  </si>
  <si>
    <t>Vacuolar protein sorting-associated protein 26B OS=Homo sapiens GN=VPS26B PE=1 SV=2</t>
  </si>
  <si>
    <t>DTIAKYEIMDGAPVRGES</t>
  </si>
  <si>
    <t>IAKYEIMDGAPVRGES</t>
  </si>
  <si>
    <t>IAKYEIMDGAPVRGE</t>
  </si>
  <si>
    <t>sp|Q4G148|GXLT1_HUMAN</t>
  </si>
  <si>
    <t>Glucoside xylosyltransferase 1 OS=Homo sapiens GN=GXYLT1 PE=1 SV=2</t>
  </si>
  <si>
    <t>EEGGIFILHGNRGVYHDD</t>
  </si>
  <si>
    <t>EGGIFILHGNRGVYHD</t>
  </si>
  <si>
    <t>sp|Q52LJ0|FA98B_HUMAN</t>
  </si>
  <si>
    <t>Protein FAM98B OS=Homo sapiens GN=FAM98B PE=1 SV=1</t>
  </si>
  <si>
    <t>KVKDILSKV</t>
  </si>
  <si>
    <t>sp|Q562F6|SGOL2_HUMAN</t>
  </si>
  <si>
    <t>Shugoshin-like 2 OS=Homo sapiens GN=SGOL2 PE=1 SV=2</t>
  </si>
  <si>
    <t>FTSGIKRHL</t>
  </si>
  <si>
    <t>sp|Q5BKZ1|ZN326_HUMAN</t>
  </si>
  <si>
    <t>DBIRD complex subunit ZNF326 OS=Homo sapiens GN=ZNF326 PE=1 SV=2</t>
  </si>
  <si>
    <t>HRPGIVVDY</t>
  </si>
  <si>
    <t>sp|Q5CZA5|ZN805_HUMAN</t>
  </si>
  <si>
    <t>Zinc finger protein 805 OS=Homo sapiens GN=ZNF805 PE=2 SV=3</t>
  </si>
  <si>
    <t>KVFNKKRLL</t>
  </si>
  <si>
    <t>NRADLIRHF</t>
  </si>
  <si>
    <t>sp|Q5GLZ8|HERC4_HUMAN</t>
  </si>
  <si>
    <t>Probable E3 ubiquitin-protein ligase HERC4 OS=Homo sapiens GN=HERC4 PE=1 SV=1</t>
  </si>
  <si>
    <t>LRSQKIVYI</t>
  </si>
  <si>
    <t>sp|Q5H9R7|PP6R3_HUMAN</t>
  </si>
  <si>
    <t>Serine/threonine-protein phosphatase 6 regulatory subunit 3 OS=Homo sapiens GN=PPP6R3 PE=1 SV=2</t>
  </si>
  <si>
    <t>IDQFGFNDEKFADQ</t>
  </si>
  <si>
    <t>sp|Q5JPE7|NOMO2_HUMAN; sp|Q15155|NOMO1_HUMAN; sp|P69849|NOMO3_HUMAN</t>
  </si>
  <si>
    <t>Nodal modulator 2 OS=Homo sapiens GN=NOMO2 PE=1 SV=1; Nodal modulator 1 OS=Homo sapiens GN=NOMO1 PE=1 SV=5; Nodal modulator 3 OS=Homo sapiens GN=NOMO3 PE=2 SV=2</t>
  </si>
  <si>
    <t>FRFEPSSQMI</t>
  </si>
  <si>
    <t>sp|Q5JS37|NHLC3_HUMAN</t>
  </si>
  <si>
    <t>NHL repeat-containing protein 3 OS=Homo sapiens GN=NHLRC3 PE=2 SV=1</t>
  </si>
  <si>
    <t>RKTGAVYVAEIGAKQVQK</t>
  </si>
  <si>
    <t>sp|Q5JWF2|GNAS1_HUMAN; sp|P63092|GNAS2_HUMAN</t>
  </si>
  <si>
    <t>Guanine nucleotide-binding protein G(s) subunit alpha isoforms XLas OS=Homo sapiens GN=GNAS PE=1 SV=2; Guanine nucleotide-binding protein G(s) subunit alpha isoforms short OS=Homo sapiens GN=GNAS PE=1 SV=1</t>
  </si>
  <si>
    <t>FRVDYILSV</t>
  </si>
  <si>
    <t>sp|Q5JWF2|GNAS1_HUMAN; sp|P63092|GNAS2_HUMAN; sp|P19086|GNAZ_HUMAN; sp|P04899|GNAI2_HUMAN</t>
  </si>
  <si>
    <t>Guanine nucleotide-binding protein G(s) subunit alpha isoforms XLas OS=Homo sapiens GN=GNAS PE=1 SV=2; Guanine nucleotide-binding protein G(s) subunit alpha isoforms short OS=Homo sapiens GN=GNAS PE=1 SV=1; Guanine nucleotide-binding protein G(z) subunit alpha OS=Homo sapiens GN=GNAZ PE=2 SV=3; Guanine nucleotide-binding protein G(i) subunit alpha-2 OS=Homo sapiens GN=GNAI2 PE=1 SV=3</t>
  </si>
  <si>
    <t>GKSTIVKQM</t>
  </si>
  <si>
    <t>sp|Q5JWR5|DOP1_HUMAN</t>
  </si>
  <si>
    <t>Protein dopey-1 OS=Homo sapiens GN=DOPEY1 PE=2 SV=1</t>
  </si>
  <si>
    <t>TRPDMIRIL</t>
  </si>
  <si>
    <t>sp|Q5QJ74|TBCEL_HUMAN</t>
  </si>
  <si>
    <t>Tubulin-specific chaperone cofactor E-like protein OS=Homo sapiens GN=TBCEL PE=2 SV=2</t>
  </si>
  <si>
    <t>GSFSGVRKL</t>
  </si>
  <si>
    <t>sp|Q5RL73|RBM48_HUMAN</t>
  </si>
  <si>
    <t>RNA-binding protein 48 OS=Homo sapiens GN=RBM48 PE=2 SV=1</t>
  </si>
  <si>
    <t>FRQDFHSEM</t>
  </si>
  <si>
    <t>sp|Q5ST30|SYVM_HUMAN</t>
  </si>
  <si>
    <t>Valine--tRNA ligase, mitochondrial OS=Homo sapiens GN=VARS2 PE=1 SV=2</t>
  </si>
  <si>
    <t>KAASHLRQL</t>
  </si>
  <si>
    <t>sp|Q5T089|MORN1_HUMAN</t>
  </si>
  <si>
    <t>MORN repeat-containing protein 1 OS=Homo sapiens GN=MORN1 PE=2 SV=2</t>
  </si>
  <si>
    <t>FRYEGEWKA</t>
  </si>
  <si>
    <t>sp|Q5T4F4|ZFY27_HUMAN</t>
  </si>
  <si>
    <t>Protrudin OS=Homo sapiens GN=ZFYVE27 PE=1 SV=1</t>
  </si>
  <si>
    <t>YRASLQQRM</t>
  </si>
  <si>
    <t>sp|Q5T4S7|UBR4_HUMAN</t>
  </si>
  <si>
    <t>E3 ubiquitin-protein ligase UBR4 OS=Homo sapiens GN=UBR4 PE=1 SV=1</t>
  </si>
  <si>
    <t>NLPYFLRYI</t>
  </si>
  <si>
    <t>SRNNFIRNY</t>
  </si>
  <si>
    <t>sp|Q5THK1|PR14L_HUMAN</t>
  </si>
  <si>
    <t>Protein PRR14L OS=Homo sapiens GN=PRR14L PE=1 SV=1</t>
  </si>
  <si>
    <t>KRPKKVSQI</t>
  </si>
  <si>
    <t>sp|Q5UIP0|RIF1_HUMAN</t>
  </si>
  <si>
    <t>Telomere-associated protein RIF1 OS=Homo sapiens GN=RIF1 PE=1 SV=2</t>
  </si>
  <si>
    <t>LRIYHEQQV</t>
  </si>
  <si>
    <t>sp|Q5VT06|CE350_HUMAN</t>
  </si>
  <si>
    <t>Centrosome-associated protein 350 OS=Homo sapiens GN=CEP350 PE=1 SV=1</t>
  </si>
  <si>
    <t>sp|Q5VTE0|EF1A3_HUMAN; sp|P68104|EF1A1_HUMAN</t>
  </si>
  <si>
    <t>Putative elongation factor 1-alpha-like 3 OS=Homo sapiens GN=EEF1A1P5 PE=5 SV=1; Elongation factor 1-alpha 1 OS=Homo sapiens GN=EEF1A1 PE=1 SV=1</t>
  </si>
  <si>
    <t>RTIEKFEKEAAEMGKGS</t>
  </si>
  <si>
    <t>RYEEIVKEVSTYIKK</t>
  </si>
  <si>
    <t>WKVTRKDGNASGTTL</t>
  </si>
  <si>
    <t>sp|Q5VTE0|EF1A3_HUMAN; sp|P68104|EF1A1_HUMAN; sp|Q05639|EF1A2_HUMAN</t>
  </si>
  <si>
    <t>Putative elongation factor 1-alpha-like 3 OS=Homo sapiens GN=EEF1A1P5 PE=5 SV=1; Elongation factor 1-alpha 1 OS=Homo sapiens GN=EEF1A1 PE=1 SV=1; Elongation factor 1-alpha 2 OS=Homo sapiens GN=EEF1A2 PE=1 SV=1</t>
  </si>
  <si>
    <t>KFEKEAAEMGKG</t>
  </si>
  <si>
    <t>IEKFEKEAAEMGK</t>
  </si>
  <si>
    <t>GG(K)@13</t>
  </si>
  <si>
    <t>sp|Q5VZ89|DEN4C_HUMAN</t>
  </si>
  <si>
    <t>DENN domain-containing protein 4C OS=Homo sapiens GN=DENND4C PE=1 SV=2</t>
  </si>
  <si>
    <t>SRHPTGNSI</t>
  </si>
  <si>
    <t>sp|Q5VZE5|NAA35_HUMAN</t>
  </si>
  <si>
    <t>N-alpha-acetyltransferase 35, NatC auxiliary subunit OS=Homo sapiens GN=NAA35 PE=1 SV=1</t>
  </si>
  <si>
    <t>KYFPVVKLV</t>
  </si>
  <si>
    <t>sp|Q63HN8|RN213_HUMAN</t>
  </si>
  <si>
    <t>E3 ubiquitin-protein ligase RNF213 OS=Homo sapiens GN=RNF213 PE=1 SV=3</t>
  </si>
  <si>
    <t>HRVYLVRKL</t>
  </si>
  <si>
    <t>NRKPSPQDI</t>
  </si>
  <si>
    <t>SRNDELNHL</t>
  </si>
  <si>
    <t>sp|Q68CQ7|GL8D1_HUMAN</t>
  </si>
  <si>
    <t>Glycosyltransferase 8 domain-containing protein 1 OS=Homo sapiens GN=GLT8D1 PE=1 SV=2</t>
  </si>
  <si>
    <t>GDILALYNTALKPGHA</t>
  </si>
  <si>
    <t>NGSSSSGPERSI</t>
  </si>
  <si>
    <t>RPVSGLGPPGRSV</t>
  </si>
  <si>
    <t>GPVPRRQNGSSSSGPERSI</t>
  </si>
  <si>
    <t>sp|Q68DQ2|CRBG3_HUMAN</t>
  </si>
  <si>
    <t>Very large A-kinase anchor protein OS=Homo sapiens GN=CRYBG3 PE=1 SV=3</t>
  </si>
  <si>
    <t>SRTDLVHHF</t>
  </si>
  <si>
    <t>sp|Q6AZZ1|TRI68_HUMAN</t>
  </si>
  <si>
    <t>E3 ubiquitin-protein ligase TRIM68 OS=Homo sapiens GN=TRIM68 PE=1 SV=1</t>
  </si>
  <si>
    <t>NVVEKVRLL</t>
  </si>
  <si>
    <t>sp|Q6FI13|H2A2A_HUMAN; sp|P20671|H2A1D_HUMAN; sp|P0C0S8|H2A1_HUMAN; sp|Q93077|H2A1C_HUMAN; sp|Q7L7L0|H2A3_HUMAN; sp|P04908|H2A1B_HUMAN; sp|Q8IUE6|H2A2B_HUMAN; sp|Q9BTM1|H2AJ_HUMAN; sp|Q99878|H2A1J_HUMAN; sp|Q96KK5|H2A1H_HUMAN; sp|Q16777|H2A2C_HUMAN</t>
  </si>
  <si>
    <t>Histone H2A type 2-A OS=Homo sapiens GN=HIST2H2AA3 PE=1 SV=3; Histone H2A type 1-D OS=Homo sapiens GN=HIST1H2AD PE=1 SV=2; Histone H2A type 1 OS=Homo sapiens GN=HIST1H2AG PE=1 SV=2; Histone H2A type 1-C OS=Homo sapiens GN=HIST1H2AC PE=1 SV=3; Histone H2A type 3 OS=Homo sapiens GN=HIST3H2A PE=1 SV=3; Histone H2A type 1-B/E OS=Homo sapiens GN=HIST1H2AB PE=1 SV=2; Histone H2A type 2-B OS=Homo sapiens GN=HIST2H2AB PE=1 SV=3; Histone H2A.J OS=Homo sapiens GN=H2AFJ PE=1 SV=1; Histone H2A type 1-J OS=Homo sapiens GN=HIST1H2AJ PE=1 SV=3; Histone H2A type 1-H OS=Homo sapiens GN=HIST1H2AH PE=1 SV=3; Histone H2A type 2-C OS=Homo sapiens GN=HIST2H2AC PE=1 SV=4</t>
  </si>
  <si>
    <t>LTAEILELAGNAAR</t>
  </si>
  <si>
    <t>sp|Q6GQQ9|OTU7B_HUMAN; sp|Q8TE49|OTU7A_HUMAN</t>
  </si>
  <si>
    <t>OTU domain-containing protein 7B OS=Homo sapiens GN=OTUD7B PE=1 SV=1; OTU domain-containing protein 7A OS=Homo sapiens GN=OTUD7A PE=1 SV=1</t>
  </si>
  <si>
    <t>FRSFIERDL</t>
  </si>
  <si>
    <t>sp|Q6HA08|ASTL_HUMAN</t>
  </si>
  <si>
    <t>Astacin-like metalloendopeptidase OS=Homo sapiens GN=ASTL PE=1 SV=4</t>
  </si>
  <si>
    <t>SASDITRVL</t>
  </si>
  <si>
    <t>sp|Q6IA69|NADE_HUMAN</t>
  </si>
  <si>
    <t>Glutamine-dependent NAD(+) synthetase OS=Homo sapiens GN=NADSYN1 PE=1 SV=3</t>
  </si>
  <si>
    <t>SVYGKLRKV</t>
  </si>
  <si>
    <t>sp|Q6IAA8|LTOR1_HUMAN</t>
  </si>
  <si>
    <t>Ragulator complex protein LAMTOR1 OS=Homo sapiens GN=LAMTOR1 PE=1 SV=2</t>
  </si>
  <si>
    <t>AEPNYHSLPSARTDE</t>
  </si>
  <si>
    <t>EPNYHSLPSARTDE</t>
  </si>
  <si>
    <t>sp|Q6IQ21|ZN770_HUMAN</t>
  </si>
  <si>
    <t>Zinc finger protein 770 OS=Homo sapiens GN=ZNF770 PE=2 SV=1</t>
  </si>
  <si>
    <t>NYKTIVKKI</t>
  </si>
  <si>
    <t>sp|Q6KC79|NIPBL_HUMAN</t>
  </si>
  <si>
    <t>Nipped-B-like protein OS=Homo sapiens GN=NIPBL PE=1 SV=2</t>
  </si>
  <si>
    <t>YLTQILRVL</t>
  </si>
  <si>
    <t>sp|Q6N075|MFSD5_HUMAN</t>
  </si>
  <si>
    <t>Molybdate-anion transporter OS=Homo sapiens GN=MFSD5 PE=1 SV=2</t>
  </si>
  <si>
    <t>YRIATSKRY</t>
  </si>
  <si>
    <t>sp|Q6NUQ4|TM214_HUMAN</t>
  </si>
  <si>
    <t>Transmembrane protein 214 OS=Homo sapiens GN=TMEM214 PE=1 SV=2</t>
  </si>
  <si>
    <t>QLYPRLKVL</t>
  </si>
  <si>
    <t>FRHDKRVYL</t>
  </si>
  <si>
    <t>sp|Q6P3W7|SCYL2_HUMAN</t>
  </si>
  <si>
    <t>SCY1-like protein 2 OS=Homo sapiens GN=SCYL2 PE=1 SV=1</t>
  </si>
  <si>
    <t>GNGLAWKIFNGTK</t>
  </si>
  <si>
    <t>sp|Q6P3X3|TTC27_HUMAN</t>
  </si>
  <si>
    <t>Tetratricopeptide repeat protein 27 OS=Homo sapiens GN=TTC27 PE=1 SV=1</t>
  </si>
  <si>
    <t>TPELAILRGFPTEA</t>
  </si>
  <si>
    <t>TPELAILRGFPTEAE</t>
  </si>
  <si>
    <t>sp|Q6P4F7|RHGBA_HUMAN; sp|Q3KRB8|RHGBB_HUMAN</t>
  </si>
  <si>
    <t>Rho GTPase-activating protein 11A OS=Homo sapiens GN=ARHGAP11A PE=1 SV=2; Rho GTPase-activating protein 11B OS=Homo sapiens GN=ARHGAP11B PE=1 SV=1</t>
  </si>
  <si>
    <t>FRKSGSVIRL</t>
  </si>
  <si>
    <t>sp|Q6PCB5|RSBNL_HUMAN; sp|Q5VWQ0|RSBN1_HUMAN</t>
  </si>
  <si>
    <t>Round spermatid basic protein 1-like protein OS=Homo sapiens GN=RSBN1L PE=1 SV=2; Round spermatid basic protein 1 OS=Homo sapiens GN=RSBN1 PE=1 SV=2</t>
  </si>
  <si>
    <t>AGPMRQISL</t>
  </si>
  <si>
    <t>sp|Q6PHR2|ULK3_HUMAN</t>
  </si>
  <si>
    <t>Serine/threonine-protein kinase ULK3 OS=Homo sapiens GN=ULK3 PE=1 SV=2</t>
  </si>
  <si>
    <t>sp|Q6UUV7|CRTC3_HUMAN</t>
  </si>
  <si>
    <t>CREB-regulated transcription coactivator 3 OS=Homo sapiens GN=CRTC3 PE=1 SV=2</t>
  </si>
  <si>
    <t>NNHPQTSVPNASAL</t>
  </si>
  <si>
    <t>sp|Q6UWE0|LRSM1_HUMAN</t>
  </si>
  <si>
    <t>E3 ubiquitin-protein ligase LRSAM1 OS=Homo sapiens GN=LRSAM1 PE=1 SV=1</t>
  </si>
  <si>
    <t>YLPIFAHHRL</t>
  </si>
  <si>
    <t>sp|Q6UWP8|SBSN_HUMAN</t>
  </si>
  <si>
    <t>Suprabasin OS=Homo sapiens GN=SBSN PE=2 SV=2</t>
  </si>
  <si>
    <t>GQGIHHAAGQVGK</t>
  </si>
  <si>
    <t>GQGVHHTAGQVGKEAEK</t>
  </si>
  <si>
    <t>QGVDNAAGQAGNEAGR</t>
  </si>
  <si>
    <t>VAHEINHGIGQAGK</t>
  </si>
  <si>
    <t>sp|Q6UWP8|SBSN_HUMAN; sp|Q6UWP8|SBSN_HUMAN</t>
  </si>
  <si>
    <t>Suprabasin OS=Homo sapiens GN=SBSN PE=2 SV=2; Suprabasin OS=Homo sapiens GN=SBSN PE=2 SV=2</t>
  </si>
  <si>
    <t>GQGVHHAAGQAGNEAGR</t>
  </si>
  <si>
    <t>QGVHHAAGQAGNEAGR</t>
  </si>
  <si>
    <t>sp|Q6UX01|LMBRL_HUMAN</t>
  </si>
  <si>
    <t>Protein LMBR1L OS=Homo sapiens GN=LMBR1L PE=1 SV=2</t>
  </si>
  <si>
    <t>YSSPLFRSL</t>
  </si>
  <si>
    <t>sp|Q6UXM1|LRIG3_HUMAN</t>
  </si>
  <si>
    <t>Leucine-rich repeats and immunoglobulin-like domains protein 3 OS=Homo sapiens GN=LRIG3 PE=2 SV=1</t>
  </si>
  <si>
    <t>AGNRIVEILPEHLKEFQ</t>
  </si>
  <si>
    <t>ITLLSLAGNRIVE</t>
  </si>
  <si>
    <t>LQLKYLYLNSNRVTS</t>
  </si>
  <si>
    <t>sp|Q6V1X1|DPP8_HUMAN</t>
  </si>
  <si>
    <t>Dipeptidyl peptidase 8 OS=Homo sapiens GN=DPP8 PE=1 SV=1</t>
  </si>
  <si>
    <t>sp|Q6YHU6|THADA_HUMAN</t>
  </si>
  <si>
    <t>Thyroid adenoma-associated protein OS=Homo sapiens GN=THADA PE=1 SV=1</t>
  </si>
  <si>
    <t>sp|Q6ZP82|CC141_HUMAN</t>
  </si>
  <si>
    <t>Coiled-coil domain-containing protein 141 OS=Homo sapiens GN=CCDC141 PE=1 SV=2</t>
  </si>
  <si>
    <t>sp|Q6ZS10|CL17A_HUMAN</t>
  </si>
  <si>
    <t>C-type lectin domain family 17, member A OS=Homo sapiens GN=CLEC17A PE=1 SV=2</t>
  </si>
  <si>
    <t>AQEGDWRWLDGSPV</t>
  </si>
  <si>
    <t>MHNLYSITGYPD</t>
  </si>
  <si>
    <t>sp|Q70J99|UN13D_HUMAN</t>
  </si>
  <si>
    <t>Protein unc-13 homolog D OS=Homo sapiens GN=UNC13D PE=1 SV=1</t>
  </si>
  <si>
    <t>FRSVFPLSV</t>
  </si>
  <si>
    <t>sp|Q712K3|UB2R2_HUMAN</t>
  </si>
  <si>
    <t>Ubiquitin-conjugating enzyme E2 R2 OS=Homo sapiens GN=UBE2R2 PE=1 SV=1</t>
  </si>
  <si>
    <t>PYSPPTFRFL</t>
  </si>
  <si>
    <t>sp|Q71DI3|H32_HUMAN; sp|P84243|H33_HUMAN; sp|P68431|H31_HUMAN</t>
  </si>
  <si>
    <t>Histone H3.2 OS=Homo sapiens GN=HIST2H3A PE=1 SV=3; Histone H3.3 OS=Homo sapiens GN=H3F3A PE=1 SV=2; Histone H3.1 OS=Homo sapiens GN=HIST1H3A PE=1 SV=2</t>
  </si>
  <si>
    <t>VREIAQDFKTDL</t>
  </si>
  <si>
    <t>sp|Q71U36|TBA1A_HUMAN; sp|Q9BQE3|TBA1C_HUMAN; sp|P68363|TBA1B_HUMAN</t>
  </si>
  <si>
    <t>Tubulin alpha-1A chain OS=Homo sapiens GN=TUBA1A PE=1 SV=1; Tubulin alpha-1C chain OS=Homo sapiens GN=TUBA1C PE=1 SV=1; Tubulin alpha-1B chain OS=Homo sapiens GN=TUBA1B PE=1 SV=1</t>
  </si>
  <si>
    <t>VDLEPTVIDEVRTGTY</t>
  </si>
  <si>
    <t>sp|Q71U36|TBA1A_HUMAN; sp|Q9BQE3|TBA1C_HUMAN; sp|P68363|TBA1B_HUMAN; sp|Q9NY65|TBA8_HUMAN</t>
  </si>
  <si>
    <t>Tubulin alpha-1A chain OS=Homo sapiens GN=TUBA1A PE=1 SV=1; Tubulin alpha-1C chain OS=Homo sapiens GN=TUBA1C PE=1 SV=1; Tubulin alpha-1B chain OS=Homo sapiens GN=TUBA1B PE=1 SV=1; Tubulin alpha-8 chain OS=Homo sapiens GN=TUBA8 PE=1 SV=1</t>
  </si>
  <si>
    <t>LDHKFDLMYAKRAFV</t>
  </si>
  <si>
    <t>LDHKFDLMYAKRAFVH</t>
  </si>
  <si>
    <t>LRFDGALNV</t>
  </si>
  <si>
    <t>sp|Q7KZF4|SND1_HUMAN</t>
  </si>
  <si>
    <t>Staphylococcal nuclease domain-containing protein 1 OS=Homo sapiens GN=SND1 PE=1 SV=1</t>
  </si>
  <si>
    <t>SKKEVPIHRV</t>
  </si>
  <si>
    <t>sp|Q7L1W4|LRC8D_HUMAN</t>
  </si>
  <si>
    <t>Volume-regulated anion channel subunit LRRC8D OS=Homo sapiens GN=LRRC8D PE=1 SV=1</t>
  </si>
  <si>
    <t>KVREESSFSDIPDVKN</t>
  </si>
  <si>
    <t>LRHLKILHV</t>
  </si>
  <si>
    <t>sp|Q7L2H7|EIF3M_HUMAN</t>
  </si>
  <si>
    <t>Eukaryotic translation initiation factor 3 subunit M OS=Homo sapiens GN=EIF3M PE=1 SV=1</t>
  </si>
  <si>
    <t>sp|Q7L775|EPMIP_HUMAN</t>
  </si>
  <si>
    <t>EPM2A-interacting protein 1 OS=Homo sapiens GN=EPM2AIP1 PE=1 SV=1</t>
  </si>
  <si>
    <t>FRPEWTQRY</t>
  </si>
  <si>
    <t>sp|Q7Z2Z1|TICRR_HUMAN</t>
  </si>
  <si>
    <t>Treslin OS=Homo sapiens GN=TICRR PE=1 SV=2</t>
  </si>
  <si>
    <t>IRHKSIAEV</t>
  </si>
  <si>
    <t>sp|Q7Z333|SETX_HUMAN</t>
  </si>
  <si>
    <t>Probable helicase senataxin OS=Homo sapiens GN=SETX PE=1 SV=4</t>
  </si>
  <si>
    <t>YRHDAVKILKL</t>
  </si>
  <si>
    <t>sp|Q7Z3B4|NUP54_HUMAN</t>
  </si>
  <si>
    <t>Nucleoporin p54 OS=Homo sapiens GN=NUP54 PE=1 SV=2</t>
  </si>
  <si>
    <t>YYIDADLLREI</t>
  </si>
  <si>
    <t>sp|Q7Z429|LFG1_HUMAN</t>
  </si>
  <si>
    <t>Protein lifeguard 1 OS=Homo sapiens GN=GRINA PE=2 SV=1</t>
  </si>
  <si>
    <t>IRQAFIRKV</t>
  </si>
  <si>
    <t>sp|Q7Z460|CLAP1_HUMAN</t>
  </si>
  <si>
    <t>CLIP-associating protein 1 OS=Homo sapiens GN=CLASP1 PE=1 SV=1</t>
  </si>
  <si>
    <t>DEEDFIKAFDDVPVVQ</t>
  </si>
  <si>
    <t>EEDFIKAFDDVPVVQ</t>
  </si>
  <si>
    <t>IRALALRVL</t>
  </si>
  <si>
    <t>sp|Q7Z4F1|LRP10_HUMAN</t>
  </si>
  <si>
    <t>Low-density lipoprotein receptor-related protein 10 OS=Homo sapiens GN=LRP10 PE=1 SV=2</t>
  </si>
  <si>
    <t>KAVTVETLSGQAVVS</t>
  </si>
  <si>
    <t>sp|Q7Z4W1|DCXR_HUMAN</t>
  </si>
  <si>
    <t>L-xylulose reductase OS=Homo sapiens GN=DCXR PE=1 SV=2</t>
  </si>
  <si>
    <t>RGTVQALHATGARV</t>
  </si>
  <si>
    <t>sp|Q7Z5R6|AB1IP_HUMAN</t>
  </si>
  <si>
    <t>Amyloid beta A4 precursor protein-binding family B member 1-interacting protein OS=Homo sapiens GN=APBB1IP PE=1 SV=1</t>
  </si>
  <si>
    <t>KVKKLVVKV</t>
  </si>
  <si>
    <t>sp|Q7Z6M2|FBX33_HUMAN</t>
  </si>
  <si>
    <t>F-box only protein 33 OS=Homo sapiens GN=FBXO33 PE=1 SV=1</t>
  </si>
  <si>
    <t>FTAEMARVL</t>
  </si>
  <si>
    <t>sp|Q7Z6Z7|HUWE1_HUMAN</t>
  </si>
  <si>
    <t>E3 ubiquitin-protein ligase HUWE1 OS=Homo sapiens GN=HUWE1 PE=1 SV=3</t>
  </si>
  <si>
    <t>KRSNYITRL</t>
  </si>
  <si>
    <t>sp|Q86SF2|GALT7_HUMAN</t>
  </si>
  <si>
    <t>N-acetylgalactosaminyltransferase 7 OS=Homo sapiens GN=GALNT7 PE=1 SV=1</t>
  </si>
  <si>
    <t>FRINEANQL</t>
  </si>
  <si>
    <t>sp|Q86SG5|S1A7A_HUMAN; sp|P31151|S10A7_HUMAN</t>
  </si>
  <si>
    <t>Protein S100-A7A OS=Homo sapiens GN=S100A7A PE=1 SV=3; Protein S100-A7 OS=Homo sapiens GN=S100A7 PE=1 SV=4</t>
  </si>
  <si>
    <t>VFEKKDKNEDKKIDFSEF</t>
  </si>
  <si>
    <t>sp|Q86SQ9|DHDDS_HUMAN</t>
  </si>
  <si>
    <t>Dehydrodolichyl diphosphate syntase complex subunit DHDDS OS=Homo sapiens GN=DHDDS PE=1 SV=3</t>
  </si>
  <si>
    <t>KRADWLARL</t>
  </si>
  <si>
    <t>sp|Q86T82|UBP37_HUMAN</t>
  </si>
  <si>
    <t>Ubiquitin carboxyl-terminal hydrolase 37 OS=Homo sapiens GN=USP37 PE=1 SV=2</t>
  </si>
  <si>
    <t>AGSGIARTI</t>
  </si>
  <si>
    <t>sp|Q86TG7|PEG10_HUMAN</t>
  </si>
  <si>
    <t>Retrotransposon-derived protein PEG10 OS=Homo sapiens GN=PEG10 PE=1 SV=2</t>
  </si>
  <si>
    <t>IDHEYVAQNGIPLRIK</t>
  </si>
  <si>
    <t>sp|Q86U38|NOP9_HUMAN</t>
  </si>
  <si>
    <t>Nucleolar protein 9 OS=Homo sapiens GN=NOP9 PE=1 SV=1</t>
  </si>
  <si>
    <t>HGSFVVRTL</t>
  </si>
  <si>
    <t>sp|Q86UE8|TLK2_HUMAN; sp|Q9UKI8|TLK1_HUMAN</t>
  </si>
  <si>
    <t>Serine/threonine-protein kinase tousled-like 2 OS=Homo sapiens GN=TLK2 PE=1 SV=2; Serine/threonine-protein kinase tousled-like 1 OS=Homo sapiens GN=TLK1 PE=1 SV=2</t>
  </si>
  <si>
    <t>VRNLHIREL</t>
  </si>
  <si>
    <t>sp|Q86UV5|UBP48_HUMAN</t>
  </si>
  <si>
    <t>Ubiquitin carboxyl-terminal hydrolase 48 OS=Homo sapiens GN=USP48 PE=1 SV=1</t>
  </si>
  <si>
    <t>sp|Q86V25|VASH2_HUMAN</t>
  </si>
  <si>
    <t>Vasohibin-2 OS=Homo sapiens GN=VASH2 PE=1 SV=2</t>
  </si>
  <si>
    <t>LRADIRKEL</t>
  </si>
  <si>
    <t>sp|Q86VP1|TAXB1_HUMAN</t>
  </si>
  <si>
    <t>Tax1-binding protein 1 OS=Homo sapiens GN=TAX1BP1 PE=1 SV=2</t>
  </si>
  <si>
    <t>FAHVIFQNVAKSY</t>
  </si>
  <si>
    <t>sp|Q86VZ6|JAZF1_HUMAN</t>
  </si>
  <si>
    <t>Juxtaposed with another zinc finger protein 1 OS=Homo sapiens GN=JAZF1 PE=1 SV=2</t>
  </si>
  <si>
    <t>VSAEIIRKM</t>
  </si>
  <si>
    <t>sp|Q86W34|AMZ2_HUMAN</t>
  </si>
  <si>
    <t>Archaemetzincin-2 OS=Homo sapiens GN=AMZ2 PE=1 SV=2</t>
  </si>
  <si>
    <t>HYKGKVKKL</t>
  </si>
  <si>
    <t>sp|Q86W56|PARG_HUMAN</t>
  </si>
  <si>
    <t>Poly(ADP-ribose) glycohydrolase OS=Homo sapiens GN=PARG PE=1 SV=1</t>
  </si>
  <si>
    <t>RKPEKLKTLF</t>
  </si>
  <si>
    <t>sp|Q86WQ0|NR2CA_HUMAN</t>
  </si>
  <si>
    <t>Nuclear receptor 2C2-associated protein OS=Homo sapiens GN=NR2C2AP PE=1 SV=1</t>
  </si>
  <si>
    <t>VVIYHLRVL</t>
  </si>
  <si>
    <t>sp|Q86X55|CARM1_HUMAN</t>
  </si>
  <si>
    <t>Histone-arginine methyltransferase CARM1 OS=Homo sapiens GN=CARM1 PE=1 SV=3</t>
  </si>
  <si>
    <t>IPFKFHMLHSGLVHG</t>
  </si>
  <si>
    <t>GVDLSALRGAAVDE</t>
  </si>
  <si>
    <t>GVDLSALRGAAVDEY</t>
  </si>
  <si>
    <t>sp|Q86XP1|DGKH_HUMAN</t>
  </si>
  <si>
    <t>Diacylglycerol kinase eta OS=Homo sapiens GN=DGKH PE=1 SV=1</t>
  </si>
  <si>
    <t>TVKDFVAKV</t>
  </si>
  <si>
    <t>sp|Q86XP3|DDX42_HUMAN</t>
  </si>
  <si>
    <t>ATP-dependent RNA helicase DDX42 OS=Homo sapiens GN=DDX42 PE=1 SV=1</t>
  </si>
  <si>
    <t>FAGDLVRNL</t>
  </si>
  <si>
    <t>sp|Q86YC3|NRROS_HUMAN</t>
  </si>
  <si>
    <t>Negative regulator of reactive oxygen species OS=Homo sapiens GN=NRROS PE=1 SV=1</t>
  </si>
  <si>
    <t>YLPDGFLRKM</t>
  </si>
  <si>
    <t>sp|Q86YN6|PRGC2_HUMAN</t>
  </si>
  <si>
    <t>Peroxisome proliferator-activated receptor gamma coactivator 1-beta OS=Homo sapiens GN=PPARGC1B PE=1 SV=2</t>
  </si>
  <si>
    <t>sp|Q8IUE6|H2A2B_HUMAN</t>
  </si>
  <si>
    <t>Histone H2A type 2-B OS=Homo sapiens GN=HIST2H2AB PE=1 SV=3</t>
  </si>
  <si>
    <t>VLLPKKTESHKPGKNK</t>
  </si>
  <si>
    <t>VRNDEELNKL</t>
  </si>
  <si>
    <t>sp|Q8IUH3|RBM45_HUMAN</t>
  </si>
  <si>
    <t>RNA-binding protein 45 OS=Homo sapiens GN=RBM45 PE=2 SV=1</t>
  </si>
  <si>
    <t>NATDLLRKM</t>
  </si>
  <si>
    <t>sp|Q8IVF5|TIAM2_HUMAN</t>
  </si>
  <si>
    <t>T-lymphoma invasion and metastasis-inducing protein 2 OS=Homo sapiens GN=TIAM2 PE=2 SV=4</t>
  </si>
  <si>
    <t>sp|Q8IVM0|CCD50_HUMAN</t>
  </si>
  <si>
    <t>Coiled-coil domain-containing protein 50 OS=Homo sapiens GN=CCDC50 PE=1 SV=1</t>
  </si>
  <si>
    <t>AQAQLQKRY</t>
  </si>
  <si>
    <t>DQEWYDAEIARKLQEE</t>
  </si>
  <si>
    <t>EFPATRAYADSYYYEDG</t>
  </si>
  <si>
    <t>sp|Q8IVS8|GLCTK_HUMAN</t>
  </si>
  <si>
    <t>Glycerate kinase OS=Homo sapiens GN=GLYCTK PE=1 SV=1</t>
  </si>
  <si>
    <t>LRAALPRSV</t>
  </si>
  <si>
    <t>sp|Q8IVW6|ARI3B_HUMAN</t>
  </si>
  <si>
    <t>AT-rich interactive domain-containing protein 3B OS=Homo sapiens GN=ARID3B PE=1 SV=2</t>
  </si>
  <si>
    <t>SKYFHVQKV</t>
  </si>
  <si>
    <t>sp|Q8IW41|MAPK5_HUMAN</t>
  </si>
  <si>
    <t>MAP kinase-activated protein kinase 5 OS=Homo sapiens GN=MAPKAPK5 PE=1 SV=2</t>
  </si>
  <si>
    <t>YSINWTQKL</t>
  </si>
  <si>
    <t>sp|Q8IWA0|WDR75_HUMAN</t>
  </si>
  <si>
    <t>WD repeat-containing protein 75 OS=Homo sapiens GN=WDR75 PE=1 SV=1</t>
  </si>
  <si>
    <t>QRAGKIRHL</t>
  </si>
  <si>
    <t>sp|Q8IWK6|GP125_HUMAN</t>
  </si>
  <si>
    <t>Probable G-protein coupled receptor 125 OS=Homo sapiens GN=GPR125 PE=1 SV=2</t>
  </si>
  <si>
    <t>SQGTFDYLASLRSLE</t>
  </si>
  <si>
    <t>sp|Q8IWT6|LRC8A_HUMAN</t>
  </si>
  <si>
    <t>Volume-regulated anion channel subunit LRRC8A OS=Homo sapiens GN=LRRC8A PE=1 SV=1</t>
  </si>
  <si>
    <t>REESSYSDIPDVK</t>
  </si>
  <si>
    <t>sp|Q8IWT6|LRC8A_HUMAN; sp|Q6NSJ5|LRC8E_HUMAN; sp|Q8TDW0|LRC8C_HUMAN</t>
  </si>
  <si>
    <t>Volume-regulated anion channel subunit LRRC8A OS=Homo sapiens GN=LRRC8A PE=1 SV=1; Volume-regulated anion channel subunit LRRC8E OS=Homo sapiens GN=LRRC8E PE=1 SV=2; Volume-regulated anion channel subunit LRRC8C OS=Homo sapiens GN=LRRC8C PE=1 SV=2</t>
  </si>
  <si>
    <t>YSKRFAVFL</t>
  </si>
  <si>
    <t>sp|Q8IWX5|SGPP2_HUMAN</t>
  </si>
  <si>
    <t>Sphingosine-1-phosphate phosphatase 2 OS=Homo sapiens GN=SGPP2 PE=2 SV=1</t>
  </si>
  <si>
    <t>PEAYVQKYV</t>
  </si>
  <si>
    <t>sp|Q8IXB1|DJC10_HUMAN</t>
  </si>
  <si>
    <t>DnaJ homolog subfamily C member 10 OS=Homo sapiens GN=DNAJC10 PE=1 SV=2</t>
  </si>
  <si>
    <t>NLPDFELLSANTLEDR</t>
  </si>
  <si>
    <t>QRYPEIRFF</t>
  </si>
  <si>
    <t>SNLYVFQPSLAVFKGQ</t>
  </si>
  <si>
    <t>sp|Q8IXJ6|SIR2_HUMAN</t>
  </si>
  <si>
    <t>NAD-dependent protein deacetylase sirtuin-2 OS=Homo sapiens GN=SIRT2 PE=1 SV=2</t>
  </si>
  <si>
    <t>EKAGQSDPFL</t>
  </si>
  <si>
    <t>sp|Q8IXQ5|KLHL7_HUMAN</t>
  </si>
  <si>
    <t>Kelch-like protein 7 OS=Homo sapiens GN=KLHL7 PE=1 SV=2</t>
  </si>
  <si>
    <t>FAYTARISV</t>
  </si>
  <si>
    <t>sp|Q8IXZ2|ZC3H3_HUMAN</t>
  </si>
  <si>
    <t>Zinc finger CCCH domain-containing protein 3 OS=Homo sapiens GN=ZC3H3 PE=1 SV=3</t>
  </si>
  <si>
    <t>SRSLVLNRL</t>
  </si>
  <si>
    <t>sp|Q8IY34|S15A3_HUMAN</t>
  </si>
  <si>
    <t>Solute carrier family 15 member 3 OS=Homo sapiens GN=SLC15A3 PE=2 SV=2</t>
  </si>
  <si>
    <t>NFNWTGEQATRAALV</t>
  </si>
  <si>
    <t>AGLLLLGLAASSVRSN</t>
  </si>
  <si>
    <t>NFNWTGEQATRAAL</t>
  </si>
  <si>
    <t>sp|Q8IY67|RAVR1_HUMAN</t>
  </si>
  <si>
    <t>Ribonucleoprotein PTB-binding 1 OS=Homo sapiens GN=RAVER1 PE=1 SV=1</t>
  </si>
  <si>
    <t>LGPAGGDREAL</t>
  </si>
  <si>
    <t>SKAIGSSPLGSGEGLLGL</t>
  </si>
  <si>
    <t>sp|Q8IZ73|RUSD2_HUMAN</t>
  </si>
  <si>
    <t>RNA pseudouridylate synthase domain-containing protein 2 OS=Homo sapiens GN=RPUSD2 PE=1 SV=2</t>
  </si>
  <si>
    <t>YYFEGGLRKV</t>
  </si>
  <si>
    <t>sp|Q8IZU2|WDR17_HUMAN</t>
  </si>
  <si>
    <t>WD repeat-containing protein 17 OS=Homo sapiens GN=WDR17 PE=2 SV=2</t>
  </si>
  <si>
    <t>ASFDGTIKV</t>
  </si>
  <si>
    <t>sp|Q8N2Z9|CENPS_HUMAN</t>
  </si>
  <si>
    <t>Centromere protein S OS=Homo sapiens GN=APITD1 PE=1 SV=1</t>
  </si>
  <si>
    <t>QRFSYQQRL</t>
  </si>
  <si>
    <t>sp|Q8N328|PGBD3_HUMAN</t>
  </si>
  <si>
    <t>PiggyBac transposable element-derived protein 3 OS=Homo sapiens GN=PGBD3 PE=2 SV=3</t>
  </si>
  <si>
    <t>SRYDGINHV</t>
  </si>
  <si>
    <t>sp|Q8N3C0|ASCC3_HUMAN</t>
  </si>
  <si>
    <t>Activating signal cointegrator 1 complex subunit 3 OS=Homo sapiens GN=ASCC3 PE=1 SV=3</t>
  </si>
  <si>
    <t>QIKVREEEI</t>
  </si>
  <si>
    <t>sp|Q8N3J9|ZN664_HUMAN</t>
  </si>
  <si>
    <t>Zinc finger protein 664 OS=Homo sapiens GN=ZNF664 PE=2 SV=1</t>
  </si>
  <si>
    <t>NRHKKIHTV</t>
  </si>
  <si>
    <t>sp|Q8N3Y1|FBXW8_HUMAN</t>
  </si>
  <si>
    <t>F-box/WD repeat-containing protein 8 OS=Homo sapiens GN=FBXW8 PE=1 SV=2</t>
  </si>
  <si>
    <t>HRFEHDARI</t>
  </si>
  <si>
    <t>sp|Q8N4C6|NIN_HUMAN</t>
  </si>
  <si>
    <t>Ninein OS=Homo sapiens GN=NIN PE=1 SV=4</t>
  </si>
  <si>
    <t>TYKEHLNSM</t>
  </si>
  <si>
    <t>sp|Q8N4H5|TOM5_HUMAN</t>
  </si>
  <si>
    <t>Mitochondrial import receptor subunit TOM5 homolog OS=Homo sapiens GN=TOMM5 PE=1 SV=1</t>
  </si>
  <si>
    <t>SIRNFLIYV</t>
  </si>
  <si>
    <t>sp|Q8N554|ZN276_HUMAN</t>
  </si>
  <si>
    <t>Zinc finger protein 276 OS=Homo sapiens GN=ZNF276 PE=1 SV=4</t>
  </si>
  <si>
    <t>RRFEKAHNL</t>
  </si>
  <si>
    <t>sp|Q8N573|OXR1_HUMAN</t>
  </si>
  <si>
    <t>Oxidation resistance protein 1 OS=Homo sapiens GN=OXR1 PE=1 SV=2</t>
  </si>
  <si>
    <t>DSDGQVFGALASEPLKVSDG</t>
  </si>
  <si>
    <t>sp|Q8N5G0|SMI20_HUMAN</t>
  </si>
  <si>
    <t>Small integral membrane protein 20 OS=Homo sapiens GN=SMIM20 PE=1 SV=2</t>
  </si>
  <si>
    <t>DVQPPGLKVWSDPFGRK</t>
  </si>
  <si>
    <t>sp|Q8N5M9|JAGN1_HUMAN</t>
  </si>
  <si>
    <t>Protein jagunal homolog 1 OS=Homo sapiens GN=JAGN1 PE=1 SV=1</t>
  </si>
  <si>
    <t>sp|Q8N6F7|GCSAM_HUMAN</t>
  </si>
  <si>
    <t>Germinal center-associated signaling and motility protein OS=Homo sapiens GN=GCSAM PE=1 SV=1</t>
  </si>
  <si>
    <t>DEYELLMPHRIS</t>
  </si>
  <si>
    <t>MAPSETQFSHL</t>
  </si>
  <si>
    <t>sp|Q8N8Q9|NIPA2_HUMAN</t>
  </si>
  <si>
    <t>Magnesium transporter NIPA2 OS=Homo sapiens GN=NIPA2 PE=2 SV=1</t>
  </si>
  <si>
    <t>KEWQDMPVDD</t>
  </si>
  <si>
    <t>sp|Q8N8Z6|DCBD1_HUMAN</t>
  </si>
  <si>
    <t>Discoidin, CUB and LCCL domain-containing protein 1 OS=Homo sapiens GN=DCBLD1 PE=1 SV=2</t>
  </si>
  <si>
    <t>DGSLSDKRFLFTSNG</t>
  </si>
  <si>
    <t>sp|Q8N960|CE120_HUMAN</t>
  </si>
  <si>
    <t>Centrosomal protein of 120 kDa OS=Homo sapiens GN=CEP120 PE=1 SV=2</t>
  </si>
  <si>
    <t>DFATMPHQL</t>
  </si>
  <si>
    <t>sp|Q8NB49|AT11C_HUMAN</t>
  </si>
  <si>
    <t>Phospholipid-transporting ATPase IG OS=Homo sapiens GN=ATP11C PE=1 SV=3</t>
  </si>
  <si>
    <t>ETIEALHAAGLK</t>
  </si>
  <si>
    <t>sp|Q8NBA8|DTWD2_HUMAN</t>
  </si>
  <si>
    <t>DTW domain-containing protein 2 OS=Homo sapiens GN=DTWD2 PE=1 SV=1</t>
  </si>
  <si>
    <t>FRHPKQVQL</t>
  </si>
  <si>
    <t>sp|Q8NBI2|CYAC3_HUMAN</t>
  </si>
  <si>
    <t>Cytochrome b ascorbate-dependent protein 3 OS=Homo sapiens GN=CYB561A3 PE=2 SV=1</t>
  </si>
  <si>
    <t>TRPYHSLPSEAVFAN</t>
  </si>
  <si>
    <t>sp|Q8NBJ4|GOLM1_HUMAN</t>
  </si>
  <si>
    <t>Golgi membrane protein 1 OS=Homo sapiens GN=GOLM1 PE=1 SV=1</t>
  </si>
  <si>
    <t>SSHNFQLESVNKLYQ</t>
  </si>
  <si>
    <t>sp|Q8NCA5|FA98A_HUMAN</t>
  </si>
  <si>
    <t>Protein FAM98A OS=Homo sapiens GN=FAM98A PE=1 SV=1</t>
  </si>
  <si>
    <t>HQGGQFEQHFQHGG</t>
  </si>
  <si>
    <t>HQGGQFEQHF</t>
  </si>
  <si>
    <t>HQGGQFEQHFQHGGYQY</t>
  </si>
  <si>
    <t>HSGFGQGRHYTS</t>
  </si>
  <si>
    <t>sp|Q8NCH0|CHSTE_HUMAN</t>
  </si>
  <si>
    <t>Carbohydrate sulfotransferase 14 OS=Homo sapiens GN=CHST14 PE=1 SV=2</t>
  </si>
  <si>
    <t>IERGILAEMKPLPLHPPG</t>
  </si>
  <si>
    <t>RGILAEMKPLPLHPP</t>
  </si>
  <si>
    <t>sp|Q8NCN5|PDPR_HUMAN</t>
  </si>
  <si>
    <t>Pyruvate dehydrogenase phosphatase regulatory subunit, mitochondrial OS=Homo sapiens GN=PDPR PE=1 SV=2</t>
  </si>
  <si>
    <t>YSYSLERHV</t>
  </si>
  <si>
    <t>sp|Q8NCR0|B3GL2_HUMAN</t>
  </si>
  <si>
    <t>UDP-GalNAc:beta-1,3-N-acetylgalactosaminyltransferase 2 OS=Homo sapiens GN=B3GALNT2 PE=1 SV=1</t>
  </si>
  <si>
    <t>QRNITVKLY</t>
  </si>
  <si>
    <t>HRRAEVHKV</t>
  </si>
  <si>
    <t>sp|Q8ND90|PNMA1_HUMAN</t>
  </si>
  <si>
    <t>Paraneoplastic antigen Ma1 OS=Homo sapiens GN=PNMA1 PE=1 SV=2</t>
  </si>
  <si>
    <t>SAYVIRLEPLL</t>
  </si>
  <si>
    <t>sp|Q8NDZ4|DIA1_HUMAN</t>
  </si>
  <si>
    <t>Deleted in autism protein 1 OS=Homo sapiens GN=C3orf58 PE=1 SV=1</t>
  </si>
  <si>
    <t>REYLAQLSNNVR</t>
  </si>
  <si>
    <t>sp|Q8NEV1|CSK23_HUMAN; sp|P68400|CSK21_HUMAN</t>
  </si>
  <si>
    <t>Casein kinase II subunit alpha 3 OS=Homo sapiens GN=CSNK2A3 PE=1 SV=2; Casein kinase II subunit alpha OS=Homo sapiens GN=CSNK2A1 PE=1 SV=1</t>
  </si>
  <si>
    <t>LRYDHQSRL</t>
  </si>
  <si>
    <t>sp|Q8NF37|PCAT1_HUMAN</t>
  </si>
  <si>
    <t>Lysophosphatidylcholine acyltransferase 1 OS=Homo sapiens GN=LPCAT1 PE=1 SV=2</t>
  </si>
  <si>
    <t>IQYIRPVFV</t>
  </si>
  <si>
    <t>sp|Q8NFP4|MDGA1_HUMAN</t>
  </si>
  <si>
    <t>MAM domain-containing glycosylphosphatidylinositol anchor protein 1 OS=Homo sapiens GN=MDGA1 PE=1 SV=1</t>
  </si>
  <si>
    <t>QGVYAPAQAQIVH</t>
  </si>
  <si>
    <t>QGVYAPAQAQIVHAG</t>
  </si>
  <si>
    <t>QGVYAPAQAQIVHAGQ</t>
  </si>
  <si>
    <t>sp|Q8NFW8|NEUA_HUMAN</t>
  </si>
  <si>
    <t>N-acylneuraminate cytidylyltransferase OS=Homo sapiens GN=CMAS PE=1 SV=2</t>
  </si>
  <si>
    <t>GHIYVSGDQKEIIS</t>
  </si>
  <si>
    <t>sp|Q8NHJ6|LIRB4_HUMAN</t>
  </si>
  <si>
    <t>Leukocyte immunoglobulin-like receptor subfamily B member 4 OS=Homo sapiens GN=LILRB4 PE=1 SV=3</t>
  </si>
  <si>
    <t>DVTYAQLHSFTLRQ</t>
  </si>
  <si>
    <t>SKPTLSALPSPLVTSGK</t>
  </si>
  <si>
    <t>KPTLSALPSPLVTSG</t>
  </si>
  <si>
    <t>SKPTLSALPSPLVTSG</t>
  </si>
  <si>
    <t>sp|Q8NHM5|KDM2B_HUMAN</t>
  </si>
  <si>
    <t>Lysine-specific demethylase 2B OS=Homo sapiens GN=KDM2B PE=1 SV=1</t>
  </si>
  <si>
    <t>MKYPKVKKY</t>
  </si>
  <si>
    <t>sp|Q8NHP1|ARK74_HUMAN; sp|O95154|ARK73_HUMAN; sp|O43488|ARK72_HUMAN</t>
  </si>
  <si>
    <t>Aflatoxin B1 aldehyde reductase member 4 OS=Homo sapiens GN=AKR7L PE=2 SV=6; Aflatoxin B1 aldehyde reductase member 3 OS=Homo sapiens GN=AKR7A3 PE=1 SV=2; Aflatoxin B1 aldehyde reductase member 2 OS=Homo sapiens GN=AKR7A2 PE=1 SV=3</t>
  </si>
  <si>
    <t>LRHFGLRFY</t>
  </si>
  <si>
    <t>sp|Q8NHP8|PLBL2_HUMAN</t>
  </si>
  <si>
    <t>Putative phospholipase B-like 2 OS=Homo sapiens GN=PLBD2 PE=1 SV=2</t>
  </si>
  <si>
    <t>VRNIVANRL</t>
  </si>
  <si>
    <t>sp|Q8NI27|THOC2_HUMAN</t>
  </si>
  <si>
    <t>THO complex subunit 2 OS=Homo sapiens GN=THOC2 PE=1 SV=2</t>
  </si>
  <si>
    <t>SRPMYAHHI</t>
  </si>
  <si>
    <t>sp|Q8NI77|KI18A_HUMAN</t>
  </si>
  <si>
    <t>Kinesin-like protein KIF18A OS=Homo sapiens GN=KIF18A PE=1 SV=2</t>
  </si>
  <si>
    <t>AGFHKVVHV</t>
  </si>
  <si>
    <t>sp|Q8TA86|RP9_HUMAN</t>
  </si>
  <si>
    <t>Retinitis pigmentosa 9 protein OS=Homo sapiens GN=RP9 PE=1 SV=2</t>
  </si>
  <si>
    <t>KRHEKDVRI</t>
  </si>
  <si>
    <t>sp|Q8TBF4|ZCRB1_HUMAN</t>
  </si>
  <si>
    <t>Zinc finger CCHC-type and RNA-binding motif-containing protein 1 OS=Homo sapiens GN=ZCRB1 PE=1 SV=2</t>
  </si>
  <si>
    <t>SKYGKVVKV</t>
  </si>
  <si>
    <t>sp|Q8TCG2|P4K2B_HUMAN</t>
  </si>
  <si>
    <t>Phosphatidylinositol 4-kinase type 2-beta OS=Homo sapiens GN=PI4K2B PE=1 SV=1</t>
  </si>
  <si>
    <t>IPNQGYLSEAGAYLVDNK</t>
  </si>
  <si>
    <t>sp|Q8TCJ2|STT3B_HUMAN</t>
  </si>
  <si>
    <t>Dolichyl-diphosphooligosaccharide--protein glycosyltransferase subunit STT3B OS=Homo sapiens GN=STT3B PE=1 SV=1</t>
  </si>
  <si>
    <t>QRYSKRVYI</t>
  </si>
  <si>
    <t>TDIIVTEHANQAKE</t>
  </si>
  <si>
    <t>sp|Q8TCT7|SPP2B_HUMAN</t>
  </si>
  <si>
    <t>Signal peptide peptidase-like 2B OS=Homo sapiens GN=SPPL2B PE=1 SV=2</t>
  </si>
  <si>
    <t>VAAALARLL</t>
  </si>
  <si>
    <t>sp|Q8TCT9|HM13_HUMAN</t>
  </si>
  <si>
    <t>Minor histocompatibility antigen H13 OS=Homo sapiens GN=HM13 PE=1 SV=1</t>
  </si>
  <si>
    <t>FSYEESNPKDPAAVTESKEGTEASASKGLEKKEK</t>
  </si>
  <si>
    <t>sp|Q8TCX1|DC2L1_HUMAN</t>
  </si>
  <si>
    <t>Cytoplasmic dynein 2 light intermediate chain 1 OS=Homo sapiens GN=DYNC2LI1 PE=1 SV=1</t>
  </si>
  <si>
    <t>FGIDKSKSI</t>
  </si>
  <si>
    <t>sp|Q8TCY9|URGCP_HUMAN</t>
  </si>
  <si>
    <t>Up-regulator of cell proliferation OS=Homo sapiens GN=URGCP PE=1 SV=2</t>
  </si>
  <si>
    <t>KRNTNLRFL</t>
  </si>
  <si>
    <t>sp|Q8TD19|NEK9_HUMAN</t>
  </si>
  <si>
    <t>Serine/threonine-protein kinase Nek9 OS=Homo sapiens GN=NEK9 PE=1 SV=2</t>
  </si>
  <si>
    <t>LPYEELQGLKVA</t>
  </si>
  <si>
    <t>sp|Q8TDG4|HELQ_HUMAN</t>
  </si>
  <si>
    <t>Helicase POLQ-like OS=Homo sapiens GN=HELQ PE=1 SV=2</t>
  </si>
  <si>
    <t>FRPVELKEY</t>
  </si>
  <si>
    <t>sp|Q8TEQ0|SNX29_HUMAN</t>
  </si>
  <si>
    <t>Sorting nexin-29 OS=Homo sapiens GN=SNX29 PE=1 SV=3</t>
  </si>
  <si>
    <t>QRFYSLRHI</t>
  </si>
  <si>
    <t>sp|Q8TF40|FNIP1_HUMAN</t>
  </si>
  <si>
    <t>Folliculin-interacting protein 1 OS=Homo sapiens GN=FNIP1 PE=1 SV=3</t>
  </si>
  <si>
    <t>KRQDMVQRL</t>
  </si>
  <si>
    <t>sp|Q8TF46|DI3L1_HUMAN</t>
  </si>
  <si>
    <t>DIS3-like exonuclease 1 OS=Homo sapiens GN=DIS3L PE=1 SV=2</t>
  </si>
  <si>
    <t>KLTDIARHV</t>
  </si>
  <si>
    <t>sp|Q8WU10|PYRD1_HUMAN</t>
  </si>
  <si>
    <t>Pyridine nucleotide-disulfide oxidoreductase domain-containing protein 1 OS=Homo sapiens GN=PYROXD1 PE=1 SV=1</t>
  </si>
  <si>
    <t>TASPVIKAV</t>
  </si>
  <si>
    <t>sp|Q8WV28|BLNK_HUMAN</t>
  </si>
  <si>
    <t>B-cell linker protein OS=Homo sapiens GN=BLNK PE=1 SV=2</t>
  </si>
  <si>
    <t>SSNSTISEQEAGVLC</t>
  </si>
  <si>
    <t>sp|Q8WVM8|SCFD1_HUMAN</t>
  </si>
  <si>
    <t>Sec1 family domain-containing protein 1 OS=Homo sapiens GN=SCFD1 PE=1 SV=4</t>
  </si>
  <si>
    <t>sp|Q8WVQ1|CANT1_HUMAN</t>
  </si>
  <si>
    <t>Soluble calcium-activated nucleotidase 1 OS=Homo sapiens GN=CANT1 PE=1 SV=1</t>
  </si>
  <si>
    <t>ENPEWVKVVGYKGSVDH</t>
  </si>
  <si>
    <t>ENPEWVKVVGYKGSVDHE</t>
  </si>
  <si>
    <t>sp|Q8WW35|TC1D2_HUMAN</t>
  </si>
  <si>
    <t>Tctex1 domain-containing protein 2 OS=Homo sapiens GN=TCTEX1D2 PE=1 SV=2</t>
  </si>
  <si>
    <t>LRPVFQQRF</t>
  </si>
  <si>
    <t>sp|Q8WWI1|LMO7_HUMAN</t>
  </si>
  <si>
    <t>LIM domain only protein 7 OS=Homo sapiens GN=LMO7 PE=1 SV=3</t>
  </si>
  <si>
    <t>YRKTDTVRL</t>
  </si>
  <si>
    <t>sp|Q8WWY8|LIPH_HUMAN</t>
  </si>
  <si>
    <t>Lipase member H OS=Homo sapiens GN=LIPH PE=1 SV=1</t>
  </si>
  <si>
    <t>DPPMTKAFFDTAEESPF</t>
  </si>
  <si>
    <t>DPSDAQFVDVIHS</t>
  </si>
  <si>
    <t>sp|Q8WY64|MYLIP_HUMAN</t>
  </si>
  <si>
    <t>E3 ubiquitin-protein ligase MYLIP OS=Homo sapiens GN=MYLIP PE=1 SV=2</t>
  </si>
  <si>
    <t>AASGLYRAI</t>
  </si>
  <si>
    <t>sp|Q92499|DDX1_HUMAN</t>
  </si>
  <si>
    <t>ATP-dependent RNA helicase DDX1 OS=Homo sapiens GN=DDX1 PE=1 SV=2</t>
  </si>
  <si>
    <t>KYIDNPKLREL</t>
  </si>
  <si>
    <t>sp|Q92542|NICA_HUMAN</t>
  </si>
  <si>
    <t>Nicastrin OS=Homo sapiens GN=NCSTN PE=1 SV=2</t>
  </si>
  <si>
    <t>FIAPREPGAVSY</t>
  </si>
  <si>
    <t>sp|Q92558|WASF1_HUMAN</t>
  </si>
  <si>
    <t>Wiskott-Aldrich syndrome protein family member 1 OS=Homo sapiens GN=WASF1 PE=1 SV=1</t>
  </si>
  <si>
    <t>SLANIIRQL</t>
  </si>
  <si>
    <t>sp|Q92575|UBXN4_HUMAN</t>
  </si>
  <si>
    <t>UBX domain-containing protein 4 OS=Homo sapiens GN=UBXN4 PE=1 SV=2</t>
  </si>
  <si>
    <t>TRIHKVRQM</t>
  </si>
  <si>
    <t>sp|Q92610|ZN592_HUMAN</t>
  </si>
  <si>
    <t>Zinc finger protein 592 OS=Homo sapiens GN=ZNF592 PE=1 SV=2</t>
  </si>
  <si>
    <t>SASSLSRHL</t>
  </si>
  <si>
    <t>sp|Q92616|GCN1L_HUMAN</t>
  </si>
  <si>
    <t>Translational activator GCN1 OS=Homo sapiens GN=GCN1L1 PE=1 SV=6</t>
  </si>
  <si>
    <t>AAKTFEQLHSTIGHQA</t>
  </si>
  <si>
    <t>VQNPALRLV</t>
  </si>
  <si>
    <t>sp|Q92673|SORL_HUMAN</t>
  </si>
  <si>
    <t>Sortilin-related receptor OS=Homo sapiens GN=SORL1 PE=1 SV=2</t>
  </si>
  <si>
    <t>GTWEFLQAPAFTGYGEK</t>
  </si>
  <si>
    <t>IREYIVEYSRSGSK</t>
  </si>
  <si>
    <t>YRNPKSLTT</t>
  </si>
  <si>
    <t>DTWVCDGYRDCADGSD</t>
  </si>
  <si>
    <t>Dehydrated(D)@10; Oxidation(C)@11</t>
  </si>
  <si>
    <t>sp|Q92802|N42L2_HUMAN</t>
  </si>
  <si>
    <t>NEDD4-binding protein 2-like 2 OS=Homo sapiens GN=N4BP2L2 PE=1 SV=1</t>
  </si>
  <si>
    <t>FRPEWQSVY</t>
  </si>
  <si>
    <t>sp|Q92845|KIFA3_HUMAN</t>
  </si>
  <si>
    <t>Kinesin-associated protein 3 OS=Homo sapiens GN=KIFAP3 PE=1 SV=2</t>
  </si>
  <si>
    <t>MRNKNIVHM</t>
  </si>
  <si>
    <t>sp|Q92878|RAD50_HUMAN</t>
  </si>
  <si>
    <t>DNA repair protein RAD50 OS=Homo sapiens GN=RAD50 PE=1 SV=1</t>
  </si>
  <si>
    <t>sp|Q92889|XPF_HUMAN</t>
  </si>
  <si>
    <t>DNA repair endonuclease XPF OS=Homo sapiens GN=ERCC4 PE=1 SV=3</t>
  </si>
  <si>
    <t>MRNLFVRKL</t>
  </si>
  <si>
    <t>sp|Q92900|RENT1_HUMAN</t>
  </si>
  <si>
    <t>Regulator of nonsense transcripts 1 OS=Homo sapiens GN=UPF1 PE=1 SV=2</t>
  </si>
  <si>
    <t>KGIGHVIKV</t>
  </si>
  <si>
    <t>YYKEQKVLV</t>
  </si>
  <si>
    <t>sp|Q92968|PEX13_HUMAN</t>
  </si>
  <si>
    <t>Peroxisomal membrane protein PEX13 OS=Homo sapiens GN=PEX13 PE=1 SV=2</t>
  </si>
  <si>
    <t>SAKSWPIFL</t>
  </si>
  <si>
    <t>sp|Q92974|ARHG2_HUMAN</t>
  </si>
  <si>
    <t>Rho guanine nucleotide exchange factor 2 OS=Homo sapiens GN=ARHGEF2 PE=1 SV=4</t>
  </si>
  <si>
    <t>TRNFVIHRL</t>
  </si>
  <si>
    <t>sp|Q92995|UBP13_HUMAN</t>
  </si>
  <si>
    <t>Ubiquitin carboxyl-terminal hydrolase 13 OS=Homo sapiens GN=USP13 PE=1 SV=2</t>
  </si>
  <si>
    <t>VYMHLKRHV</t>
  </si>
  <si>
    <t>sp|Q93008|USP9X_HUMAN</t>
  </si>
  <si>
    <t>Probable ubiquitin carboxyl-terminal hydrolase FAF-X OS=Homo sapiens GN=USP9X PE=1 SV=3</t>
  </si>
  <si>
    <t>SRYSHVQEV</t>
  </si>
  <si>
    <t>sp|Q93009|UBP7_HUMAN</t>
  </si>
  <si>
    <t>Ubiquitin carboxyl-terminal hydrolase 7 OS=Homo sapiens GN=USP7 PE=1 SV=2</t>
  </si>
  <si>
    <t>KASGKLRLL</t>
  </si>
  <si>
    <t>sp|Q93074|MED12_HUMAN</t>
  </si>
  <si>
    <t>Mediator of RNA polymerase II transcription subunit 12 OS=Homo sapiens GN=MED12 PE=1 SV=4</t>
  </si>
  <si>
    <t>VLYDQPRHV</t>
  </si>
  <si>
    <t>QTAALVRQL</t>
  </si>
  <si>
    <t>sp|Q93077|H2A1C_HUMAN; sp|Q7L7L0|H2A3_HUMAN; sp|Q6FI13|H2A2A_HUMAN; sp|P20671|H2A1D_HUMAN; sp|P0C0S8|H2A1_HUMAN; sp|P04908|H2A1B_HUMAN</t>
  </si>
  <si>
    <t>Histone H2A type 1-C OS=Homo sapiens GN=HIST1H2AC PE=1 SV=3; Histone H2A type 3 OS=Homo sapiens GN=HIST3H2A PE=1 SV=3; Histone H2A type 2-A OS=Homo sapiens GN=HIST2H2AA3 PE=1 SV=3; Histone H2A type 1-D OS=Homo sapiens GN=HIST1H2AD PE=1 SV=2; Histone H2A type 1 OS=Homo sapiens GN=HIST1H2AG PE=1 SV=2; Histone H2A type 1-B/E OS=Homo sapiens GN=HIST1H2AB PE=1 SV=2</t>
  </si>
  <si>
    <t>AVLLPKKTESHHKAKGK</t>
  </si>
  <si>
    <t>VLLPKKTESHHKAK</t>
  </si>
  <si>
    <t>VLLPKKTESHHKAKGK</t>
  </si>
  <si>
    <t>sp|Q93077|H2A1C_HUMAN; sp|Q7L7L0|H2A3_HUMAN; sp|Q6FI13|H2A2A_HUMAN; sp|P20671|H2A1D_HUMAN; sp|P0C0S8|H2A1_HUMAN; sp|P04908|H2A1B_HUMAN; sp|Q9BTM1|H2AJ_HUMAN; sp|Q99878|H2A1J_HUMAN; sp|Q16777|H2A2C_HUMAN; sp|Q8IUE6|H2A2B_HUMAN</t>
  </si>
  <si>
    <t>Histone H2A type 1-C OS=Homo sapiens GN=HIST1H2AC PE=1 SV=3; Histone H2A type 3 OS=Homo sapiens GN=HIST3H2A PE=1 SV=3; Histone H2A type 2-A OS=Homo sapiens GN=HIST2H2AA3 PE=1 SV=3; Histone H2A type 1-D OS=Homo sapiens GN=HIST1H2AD PE=1 SV=2; Histone H2A type 1 OS=Homo sapiens GN=HIST1H2AG PE=1 SV=2; Histone H2A type 1-B/E OS=Homo sapiens GN=HIST1H2AB PE=1 SV=2; Histone H2A.J OS=Homo sapiens GN=H2AFJ PE=1 SV=1; Histone H2A type 1-J OS=Homo sapiens GN=HIST1H2AJ PE=1 SV=3; Histone H2A type 2-C OS=Homo sapiens GN=HIST2H2AC PE=1 SV=4; Histone H2A type 2-B OS=Homo sapiens GN=HIST2H2AB PE=1 SV=3</t>
  </si>
  <si>
    <t>sp|Q93084|AT2A3_HUMAN</t>
  </si>
  <si>
    <t>Sarcoplasmic/endoplasmic reticulum calcium ATPase 3 OS=Homo sapiens GN=ATP2A3 PE=1 SV=2</t>
  </si>
  <si>
    <t>VLEQFEDLLVR</t>
  </si>
  <si>
    <t>sp|Q969H8|CS010_HUMAN</t>
  </si>
  <si>
    <t>UPF0556 protein C19orf10 OS=Homo sapiens GN=C19orf10 PE=1 SV=1</t>
  </si>
  <si>
    <t>AEIEYAMAYSKAAFER</t>
  </si>
  <si>
    <t>KTEEFEVTKTAVAHRP</t>
  </si>
  <si>
    <t>sp|Q969S9|RRF2M_HUMAN</t>
  </si>
  <si>
    <t>Ribosome-releasing factor 2, mitochondrial OS=Homo sapiens GN=GFM2 PE=1 SV=1</t>
  </si>
  <si>
    <t>sp|Q969X1|LFG3_HUMAN</t>
  </si>
  <si>
    <t>Protein lifeguard 3 OS=Homo sapiens GN=TMBIM1 PE=1 SV=2</t>
  </si>
  <si>
    <t>VRHTFIRKV</t>
  </si>
  <si>
    <t>sp|Q96A05|VATE2_HUMAN; sp|P36543|VATE1_HUMAN</t>
  </si>
  <si>
    <t>V-type proton ATPase subunit E 2 OS=Homo sapiens GN=ATP6V1E2 PE=2 SV=1; V-type proton ATPase subunit E 1 OS=Homo sapiens GN=ATP6V1E1 PE=1 SV=1</t>
  </si>
  <si>
    <t>AEEEFNIEKGRLVQTQ</t>
  </si>
  <si>
    <t>EEFNIEKGRLVQT</t>
  </si>
  <si>
    <t>EEFNIEKGRLVQTQ</t>
  </si>
  <si>
    <t>sp|Q96A73|P33MX_HUMAN</t>
  </si>
  <si>
    <t>Putative monooxygenase p33MONOX OS=Homo sapiens GN=KIAA1191 PE=1 SV=1</t>
  </si>
  <si>
    <t>SAPLGKMSL</t>
  </si>
  <si>
    <t>sp|Q96AB3|ISOC2_HUMAN</t>
  </si>
  <si>
    <t>Isochorismatase domain-containing protein 2, mitochondrial OS=Homo sapiens GN=ISOC2 PE=1 SV=1</t>
  </si>
  <si>
    <t>SRSQVDRLV</t>
  </si>
  <si>
    <t>sp|Q96AG4|LRC59_HUMAN</t>
  </si>
  <si>
    <t>Leucine-rich repeat-containing protein 59 OS=Homo sapiens GN=LRRC59 PE=1 SV=1</t>
  </si>
  <si>
    <t>ANKVLQHMKAVQADQER</t>
  </si>
  <si>
    <t>sp|Q96B26|EXOS8_HUMAN</t>
  </si>
  <si>
    <t>Exosome complex component RRP43 OS=Homo sapiens GN=EXOSC8 PE=1 SV=1</t>
  </si>
  <si>
    <t>TRHKEVKKL</t>
  </si>
  <si>
    <t>sp|Q96B49|TOM6_HUMAN</t>
  </si>
  <si>
    <t>Mitochondrial import receptor subunit TOM6 homolog OS=Homo sapiens GN=TOMM6 PE=1 SV=1</t>
  </si>
  <si>
    <t>LARNLSDIDLMAPQPGV</t>
  </si>
  <si>
    <t>sp|Q96BR5|COA7_HUMAN</t>
  </si>
  <si>
    <t>Cytochrome c oxidase assembly factor 7 OS=Homo sapiens GN=COA7 PE=1 SV=2</t>
  </si>
  <si>
    <t>AGMVDFQDEEQVK</t>
  </si>
  <si>
    <t>Acetyl@N-term; Oxidation(M)@3</t>
  </si>
  <si>
    <t>sp|Q96BV0|ZN775_HUMAN</t>
  </si>
  <si>
    <t>Zinc finger protein 775 OS=Homo sapiens GN=ZNF775 PE=2 SV=2</t>
  </si>
  <si>
    <t>QKPNLTRHL</t>
  </si>
  <si>
    <t>sp|Q96BY2|MOAP1_HUMAN</t>
  </si>
  <si>
    <t>Modulator of apoptosis 1 OS=Homo sapiens GN=MOAP1 PE=1 SV=1</t>
  </si>
  <si>
    <t>SAYVLRLEPLL</t>
  </si>
  <si>
    <t>sp|Q96BY7|ATG2B_HUMAN</t>
  </si>
  <si>
    <t>Autophagy-related protein 2 homolog B OS=Homo sapiens GN=ATG2B PE=1 SV=5</t>
  </si>
  <si>
    <t>SRPELIFRL</t>
  </si>
  <si>
    <t>sp|Q96C03|MID49_HUMAN</t>
  </si>
  <si>
    <t>Mitochondrial dynamics protein MID49 OS=Homo sapiens GN=MIEF2 PE=1 SV=1</t>
  </si>
  <si>
    <t>GAADHVRLL</t>
  </si>
  <si>
    <t>sp|Q96C36|P5CR2_HUMAN; sp|P32322|P5CR1_HUMAN</t>
  </si>
  <si>
    <t>Pyrroline-5-carboxylate reductase 2 OS=Homo sapiens GN=PYCR2 PE=1 SV=1; Pyrroline-5-carboxylate reductase 1, mitochondrial OS=Homo sapiens GN=PYCR1 PE=1 SV=2</t>
  </si>
  <si>
    <t>FRSLLINAVEA</t>
  </si>
  <si>
    <t>sp|Q96CV9|OPTN_HUMAN</t>
  </si>
  <si>
    <t>Optineurin OS=Homo sapiens GN=OPTN PE=1 SV=2</t>
  </si>
  <si>
    <t>EERQFFEIQSKEAKER</t>
  </si>
  <si>
    <t>sp|Q96D71|REPS1_HUMAN</t>
  </si>
  <si>
    <t>RalBP1-associated Eps domain-containing protein 1 OS=Homo sapiens GN=REPS1 PE=1 SV=3</t>
  </si>
  <si>
    <t>DEQRQYYVNQFKTIQPD</t>
  </si>
  <si>
    <t>EQRQYYVNQFKTIQPD</t>
  </si>
  <si>
    <t>sp|Q96DR4|STAR4_HUMAN</t>
  </si>
  <si>
    <t>StAR-related lipid transfer protein 4 OS=Homo sapiens GN=STARD4 PE=2 SV=1</t>
  </si>
  <si>
    <t>KRPEFVRGY</t>
  </si>
  <si>
    <t>sp|Q96E52|OMA1_HUMAN</t>
  </si>
  <si>
    <t>Metalloendopeptidase OMA1, mitochondrial OS=Homo sapiens GN=OMA1 PE=1 SV=1</t>
  </si>
  <si>
    <t>SQINWVIHV</t>
  </si>
  <si>
    <t>sp|Q96ED9|HOOK2_HUMAN</t>
  </si>
  <si>
    <t>Protein Hook homolog 2 OS=Homo sapiens GN=HOOK2 PE=1 SV=3</t>
  </si>
  <si>
    <t>RYVDKARMV</t>
  </si>
  <si>
    <t>sp|Q96EZ8|MCRS1_HUMAN</t>
  </si>
  <si>
    <t>Microspherule protein 1 OS=Homo sapiens GN=MCRS1 PE=1 SV=1</t>
  </si>
  <si>
    <t>sp|Q96F07|CYFP2_HUMAN; sp|Q7L576|CYFP1_HUMAN</t>
  </si>
  <si>
    <t>Cytoplasmic FMR1-interacting protein 2 OS=Homo sapiens GN=CYFIP2 PE=1 SV=2; Cytoplasmic FMR1-interacting protein 1 OS=Homo sapiens GN=CYFIP1 PE=1 SV=1</t>
  </si>
  <si>
    <t>sp|Q96F24|NRBF2_HUMAN</t>
  </si>
  <si>
    <t>Nuclear receptor-binding factor 2 OS=Homo sapiens GN=NRBF2 PE=1 SV=1</t>
  </si>
  <si>
    <t>APKDDKTIIEEQATKIADLK</t>
  </si>
  <si>
    <t>APKDDKTIIEEQATKIAD</t>
  </si>
  <si>
    <t>APKDDKTIIEEQATKIADL</t>
  </si>
  <si>
    <t>sp|Q96FB5|RRNAD_HUMAN</t>
  </si>
  <si>
    <t>Protein RRNAD1 OS=Homo sapiens GN=RRNAD1 PE=2 SV=2</t>
  </si>
  <si>
    <t>sp|Q96FE7|P3IP1_HUMAN</t>
  </si>
  <si>
    <t>Phosphoinositide-3-kinase-interacting protein 1 OS=Homo sapiens GN=PIK3IP1 PE=1 SV=2</t>
  </si>
  <si>
    <t>DEVQVFAPANALPARSE</t>
  </si>
  <si>
    <t>ADEVQVFAPANALPARSE</t>
  </si>
  <si>
    <t>ADEVQVFAPANALPARSEA</t>
  </si>
  <si>
    <t>EVQVFAPANALPARSE</t>
  </si>
  <si>
    <t>sp|Q96FZ7|CHMP6_HUMAN</t>
  </si>
  <si>
    <t>Charged multivesicular body protein 6 OS=Homo sapiens GN=CHMP6 PE=1 SV=3</t>
  </si>
  <si>
    <t>VEYQRQIDEL</t>
  </si>
  <si>
    <t>sp|Q96G74|OTUD5_HUMAN</t>
  </si>
  <si>
    <t>OTU domain-containing protein 5 OS=Homo sapiens GN=OTUD5 PE=1 SV=1</t>
  </si>
  <si>
    <t>sp|Q96GR4|ZDH12_HUMAN</t>
  </si>
  <si>
    <t>Probable palmitoyltransferase ZDHHC12 OS=Homo sapiens GN=ZDHHC12 PE=2 SV=2</t>
  </si>
  <si>
    <t>TTTWEFISSHRIA</t>
  </si>
  <si>
    <t>sp|Q96GZ6|S41A3_HUMAN</t>
  </si>
  <si>
    <t>Solute carrier family 41 member 3 OS=Homo sapiens GN=SLC41A3 PE=2 SV=2</t>
  </si>
  <si>
    <t>YRHKDSRYL</t>
  </si>
  <si>
    <t>sp|Q96IW7|SC22A_HUMAN</t>
  </si>
  <si>
    <t>Vesicle-trafficking protein SEC22a OS=Homo sapiens GN=SEC22A PE=1 SV=1</t>
  </si>
  <si>
    <t>QRYNNPRSL</t>
  </si>
  <si>
    <t>YQFTGIKKYF</t>
  </si>
  <si>
    <t>sp|Q96IZ6|MET2A_HUMAN; sp|Q6P1Q9|MET2B_HUMAN</t>
  </si>
  <si>
    <t>Methyltransferase-like protein 2A OS=Homo sapiens GN=METTL2A PE=1 SV=5; Methyltransferase-like protein 2B OS=Homo sapiens GN=METTL2B PE=1 SV=3</t>
  </si>
  <si>
    <t>LRFKKGQCLS</t>
  </si>
  <si>
    <t>Dioxidation(C)@8</t>
  </si>
  <si>
    <t>sp|Q96J02|ITCH_HUMAN</t>
  </si>
  <si>
    <t>E3 ubiquitin-protein ligase Itchy homolog OS=Homo sapiens GN=ITCH PE=1 SV=2</t>
  </si>
  <si>
    <t>DQHGRVYYVDHVEKR</t>
  </si>
  <si>
    <t>sp|Q96J88|ESIP1_HUMAN</t>
  </si>
  <si>
    <t>Epithelial-stromal interaction protein 1 OS=Homo sapiens GN=EPSTI1 PE=2 SV=2</t>
  </si>
  <si>
    <t>NRRNEIQRI</t>
  </si>
  <si>
    <t>sp|Q96JJ7|TMX3_HUMAN</t>
  </si>
  <si>
    <t>Protein disulfide-isomerase TMX3 OS=Homo sapiens GN=TMX3 PE=1 SV=2</t>
  </si>
  <si>
    <t>YVTLKEMPAVLVFKDE</t>
  </si>
  <si>
    <t>sp|Q96K12|FACR2_HUMAN</t>
  </si>
  <si>
    <t>Fatty acyl-CoA reductase 2 OS=Homo sapiens GN=FAR2 PE=2 SV=1</t>
  </si>
  <si>
    <t>KLFEKVKEV</t>
  </si>
  <si>
    <t>sp|Q96K37|S35E1_HUMAN</t>
  </si>
  <si>
    <t>Solute carrier family 35 member E1 OS=Homo sapiens GN=SLC35E1 PE=1 SV=2</t>
  </si>
  <si>
    <t>SRIHHLRLL</t>
  </si>
  <si>
    <t>SAFPFPVTV</t>
  </si>
  <si>
    <t>sp|Q96KP4|CNDP2_HUMAN</t>
  </si>
  <si>
    <t>Cytosolic non-specific dipeptidase OS=Homo sapiens GN=CNDP2 PE=1 SV=2</t>
  </si>
  <si>
    <t>LAKWVAIQSVSAWPE</t>
  </si>
  <si>
    <t>QVTSYLTKKFAELRSPN</t>
  </si>
  <si>
    <t>sp|Q96KV7|WDR90_HUMAN</t>
  </si>
  <si>
    <t>WD repeat-containing protein 90 OS=Homo sapiens GN=WDR90 PE=2 SV=2</t>
  </si>
  <si>
    <t>ARAPSVMRL</t>
  </si>
  <si>
    <t>sp|Q96L08|SUSD3_HUMAN</t>
  </si>
  <si>
    <t>Sushi domain-containing protein 3 OS=Homo sapiens GN=SUSD3 PE=2 SV=1</t>
  </si>
  <si>
    <t>LPPQATFQVLRGNGA</t>
  </si>
  <si>
    <t>sp|Q96L92|SNX27_HUMAN</t>
  </si>
  <si>
    <t>Sorting nexin-27 OS=Homo sapiens GN=SNX27 PE=1 SV=2</t>
  </si>
  <si>
    <t>TDQVYQAIAAKVGMDST</t>
  </si>
  <si>
    <t>sp|Q96M02|CJ090_HUMAN</t>
  </si>
  <si>
    <t>Centrosomal protein C10orf90 OS=Homo sapiens GN=C10orf90 PE=2 SV=2</t>
  </si>
  <si>
    <t>SRNSSVVRL</t>
  </si>
  <si>
    <t>sp|Q96MH7|CE034_HUMAN</t>
  </si>
  <si>
    <t>Uncharacterized protein C5orf34 OS=Homo sapiens GN=C5orf34 PE=2 SV=2</t>
  </si>
  <si>
    <t>SYPELVKMV</t>
  </si>
  <si>
    <t>sp|Q96MT1|RN145_HUMAN</t>
  </si>
  <si>
    <t>RING finger protein 145 OS=Homo sapiens GN=RNF145 PE=2 SV=2</t>
  </si>
  <si>
    <t>LRRDAVNKI</t>
  </si>
  <si>
    <t>sp|Q96MU7|YTDC1_HUMAN</t>
  </si>
  <si>
    <t>YTH domain-containing protein 1 OS=Homo sapiens GN=YTHDC1 PE=1 SV=3</t>
  </si>
  <si>
    <t>sp|Q96NB1|FOPNL_HUMAN</t>
  </si>
  <si>
    <t>LisH domain-containing protein FOPNL OS=Homo sapiens GN=FOPNL PE=1 SV=1</t>
  </si>
  <si>
    <t>sp|Q96NW7|LRRC7_HUMAN</t>
  </si>
  <si>
    <t>Leucine-rich repeat-containing protein 7 OS=Homo sapiens GN=LRRC7 PE=1 SV=1</t>
  </si>
  <si>
    <t>AGSFPVKNLT</t>
  </si>
  <si>
    <t>sp|Q96PD7|DGAT2_HUMAN</t>
  </si>
  <si>
    <t>Diacylglycerol O-acyltransferase 2 OS=Homo sapiens GN=DGAT2 PE=1 SV=2</t>
  </si>
  <si>
    <t>sp|Q96PE3|INP4A_HUMAN</t>
  </si>
  <si>
    <t>Type I inositol 3,4-bisphosphate 4-phosphatase OS=Homo sapiens GN=INPP4A PE=1 SV=1</t>
  </si>
  <si>
    <t>YRFPTTDGNHL</t>
  </si>
  <si>
    <t>sp|Q96PK6|RBM14_HUMAN</t>
  </si>
  <si>
    <t>RNA-binding protein 14 OS=Homo sapiens GN=RBM14 PE=1 SV=2</t>
  </si>
  <si>
    <t>TLAAPYRTQSSASLAAS</t>
  </si>
  <si>
    <t>TLAAPYRTQSSASLAASY</t>
  </si>
  <si>
    <t>sp|Q96PY5|FMNL2_HUMAN</t>
  </si>
  <si>
    <t>Formin-like protein 2 OS=Homo sapiens GN=FMNL2 PE=1 SV=3</t>
  </si>
  <si>
    <t>sp|Q96PZ0|PUS7_HUMAN</t>
  </si>
  <si>
    <t>Pseudouridylate synthase 7 homolog OS=Homo sapiens GN=PUS7 PE=1 SV=2</t>
  </si>
  <si>
    <t>AGKKALANPR</t>
  </si>
  <si>
    <t>sp|Q96Q06|PLIN4_HUMAN</t>
  </si>
  <si>
    <t>Perilipin-4 OS=Homo sapiens GN=PLIN4 PE=2 SV=2</t>
  </si>
  <si>
    <t>GAAKVAKGAVQ</t>
  </si>
  <si>
    <t>sp|Q96Q15|SMG1_HUMAN</t>
  </si>
  <si>
    <t>Serine/threonine-protein kinase SMG1 OS=Homo sapiens GN=SMG1 PE=1 SV=3</t>
  </si>
  <si>
    <t>sp|Q96QK1|VPS35_HUMAN</t>
  </si>
  <si>
    <t>Vacuolar protein sorting-associated protein 35 OS=Homo sapiens GN=VPS35 PE=1 SV=2</t>
  </si>
  <si>
    <t>FRYKENSKV</t>
  </si>
  <si>
    <t>sp|Q96QU8|XPO6_HUMAN</t>
  </si>
  <si>
    <t>Exportin-6 OS=Homo sapiens GN=XPO6 PE=1 SV=1</t>
  </si>
  <si>
    <t>TRNDYVMMY</t>
  </si>
  <si>
    <t>sp|Q96RL7|VP13A_HUMAN</t>
  </si>
  <si>
    <t>Vacuolar protein sorting-associated protein 13A OS=Homo sapiens GN=VPS13A PE=1 SV=2</t>
  </si>
  <si>
    <t>SPGPKQASFTDVRDPS</t>
  </si>
  <si>
    <t>HEVKLRNYVVEKVPEKLG</t>
  </si>
  <si>
    <t>sp|Q96S16|JMJD8_HUMAN</t>
  </si>
  <si>
    <t>JmjC domain-containing protein 8 OS=Homo sapiens GN=JMJD8 PE=2 SV=1</t>
  </si>
  <si>
    <t>sp|Q96SN7|ORAI2_HUMAN</t>
  </si>
  <si>
    <t>Protein orai-2 OS=Homo sapiens GN=ORAI2 PE=1 SV=1</t>
  </si>
  <si>
    <t>Deamidated(Q)@2</t>
  </si>
  <si>
    <t>sp|Q96T88|UHRF1_HUMAN; sp|Q96PU4|UHRF2_HUMAN</t>
  </si>
  <si>
    <t>E3 ubiquitin-protein ligase UHRF1 OS=Homo sapiens GN=UHRF1 PE=1 SV=1; E3 ubiquitin-protein ligase UHRF2 OS=Homo sapiens GN=UHRF2 PE=1 SV=1</t>
  </si>
  <si>
    <t>sp|Q96TA2|YMEL1_HUMAN</t>
  </si>
  <si>
    <t>ATP-dependent zinc metalloprotease YME1L1 OS=Homo sapiens GN=YME1L1 PE=1 SV=2</t>
  </si>
  <si>
    <t>GRTEILKWY</t>
  </si>
  <si>
    <t>sp|Q99439|CNN2_HUMAN</t>
  </si>
  <si>
    <t>Calponin-2 OS=Homo sapiens GN=CNN2 PE=1 SV=4</t>
  </si>
  <si>
    <t>SEKQERNFDDATMKA</t>
  </si>
  <si>
    <t>HRALKVMKM</t>
  </si>
  <si>
    <t>sp|Q99460|PSMD1_HUMAN</t>
  </si>
  <si>
    <t>26S proteasome non-ATPase regulatory subunit 1 OS=Homo sapiens GN=PSMD1 PE=1 SV=2</t>
  </si>
  <si>
    <t>VNQFRQLYSKVINDK</t>
  </si>
  <si>
    <t>sp|Q99490|AGAP2_HUMAN</t>
  </si>
  <si>
    <t>Arf-GAP with GTPase, ANK repeat and PH domain-containing protein 2 OS=Homo sapiens GN=AGAP2 PE=1 SV=2</t>
  </si>
  <si>
    <t>IRNAKGNSI</t>
  </si>
  <si>
    <t>sp|Q99497|PARK7_HUMAN</t>
  </si>
  <si>
    <t>Protein DJ-1 OS=Homo sapiens GN=PARK7 PE=1 SV=2</t>
  </si>
  <si>
    <t>LAIVEALNGKEVAAQ</t>
  </si>
  <si>
    <t>sp|Q99613|EIF3C_HUMAN; sp|B5ME19|EIFCL_HUMAN</t>
  </si>
  <si>
    <t>Eukaryotic translation initiation factor 3 subunit C OS=Homo sapiens GN=EIF3C PE=1 SV=1; Eukaryotic translation initiation factor 3 subunit C-like protein OS=Homo sapiens GN=EIF3CL PE=3 SV=1</t>
  </si>
  <si>
    <t>KAYGKAKSI</t>
  </si>
  <si>
    <t>sp|Q99615|DNJC7_HUMAN</t>
  </si>
  <si>
    <t>DnaJ homolog subfamily C member 7 OS=Homo sapiens GN=DNAJC7 PE=1 SV=2</t>
  </si>
  <si>
    <t>AQQEFKNANAVMEYEK</t>
  </si>
  <si>
    <t>TVNSKLRKL</t>
  </si>
  <si>
    <t>sp|Q99623|PHB2_HUMAN</t>
  </si>
  <si>
    <t>Prohibitin-2 OS=Homo sapiens GN=PHB2 PE=1 SV=2</t>
  </si>
  <si>
    <t>DESFTRGSDSLIKGKK</t>
  </si>
  <si>
    <t>HRAIFFNRI</t>
  </si>
  <si>
    <t>sp|Q99661|KIF2C_HUMAN</t>
  </si>
  <si>
    <t>Kinesin-like protein KIF2C OS=Homo sapiens GN=KIF2C PE=1 SV=2</t>
  </si>
  <si>
    <t>KRPLNKQEL</t>
  </si>
  <si>
    <t>sp|Q99707|METH_HUMAN</t>
  </si>
  <si>
    <t>Methionine synthase OS=Homo sapiens GN=MTR PE=1 SV=2</t>
  </si>
  <si>
    <t>sp|Q99759|M3K3_HUMAN</t>
  </si>
  <si>
    <t>Mitogen-activated protein kinase kinase kinase 3 OS=Homo sapiens GN=MAP3K3 PE=1 SV=2</t>
  </si>
  <si>
    <t>IAFSRPVKY</t>
  </si>
  <si>
    <t>LNYQHHWIVDNMPV</t>
  </si>
  <si>
    <t>sp|Q99807|COQ7_HUMAN</t>
  </si>
  <si>
    <t>Ubiquinone biosynthesis protein COQ7 homolog OS=Homo sapiens GN=COQ7 PE=1 SV=3</t>
  </si>
  <si>
    <t>sp|Q99829|CPNE1_HUMAN</t>
  </si>
  <si>
    <t>Copine-1 OS=Homo sapiens GN=CPNE1 PE=1 SV=1</t>
  </si>
  <si>
    <t>DPSSPDSLHYLSPTGVNE</t>
  </si>
  <si>
    <t>YRFETVQKLR</t>
  </si>
  <si>
    <t>sp|Q99873|ANM1_HUMAN</t>
  </si>
  <si>
    <t>Protein arginine N-methyltransferase 1 OS=Homo sapiens GN=PRMT1 PE=1 SV=2</t>
  </si>
  <si>
    <t>sp|Q99961|SH3G1_HUMAN</t>
  </si>
  <si>
    <t>Endophilin-A2 OS=Homo sapiens GN=SH3GL1 PE=1 SV=1</t>
  </si>
  <si>
    <t>LARTIEYLQPNPASRA</t>
  </si>
  <si>
    <t>sp|Q99988|GDF15_HUMAN</t>
  </si>
  <si>
    <t>Growth/differentiation factor 15 OS=Homo sapiens GN=GDF15 PE=1 SV=3</t>
  </si>
  <si>
    <t>NTDLVPAPAVRILT</t>
  </si>
  <si>
    <t>SNTDLVPAPAVRIL</t>
  </si>
  <si>
    <t>FRSLFVHKV</t>
  </si>
  <si>
    <t>sp|Q9BPZ3|PAIP2_HUMAN</t>
  </si>
  <si>
    <t>Polyadenylate-binding protein-interacting protein 2 OS=Homo sapiens GN=PAIP2 PE=1 SV=1</t>
  </si>
  <si>
    <t>DQIQDQFNDLVISDG</t>
  </si>
  <si>
    <t>sp|Q9BQ70|TCF25_HUMAN</t>
  </si>
  <si>
    <t>Transcription factor 25 OS=Homo sapiens GN=TCF25 PE=1 SV=1</t>
  </si>
  <si>
    <t>NRNQGLNRL</t>
  </si>
  <si>
    <t>sp|Q9BQA5|HINFP_HUMAN</t>
  </si>
  <si>
    <t>Histone H4 transcription factor OS=Homo sapiens GN=HINFP PE=1 SV=2</t>
  </si>
  <si>
    <t>sp|Q9BQB6|VKOR1_HUMAN</t>
  </si>
  <si>
    <t>Vitamin K epoxide reductase complex subunit 1 OS=Homo sapiens GN=VKORC1 PE=1 SV=1</t>
  </si>
  <si>
    <t>SFRKVQEPQGKAKRH</t>
  </si>
  <si>
    <t>sp|Q9BQE3|TBA1C_HUMAN; sp|Q71U36|TBA1A_HUMAN; sp|P68363|TBA1B_HUMAN</t>
  </si>
  <si>
    <t>Tubulin alpha-1C chain OS=Homo sapiens GN=TUBA1C PE=1 SV=1; Tubulin alpha-1A chain OS=Homo sapiens GN=TUBA1A PE=1 SV=1; Tubulin alpha-1B chain OS=Homo sapiens GN=TUBA1B PE=1 SV=1</t>
  </si>
  <si>
    <t>VPRAVFVDLEPTVIDEVR</t>
  </si>
  <si>
    <t>sp|Q9BQE3|TBA1C_HUMAN; sp|Q71U36|TBA1A_HUMAN; sp|P68363|TBA1B_HUMAN; sp|Q9NY65|TBA8_HUMAN</t>
  </si>
  <si>
    <t>Tubulin alpha-1C chain OS=Homo sapiens GN=TUBA1C PE=1 SV=1; Tubulin alpha-1A chain OS=Homo sapiens GN=TUBA1A PE=1 SV=1; Tubulin alpha-1B chain OS=Homo sapiens GN=TUBA1B PE=1 SV=1; Tubulin alpha-8 chain OS=Homo sapiens GN=TUBA8 PE=1 SV=1</t>
  </si>
  <si>
    <t>DHKFDLMYAKRAFVH</t>
  </si>
  <si>
    <t>sp|Q9BQE3|TBA1C_HUMAN; sp|Q71U36|TBA1A_HUMAN; sp|Q9NY65|TBA8_HUMAN</t>
  </si>
  <si>
    <t>Tubulin alpha-1C chain OS=Homo sapiens GN=TUBA1C PE=1 SV=1; Tubulin alpha-1A chain OS=Homo sapiens GN=TUBA1A PE=1 SV=1; Tubulin alpha-8 chain OS=Homo sapiens GN=TUBA8 PE=1 SV=1</t>
  </si>
  <si>
    <t>KTKRTIQFV</t>
  </si>
  <si>
    <t>sp|Q9BQG1|SYT3_HUMAN</t>
  </si>
  <si>
    <t>Synaptotagmin-3 OS=Homo sapiens GN=SYT3 PE=2 SV=1</t>
  </si>
  <si>
    <t>DLTGFSDPYVK</t>
  </si>
  <si>
    <t>sp|Q9BQI3|E2AK1_HUMAN</t>
  </si>
  <si>
    <t>Eukaryotic translation initiation factor 2-alpha kinase 1 OS=Homo sapiens GN=EIF2AK1 PE=1 SV=2</t>
  </si>
  <si>
    <t>VYKVRNKL</t>
  </si>
  <si>
    <t>sp|Q9BRJ7|SDOS_HUMAN</t>
  </si>
  <si>
    <t>Protein syndesmos OS=Homo sapiens GN=NUDT16L1 PE=1 SV=1</t>
  </si>
  <si>
    <t>MRFDGLLGF</t>
  </si>
  <si>
    <t>sp|Q9BRP7|FDXA1_HUMAN</t>
  </si>
  <si>
    <t>Ferredoxin-fold anticodon-binding domain-containing protein 1 OS=Homo sapiens GN=FDXACB1 PE=2 SV=3</t>
  </si>
  <si>
    <t>FQHPKTQQV</t>
  </si>
  <si>
    <t>sp|Q9BRY0|S39A3_HUMAN</t>
  </si>
  <si>
    <t>Zinc transporter ZIP3 OS=Homo sapiens GN=SLC39A3 PE=1 SV=2</t>
  </si>
  <si>
    <t>SRASPVRLL</t>
  </si>
  <si>
    <t>sp|Q9BSJ2|GCP2_HUMAN</t>
  </si>
  <si>
    <t>Gamma-tubulin complex component 2 OS=Homo sapiens GN=TUBGCP2 PE=1 SV=2</t>
  </si>
  <si>
    <t>FRSHVVREDL</t>
  </si>
  <si>
    <t>WYYSEERKL</t>
  </si>
  <si>
    <t>sp|Q9BT23|LIMD2_HUMAN</t>
  </si>
  <si>
    <t>LIM domain-containing protein 2 OS=Homo sapiens GN=LIMD2 PE=1 SV=1</t>
  </si>
  <si>
    <t>MFQAAGAAQATPSHD</t>
  </si>
  <si>
    <t>sp|Q9BT67|NFIP1_HUMAN</t>
  </si>
  <si>
    <t>NEDD4 family-interacting protein 1 OS=Homo sapiens GN=NDFIP1 PE=1 SV=1</t>
  </si>
  <si>
    <t>AAGRYGAISGFGLS</t>
  </si>
  <si>
    <t>AGRYGAISGFGLS</t>
  </si>
  <si>
    <t>sp|Q9BTE6|AASD1_HUMAN</t>
  </si>
  <si>
    <t>Alanyl-tRNA editing protein Aarsd1 OS=Homo sapiens GN=AARSD1 PE=1 SV=2</t>
  </si>
  <si>
    <t>sp|Q9BTL3|RAM_HUMAN</t>
  </si>
  <si>
    <t>RNMT-activating mini protein OS=Homo sapiens GN=FAM103A1 PE=1 SV=1</t>
  </si>
  <si>
    <t>YGYNQRPPYGYY</t>
  </si>
  <si>
    <t>sp|Q9BTM1|H2AJ_HUMAN</t>
  </si>
  <si>
    <t>Histone H2A.J OS=Homo sapiens GN=H2AFJ PE=1 SV=1</t>
  </si>
  <si>
    <t>VLLPKKTESQKTKSK</t>
  </si>
  <si>
    <t>sp|Q9BTU6|P4K2A_HUMAN</t>
  </si>
  <si>
    <t>Phosphatidylinositol 4-kinase type 2-alpha OS=Homo sapiens GN=PI4K2A PE=1 SV=1</t>
  </si>
  <si>
    <t>NQGYLSEAGASLVDQK</t>
  </si>
  <si>
    <t>LNQGYLSEAGASLVDQK</t>
  </si>
  <si>
    <t>sp|Q9BUJ0|ABHEA_HUMAN</t>
  </si>
  <si>
    <t>Alpha/beta hydrolase domain-containing protein 14A OS=Homo sapiens GN=ABHD14A PE=2 SV=2</t>
  </si>
  <si>
    <t>RDLEVQNAVLVSPS</t>
  </si>
  <si>
    <t>sp|Q9BUJ2|HNRL1_HUMAN</t>
  </si>
  <si>
    <t>Heterogeneous nuclear ribonucleoprotein U-like protein 1 OS=Homo sapiens GN=HNRNPUL1 PE=1 SV=2</t>
  </si>
  <si>
    <t>sp|Q9BV73|CP250_HUMAN</t>
  </si>
  <si>
    <t>Centrosome-associated protein CEP250 OS=Homo sapiens GN=CEP250 PE=1 SV=2</t>
  </si>
  <si>
    <t>HRKVGETSL</t>
  </si>
  <si>
    <t>sp|Q9BV81|EMC6_HUMAN</t>
  </si>
  <si>
    <t>ER membrane protein complex subunit 6 OS=Homo sapiens GN=EMC6 PE=1 SV=1</t>
  </si>
  <si>
    <t>EGPPFISEAAVRGNAA</t>
  </si>
  <si>
    <t>sp|Q9BVS4|RIOK2_HUMAN</t>
  </si>
  <si>
    <t>Serine/threonine-protein kinase RIO2 OS=Homo sapiens GN=RIOK2 PE=1 SV=2</t>
  </si>
  <si>
    <t>NRHAVVMEL</t>
  </si>
  <si>
    <t>sp|Q9BVV6|TALD3_HUMAN</t>
  </si>
  <si>
    <t>Protein TALPID3 OS=Homo sapiens GN=KIAA0586 PE=1 SV=4</t>
  </si>
  <si>
    <t>FYATKPKKM</t>
  </si>
  <si>
    <t>sp|Q9BWQ6|YIPF2_HUMAN</t>
  </si>
  <si>
    <t>Protein YIPF2 OS=Homo sapiens GN=YIPF2 PE=1 SV=1</t>
  </si>
  <si>
    <t>ASADELTFHEFEEATN</t>
  </si>
  <si>
    <t>sp|Q9BWU0|NADAP_HUMAN</t>
  </si>
  <si>
    <t>Kanadaptin OS=Homo sapiens GN=SLC4A1AP PE=1 SV=1</t>
  </si>
  <si>
    <t>sp|Q9BX40|LS14B_HUMAN; sp|Q8ND56|LS14A_HUMAN</t>
  </si>
  <si>
    <t>Protein LSM14 homolog B OS=Homo sapiens GN=LSM14B PE=1 SV=1; Protein LSM14 homolog A OS=Homo sapiens GN=LSM14A PE=1 SV=3</t>
  </si>
  <si>
    <t>IRYEGILYT</t>
  </si>
  <si>
    <t>sp|Q9BXL8|CDCA4_HUMAN</t>
  </si>
  <si>
    <t>Cell division cycle-associated protein 4 OS=Homo sapiens GN=CDCA4 PE=1 SV=1</t>
  </si>
  <si>
    <t>ERAPLDRLV</t>
  </si>
  <si>
    <t>sp|Q9BXS5|AP1M1_HUMAN; sp|Q9Y6Q5|AP1M2_HUMAN</t>
  </si>
  <si>
    <t>AP-1 complex subunit mu-1 OS=Homo sapiens GN=AP1M1 PE=1 SV=3; AP-1 complex subunit mu-2 OS=Homo sapiens GN=AP1M2 PE=1 SV=4</t>
  </si>
  <si>
    <t>sp|Q9BY44|EIF2A_HUMAN</t>
  </si>
  <si>
    <t>Eukaryotic translation initiation factor 2A OS=Homo sapiens GN=EIF2A PE=1 SV=3</t>
  </si>
  <si>
    <t>YYSPHGHIL</t>
  </si>
  <si>
    <t>sp|Q9BY67|CADM1_HUMAN</t>
  </si>
  <si>
    <t>Cell adhesion molecule 1 OS=Homo sapiens GN=CADM1 PE=1 SV=2</t>
  </si>
  <si>
    <t>IGKPQPVMV</t>
  </si>
  <si>
    <t>sp|Q9BYC5|FUT8_HUMAN</t>
  </si>
  <si>
    <t>Alpha-(1,6)-fucosyltransferase OS=Homo sapiens GN=FUT8 PE=1 SV=2</t>
  </si>
  <si>
    <t>ELKKLKNLEGNELQRH</t>
  </si>
  <si>
    <t>ELKKLKNLEGNELQRHA</t>
  </si>
  <si>
    <t>LKKLKNLEGNELQR</t>
  </si>
  <si>
    <t>LKKLKNLEGNELQRHA</t>
  </si>
  <si>
    <t>sp|Q9BYX4|IFIH1_HUMAN</t>
  </si>
  <si>
    <t>Interferon-induced helicase C domain-containing protein 1 OS=Homo sapiens GN=IFIH1 PE=1 SV=3</t>
  </si>
  <si>
    <t>MRHYLMQKL</t>
  </si>
  <si>
    <t>sp|Q9BZ95|NSD3_HUMAN</t>
  </si>
  <si>
    <t>Histone-lysine N-methyltransferase NSD3 OS=Homo sapiens GN=WHSC1L1 PE=1 SV=1</t>
  </si>
  <si>
    <t>SRKPPPYKHI</t>
  </si>
  <si>
    <t>sp|Q9BZJ0|CRNL1_HUMAN</t>
  </si>
  <si>
    <t>Crooked neck-like protein 1 OS=Homo sapiens GN=CRNKL1 PE=1 SV=4</t>
  </si>
  <si>
    <t>AYFAHARKV</t>
  </si>
  <si>
    <t>IGKIKAMVAQPAEK</t>
  </si>
  <si>
    <t>LIGKIKAMVAQPAEK</t>
  </si>
  <si>
    <t>FRFPHIDLV</t>
  </si>
  <si>
    <t>IGKIKAMVAQPAEKS</t>
  </si>
  <si>
    <t>sp|Q9BZX2|UCK2_HUMAN</t>
  </si>
  <si>
    <t>Uridine-cytidine kinase 2 OS=Homo sapiens GN=UCK2 PE=1 SV=1</t>
  </si>
  <si>
    <t>YRQKQVVIL</t>
  </si>
  <si>
    <t>sp|Q9C099|LRCC1_HUMAN</t>
  </si>
  <si>
    <t>Leucine-rich repeat and coiled-coil domain-containing protein 1 OS=Homo sapiens GN=LRRCC1 PE=1 SV=2</t>
  </si>
  <si>
    <t>NRIDSIHHL</t>
  </si>
  <si>
    <t>sp|Q9C0A6|SETD5_HUMAN</t>
  </si>
  <si>
    <t>SET domain-containing protein 5 OS=Homo sapiens GN=SETD5 PE=1 SV=2</t>
  </si>
  <si>
    <t>SRYLMEQNV</t>
  </si>
  <si>
    <t>sp|Q9C0C9|UBE2O_HUMAN</t>
  </si>
  <si>
    <t>E2/E3 hybrid ubiquitin-protein ligase UBE2O OS=Homo sapiens GN=UBE2O PE=1 SV=3</t>
  </si>
  <si>
    <t>RTTDIVIRI</t>
  </si>
  <si>
    <t>sp|Q9GZR2|REXO4_HUMAN</t>
  </si>
  <si>
    <t>RNA exonuclease 4 OS=Homo sapiens GN=REXO4 PE=1 SV=2</t>
  </si>
  <si>
    <t>KYKPFKSQV</t>
  </si>
  <si>
    <t>sp|Q9GZU1|MCLN1_HUMAN</t>
  </si>
  <si>
    <t>Mucolipin-1 OS=Homo sapiens GN=MCOLN1 PE=1 SV=1</t>
  </si>
  <si>
    <t>AVDQYLALPDVSLGR</t>
  </si>
  <si>
    <t>AVDQYLALPDVSLGRY</t>
  </si>
  <si>
    <t>VDQYLALPDVSLGR</t>
  </si>
  <si>
    <t>Deamidated(Q)@3</t>
  </si>
  <si>
    <t>sp|Q9H074|PAIP1_HUMAN</t>
  </si>
  <si>
    <t>Polyadenylate-binding protein-interacting protein 1 OS=Homo sapiens GN=PAIP1 PE=1 SV=1</t>
  </si>
  <si>
    <t>LEREDFFPDYEENGTD</t>
  </si>
  <si>
    <t>sp|Q9H0A0|NAT10_HUMAN</t>
  </si>
  <si>
    <t>N-acetyltransferase 10 OS=Homo sapiens GN=NAT10 PE=1 SV=2</t>
  </si>
  <si>
    <t>VSYGLTPRLL</t>
  </si>
  <si>
    <t>sp|Q9H0E2|TOLIP_HUMAN</t>
  </si>
  <si>
    <t>Toll-interacting protein OS=Homo sapiens GN=TOLLIP PE=1 SV=1</t>
  </si>
  <si>
    <t>KVEDKWYSLSGRQGDDK</t>
  </si>
  <si>
    <t>VEDKWYSLSGRQGDDKEG</t>
  </si>
  <si>
    <t>sp|Q9H0M0|WWP1_HUMAN</t>
  </si>
  <si>
    <t>NEDD4-like E3 ubiquitin-protein ligase WWP1 OS=Homo sapiens GN=WWP1 PE=1 SV=1</t>
  </si>
  <si>
    <t>DPHGRTYYVDHNTR</t>
  </si>
  <si>
    <t>sp|Q9H0P0|5NT3A_HUMAN</t>
  </si>
  <si>
    <t>Cytosolic 5'-nucleotidase 3A OS=Homo sapiens GN=NT5C3A PE=1 SV=3</t>
  </si>
  <si>
    <t>VYHPNVKVV</t>
  </si>
  <si>
    <t>YTKSHGLL</t>
  </si>
  <si>
    <t>FSATMTKKV</t>
  </si>
  <si>
    <t>sp|Q9H0V1|TM168_HUMAN</t>
  </si>
  <si>
    <t>Transmembrane protein 168 OS=Homo sapiens GN=TMEM168 PE=1 SV=2</t>
  </si>
  <si>
    <t>INDQYIAVQGAELIK</t>
  </si>
  <si>
    <t>DQYIAVQGAELIK</t>
  </si>
  <si>
    <t>INDQYIAVQGAELIKT</t>
  </si>
  <si>
    <t>INDQYIAVQGAELIKTV</t>
  </si>
  <si>
    <t>sp|Q9H0X4|ITFG3_HUMAN</t>
  </si>
  <si>
    <t>Protein ITFG3 OS=Homo sapiens GN=ITFG3 PE=1 SV=1</t>
  </si>
  <si>
    <t>GSEAFVLLDGQELTPR</t>
  </si>
  <si>
    <t>HAAYILLTGPADSEAPG</t>
  </si>
  <si>
    <t>SEAFVLLDGQELTPR</t>
  </si>
  <si>
    <t>AFVLLDGQELTPR</t>
  </si>
  <si>
    <t>AFVLLDGQELTPRWT</t>
  </si>
  <si>
    <t>EPSRHAAYILLTGPADSEAPG</t>
  </si>
  <si>
    <t>HSSGAVRYL</t>
  </si>
  <si>
    <t>SSGAVRYL</t>
  </si>
  <si>
    <t>sp|Q9H1E5|TMX4_HUMAN</t>
  </si>
  <si>
    <t>Thioredoxin-related transmembrane protein 4 OS=Homo sapiens GN=TMX4 PE=1 SV=1</t>
  </si>
  <si>
    <t>FYVPLPRHL</t>
  </si>
  <si>
    <t>sp|Q9H1H9|KI13A_HUMAN</t>
  </si>
  <si>
    <t>Kinesin-like protein KIF13A OS=Homo sapiens GN=KIF13A PE=1 SV=2</t>
  </si>
  <si>
    <t>APGSGIPGAPAD</t>
  </si>
  <si>
    <t>sp|Q9H211|CDT1_HUMAN</t>
  </si>
  <si>
    <t>DNA replication factor Cdt1 OS=Homo sapiens GN=CDT1 PE=1 SV=3</t>
  </si>
  <si>
    <t>RLPELARVL</t>
  </si>
  <si>
    <t>sp|Q9H270|VPS11_HUMAN</t>
  </si>
  <si>
    <t>Vacuolar protein sorting-associated protein 11 homolog OS=Homo sapiens GN=VPS11 PE=1 SV=1</t>
  </si>
  <si>
    <t>NYQEALRYI</t>
  </si>
  <si>
    <t>sp|Q9H2C0|GAN_HUMAN</t>
  </si>
  <si>
    <t>Gigaxonin OS=Homo sapiens GN=GAN PE=1 SV=1</t>
  </si>
  <si>
    <t>YAAMKKKIY</t>
  </si>
  <si>
    <t>sp|Q9H2D1|MFTC_HUMAN</t>
  </si>
  <si>
    <t>Mitochondrial folate transporter/carrier OS=Homo sapiens GN=SLC25A32 PE=1 SV=2</t>
  </si>
  <si>
    <t>sp|Q9H2M9|RBGPR_HUMAN</t>
  </si>
  <si>
    <t>Rab3 GTPase-activating protein non-catalytic subunit OS=Homo sapiens GN=RAB3GAP2 PE=1 SV=1</t>
  </si>
  <si>
    <t>ASQLLVLTGQRLA</t>
  </si>
  <si>
    <t>sp|Q9H3C7|GGNB2_HUMAN</t>
  </si>
  <si>
    <t>Gametogenetin-binding protein 2 OS=Homo sapiens GN=GGNBP2 PE=1 SV=1</t>
  </si>
  <si>
    <t>FIQRHGML</t>
  </si>
  <si>
    <t>sp|Q9H3S7|PTN23_HUMAN</t>
  </si>
  <si>
    <t>Tyrosine-protein phosphatase non-receptor type 23 OS=Homo sapiens GN=PTPN23 PE=1 SV=1</t>
  </si>
  <si>
    <t>GPDIFAKLVPMAAHEA</t>
  </si>
  <si>
    <t>sp|Q9H497|TOR3A_HUMAN</t>
  </si>
  <si>
    <t>Torsin-3A OS=Homo sapiens GN=TOR3A PE=1 SV=1</t>
  </si>
  <si>
    <t>NGFGHSRLV</t>
  </si>
  <si>
    <t>sp|Q9H4B4|PLK3_HUMAN</t>
  </si>
  <si>
    <t>Serine/threonine-protein kinase PLK3 OS=Homo sapiens GN=PLK3 PE=1 SV=2</t>
  </si>
  <si>
    <t>YLASHLRQL</t>
  </si>
  <si>
    <t>sp|Q9H583|HEAT1_HUMAN</t>
  </si>
  <si>
    <t>HEAT repeat-containing protein 1 OS=Homo sapiens GN=HEATR1 PE=1 SV=3</t>
  </si>
  <si>
    <t>THFPFAIRV</t>
  </si>
  <si>
    <t>sp|Q9H5L6|THAP9_HUMAN</t>
  </si>
  <si>
    <t>DNA transposase THAP9 OS=Homo sapiens GN=THAP9 PE=1 SV=2</t>
  </si>
  <si>
    <t>KVYDYVRKI</t>
  </si>
  <si>
    <t>sp|Q9H665|IGFR1_HUMAN</t>
  </si>
  <si>
    <t>IGF-like family receptor 1 OS=Homo sapiens GN=IGFLR1 PE=1 SV=1</t>
  </si>
  <si>
    <t>sp|Q9H6A9|PCX3_HUMAN; sp|Q96RV3|PCX1_HUMAN</t>
  </si>
  <si>
    <t>Pecanex-like protein 3 OS=Homo sapiens GN=PCNXL3 PE=1 SV=2; Pecanex-like protein 1 OS=Homo sapiens GN=PCNX PE=1 SV=2</t>
  </si>
  <si>
    <t>IAYSRPVYF</t>
  </si>
  <si>
    <t>sp|Q9H6Y7|RN167_HUMAN</t>
  </si>
  <si>
    <t>E3 ubiquitin-protein ligase RNF167 OS=Homo sapiens GN=RNF167 PE=1 SV=1</t>
  </si>
  <si>
    <t>FVYEKGARVL</t>
  </si>
  <si>
    <t>FVYEKGARVLLVPD</t>
  </si>
  <si>
    <t>sp|Q9H7C9|AAMDC_HUMAN</t>
  </si>
  <si>
    <t>Mth938 domain-containing protein OS=Homo sapiens GN=AAMDC PE=1 SV=1</t>
  </si>
  <si>
    <t>AVKEYNALVAQGVR</t>
  </si>
  <si>
    <t>sp|Q9H7E9|CH033_HUMAN</t>
  </si>
  <si>
    <t>UPF0488 protein C8orf33 OS=Homo sapiens GN=C8orf33 PE=1 SV=1</t>
  </si>
  <si>
    <t>AALGHLAGEAAAAPGPG</t>
  </si>
  <si>
    <t>sp|Q9H7M9|GI24_HUMAN</t>
  </si>
  <si>
    <t>Platelet receptor Gi24 OS=Homo sapiens GN=C10orf54 PE=1 SV=3</t>
  </si>
  <si>
    <t>SGRHLLSEPSTPLSPPGPG</t>
  </si>
  <si>
    <t>QPSESGRHLLSEPSTPLSPPGPG</t>
  </si>
  <si>
    <t>sp|Q9H7N4|SFR19_HUMAN</t>
  </si>
  <si>
    <t>Splicing factor, arginine/serine-rich 19 OS=Homo sapiens GN=SCAF1 PE=1 SV=3</t>
  </si>
  <si>
    <t>HRKPPSSLGM</t>
  </si>
  <si>
    <t>sp|Q9H8G1|ZN430_HUMAN</t>
  </si>
  <si>
    <t>Zinc finger protein 430 OS=Homo sapiens GN=ZNF430 PE=1 SV=3</t>
  </si>
  <si>
    <t>FSNPNIQKI</t>
  </si>
  <si>
    <t>sp|Q9H9C1|SPE39_HUMAN</t>
  </si>
  <si>
    <t>Spermatogenesis-defective protein 39 homolog OS=Homo sapiens GN=VIPAS39 PE=1 SV=1</t>
  </si>
  <si>
    <t>VNSLRDFVDDDDDDDL</t>
  </si>
  <si>
    <t>sp|Q9H9E1|ANRA2_HUMAN</t>
  </si>
  <si>
    <t>Ankyrin repeat family A protein 2 OS=Homo sapiens GN=ANKRA2 PE=1 SV=1</t>
  </si>
  <si>
    <t>GYTDIVKML</t>
  </si>
  <si>
    <t>sp|Q9H9E3|COG4_HUMAN</t>
  </si>
  <si>
    <t>Conserved oligomeric Golgi complex subunit 4 OS=Homo sapiens GN=COG4 PE=1 SV=3</t>
  </si>
  <si>
    <t>ARSELYLRF</t>
  </si>
  <si>
    <t>sp|Q9H9T3|ELP3_HUMAN</t>
  </si>
  <si>
    <t>Elongator complex protein 3 OS=Homo sapiens GN=ELP3 PE=1 SV=2</t>
  </si>
  <si>
    <t>YRLQGPYMV</t>
  </si>
  <si>
    <t>sp|Q9H9V9|JMJD4_HUMAN</t>
  </si>
  <si>
    <t>JmjC domain-containing protein 4 OS=Homo sapiens GN=JMJD4 PE=1 SV=2</t>
  </si>
  <si>
    <t>GRPDFDHLL</t>
  </si>
  <si>
    <t>sp|Q9HAC8|UBTD1_HUMAN; sp|Q8WUN7|UBTD2_HUMAN</t>
  </si>
  <si>
    <t>Ubiquitin domain-containing protein 1 OS=Homo sapiens GN=UBTD1 PE=1 SV=1; Ubiquitin domain-containing protein 2 OS=Homo sapiens GN=UBTD2 PE=1 SV=2</t>
  </si>
  <si>
    <t>RDEFWDTAPAFEGRKE</t>
  </si>
  <si>
    <t>RAAEHLRYV</t>
  </si>
  <si>
    <t>sp|Q9HB71|CYBP_HUMAN</t>
  </si>
  <si>
    <t>Calcyclin-binding protein OS=Homo sapiens GN=CACYBP PE=1 SV=2</t>
  </si>
  <si>
    <t>NGKSYSMIVNNLLKPIS</t>
  </si>
  <si>
    <t>sp|Q9HBE1|PATZ1_HUMAN</t>
  </si>
  <si>
    <t>POZ-, AT hook-, and zinc finger-containing protein 1 OS=Homo sapiens GN=PATZ1 PE=1 SV=1</t>
  </si>
  <si>
    <t>YLNKHIQKV</t>
  </si>
  <si>
    <t>sp|Q9HBG6|IF122_HUMAN</t>
  </si>
  <si>
    <t>Intraflagellar transport protein 122 homolog OS=Homo sapiens GN=IFT122 PE=1 SV=2</t>
  </si>
  <si>
    <t>MLIDIARKL</t>
  </si>
  <si>
    <t>sp|Q9HBH9|MKNK2_HUMAN</t>
  </si>
  <si>
    <t>MAP kinase-interacting serine/threonine-protein kinase 2 OS=Homo sapiens GN=MKNK2 PE=1 SV=3</t>
  </si>
  <si>
    <t>AAKDLISKL</t>
  </si>
  <si>
    <t>sp|Q9HC38|GLOD4_HUMAN</t>
  </si>
  <si>
    <t>Glyoxalase domain-containing protein 4 OS=Homo sapiens GN=GLOD4 PE=1 SV=1</t>
  </si>
  <si>
    <t>NRFQTARFY</t>
  </si>
  <si>
    <t>sp|Q9HC98|NEK6_HUMAN</t>
  </si>
  <si>
    <t>Serine/threonine-protein kinase Nek6 OS=Homo sapiens GN=NEK6 PE=1 SV=2</t>
  </si>
  <si>
    <t>HYSEKLREL</t>
  </si>
  <si>
    <t>NHPNIIKYL</t>
  </si>
  <si>
    <t>sp|Q9HCC0|MCCB_HUMAN</t>
  </si>
  <si>
    <t>Methylcrotonoyl-CoA carboxylase beta chain, mitochondrial OS=Homo sapiens GN=MCCC2 PE=1 SV=1</t>
  </si>
  <si>
    <t>KRSFDVREV</t>
  </si>
  <si>
    <t>sp|Q9HCE1|MOV10_HUMAN</t>
  </si>
  <si>
    <t>Putative helicase MOV-10 OS=Homo sapiens GN=MOV10 PE=1 SV=2</t>
  </si>
  <si>
    <t>YVFPAKKKL</t>
  </si>
  <si>
    <t>sp|Q9HCG1|ZN160_HUMAN</t>
  </si>
  <si>
    <t>Zinc finger protein 160 OS=Homo sapiens GN=ZNF160 PE=2 SV=3</t>
  </si>
  <si>
    <t>HRSKKYHEL</t>
  </si>
  <si>
    <t>sp|Q9HCJ1|ANKH_HUMAN</t>
  </si>
  <si>
    <t>Progressive ankylosis protein homolog OS=Homo sapiens GN=ANKH PE=1 SV=2</t>
  </si>
  <si>
    <t>LKKTFVLAPSSVLRII</t>
  </si>
  <si>
    <t>sp|Q9HD20|AT131_HUMAN</t>
  </si>
  <si>
    <t>Manganese-transporting ATPase 13A1 OS=Homo sapiens GN=ATP13A1 PE=1 SV=2</t>
  </si>
  <si>
    <t>IAAPFTSKL</t>
  </si>
  <si>
    <t>sp|Q9HD36|B2L10_HUMAN</t>
  </si>
  <si>
    <t>Bcl-2-like protein 10 OS=Homo sapiens GN=BCL2L10 PE=1 SV=2</t>
  </si>
  <si>
    <t>FRTPFPLAF</t>
  </si>
  <si>
    <t>sp|Q9NP50|FA60A_HUMAN</t>
  </si>
  <si>
    <t>Protein FAM60A OS=Homo sapiens GN=FAM60A PE=1 SV=1</t>
  </si>
  <si>
    <t>SRFTDSKRY</t>
  </si>
  <si>
    <t>sp|Q9NP73|ALG13_HUMAN</t>
  </si>
  <si>
    <t>Putative bifunctional UDP-N-acetylglucosamine transferase and deubiquitinase ALG13 OS=Homo sapiens GN=ALG13 PE=1 SV=2</t>
  </si>
  <si>
    <t>YRFPGKPPTY</t>
  </si>
  <si>
    <t>sp|Q9NPD8|UBE2T_HUMAN</t>
  </si>
  <si>
    <t>Ubiquitin-conjugating enzyme E2 T OS=Homo sapiens GN=UBE2T PE=1 SV=1</t>
  </si>
  <si>
    <t>FKYNKPAFL</t>
  </si>
  <si>
    <t>sp|Q9NQ29|LUC7L_HUMAN</t>
  </si>
  <si>
    <t>Putative RNA-binding protein Luc7-like 1 OS=Homo sapiens GN=LUC7L PE=1 SV=1</t>
  </si>
  <si>
    <t>AKAEKVHEL</t>
  </si>
  <si>
    <t>sp|Q9NQ34|TMM9B_HUMAN</t>
  </si>
  <si>
    <t>Transmembrane protein 9B OS=Homo sapiens GN=TMEM9B PE=1 SV=1</t>
  </si>
  <si>
    <t>SRANVLNKVEY</t>
  </si>
  <si>
    <t>SRANVLNKVEYAQ</t>
  </si>
  <si>
    <t>sp|Q9NQC3|RTN4_HUMAN</t>
  </si>
  <si>
    <t>Reticulon-4 OS=Homo sapiens GN=RTN4 PE=1 SV=2</t>
  </si>
  <si>
    <t>IDHYLGLANKNVKDA</t>
  </si>
  <si>
    <t>sp|Q9NQP4|PFD4_HUMAN</t>
  </si>
  <si>
    <t>Prefoldin subunit 4 OS=Homo sapiens GN=PFDN4 PE=1 SV=1</t>
  </si>
  <si>
    <t>SRVESIQRV</t>
  </si>
  <si>
    <t>sp|Q9NQR4|NIT2_HUMAN</t>
  </si>
  <si>
    <t>Omega-amidase NIT2 OS=Homo sapiens GN=NIT2 PE=1 SV=1</t>
  </si>
  <si>
    <t>VPGKITFQESKTLSPG</t>
  </si>
  <si>
    <t>VPGKITFQESKTLSPGDS</t>
  </si>
  <si>
    <t>GAKYFPEYAEKIPGES</t>
  </si>
  <si>
    <t>SPYGAKYFPEYAEKIPGES</t>
  </si>
  <si>
    <t>VDNQVYVATASPARDDK</t>
  </si>
  <si>
    <t>sp|Q9NQS7|INCE_HUMAN</t>
  </si>
  <si>
    <t>Inner centromere protein OS=Homo sapiens GN=INCENP PE=1 SV=3</t>
  </si>
  <si>
    <t>ASKLRIAQV</t>
  </si>
  <si>
    <t>sp|Q9NQX7|ITM2C_HUMAN</t>
  </si>
  <si>
    <t>Integral membrane protein 2C OS=Homo sapiens GN=ITM2C PE=1 SV=1</t>
  </si>
  <si>
    <t>DFQRGLTAYHDISLDK</t>
  </si>
  <si>
    <t>sp|Q9NR09|BIRC6_HUMAN</t>
  </si>
  <si>
    <t>Baculoviral IAP repeat-containing protein 6 OS=Homo sapiens GN=BIRC6 PE=1 SV=2</t>
  </si>
  <si>
    <t>LRNDSVLDM</t>
  </si>
  <si>
    <t>sp|Q9NR81|ARHG3_HUMAN</t>
  </si>
  <si>
    <t>Rho guanine nucleotide exchange factor 3 OS=Homo sapiens GN=ARHGEF3 PE=2 SV=1</t>
  </si>
  <si>
    <t>sp|Q9NRH3|TBG2_HUMAN; sp|P23258|TBG1_HUMAN</t>
  </si>
  <si>
    <t>Tubulin gamma-2 chain OS=Homo sapiens GN=TUBG2 PE=1 SV=1; Tubulin gamma-1 chain OS=Homo sapiens GN=TUBG1 PE=1 SV=2</t>
  </si>
  <si>
    <t>VASVRKTTV</t>
  </si>
  <si>
    <t>sp|Q9NRJ7|PCDBG_HUMAN</t>
  </si>
  <si>
    <t>Protocadherin beta-16 OS=Homo sapiens GN=PCDHB16 PE=1 SV=3</t>
  </si>
  <si>
    <t>ANGKISYTLFQPSEDIS</t>
  </si>
  <si>
    <t>sp|Q9NRR2|TRYG1_HUMAN</t>
  </si>
  <si>
    <t>Tryptase gamma OS=Homo sapiens GN=TPSG1 PE=2 SV=3</t>
  </si>
  <si>
    <t>GGSESGYPRLPLL</t>
  </si>
  <si>
    <t>sp|Q9NRR4|RNC_HUMAN</t>
  </si>
  <si>
    <t>Ribonuclease 3 OS=Homo sapiens GN=DROSHA PE=1 SV=2</t>
  </si>
  <si>
    <t>VIFTHVRLL</t>
  </si>
  <si>
    <t>sp|Q9NRS6|SNX15_HUMAN</t>
  </si>
  <si>
    <t>Sorting nexin-15 OS=Homo sapiens GN=SNX15 PE=1 SV=1</t>
  </si>
  <si>
    <t>KRAEEILRL</t>
  </si>
  <si>
    <t>sp|Q9NRW7|VPS45_HUMAN</t>
  </si>
  <si>
    <t>Vacuolar protein sorting-associated protein 45 OS=Homo sapiens GN=VPS45 PE=1 SV=1</t>
  </si>
  <si>
    <t>NYPQFKKMSGTVSKH</t>
  </si>
  <si>
    <t>Sperm protein associated with the nucleus on the X chromosome B/F OS=Homo sapiens GN=SPANXB1 PE=2 SV=1</t>
  </si>
  <si>
    <t>PDQMEEEEFIEITTERPKK</t>
  </si>
  <si>
    <t>sp|Q9NS69|TOM22_HUMAN</t>
  </si>
  <si>
    <t>Mitochondrial import receptor subunit TOM22 homolog OS=Homo sapiens GN=TOMM22 PE=1 SV=3</t>
  </si>
  <si>
    <t>AAAVAAAGAGEPQSPDELLPKGDAEKPEE</t>
  </si>
  <si>
    <t>Acetyl@N-term; Deamidated(Q)@13</t>
  </si>
  <si>
    <t>sp|Q9NS93|TM7S3_HUMAN</t>
  </si>
  <si>
    <t>Transmembrane 7 superfamily member 3 OS=Homo sapiens GN=TM7SF3 PE=2 SV=1</t>
  </si>
  <si>
    <t>FETTIKFAPANLGYARGVDPPP</t>
  </si>
  <si>
    <t>ETTIKFAPANLGYARGVD</t>
  </si>
  <si>
    <t>ETTIKFAPANLGYARGVDPPP</t>
  </si>
  <si>
    <t>FETTIKFAPANLGYARGVD</t>
  </si>
  <si>
    <t>FHRAFTNVPFQTND</t>
  </si>
  <si>
    <t>HRAFTNVPFQTND</t>
  </si>
  <si>
    <t>HRAFTNVPFQTNDF</t>
  </si>
  <si>
    <t>sp|Q9NSI6|BRWD1_HUMAN</t>
  </si>
  <si>
    <t>Bromodomain and WD repeat-containing protein 1 OS=Homo sapiens GN=BRWD1 PE=1 SV=4</t>
  </si>
  <si>
    <t>LYFLIARYL</t>
  </si>
  <si>
    <t>sp|Q9NSP4|CENPM_HUMAN</t>
  </si>
  <si>
    <t>Centromere protein M OS=Homo sapiens GN=CENPM PE=1 SV=1</t>
  </si>
  <si>
    <t>FRATMAQRL</t>
  </si>
  <si>
    <t>sp|Q9NT68|TEN2_HUMAN</t>
  </si>
  <si>
    <t>Teneurin-2 OS=Homo sapiens GN=TENM2 PE=1 SV=3</t>
  </si>
  <si>
    <t>HNQAFMALEGQVITKK</t>
  </si>
  <si>
    <t>IHSALESASAIAISHTG</t>
  </si>
  <si>
    <t>sp|Q9NU22|MDN1_HUMAN</t>
  </si>
  <si>
    <t>Midasin OS=Homo sapiens GN=MDN1 PE=1 SV=2</t>
  </si>
  <si>
    <t>YSHPHVRLL</t>
  </si>
  <si>
    <t>ASQAFAAQRGLAVLK</t>
  </si>
  <si>
    <t>FYQNHRRYV</t>
  </si>
  <si>
    <t>sp|Q9NVI1|FANCI_HUMAN</t>
  </si>
  <si>
    <t>Fanconi anemia group I protein OS=Homo sapiens GN=FANCI PE=1 SV=4</t>
  </si>
  <si>
    <t>VTVPSGELRHV</t>
  </si>
  <si>
    <t>sp|Q9NVR2|INT10_HUMAN</t>
  </si>
  <si>
    <t>Integrator complex subunit 10 OS=Homo sapiens GN=INTS10 PE=1 SV=2</t>
  </si>
  <si>
    <t>AKYKNQVVY</t>
  </si>
  <si>
    <t>sp|Q9NVS9|PNPO_HUMAN</t>
  </si>
  <si>
    <t>Pyridoxine-5'-phosphate oxidase OS=Homo sapiens GN=PNPO PE=1 SV=1</t>
  </si>
  <si>
    <t>NEELEQLYQDQEVPK</t>
  </si>
  <si>
    <t>sp|Q9NWW9|HRSL2_HUMAN</t>
  </si>
  <si>
    <t>HRAS-like suppressor 2 OS=Homo sapiens GN=HRASLS2 PE=1 SV=1</t>
  </si>
  <si>
    <t>HDDRYTPLPSNKIVKR</t>
  </si>
  <si>
    <t>sp|Q9NX55|HYPK_HUMAN</t>
  </si>
  <si>
    <t>Huntingtin-interacting protein K OS=Homo sapiens GN=HYPK PE=1 SV=2</t>
  </si>
  <si>
    <t>SRAAAERSL</t>
  </si>
  <si>
    <t>sp|Q9NXE4|NSMA3_HUMAN</t>
  </si>
  <si>
    <t>Sphingomyelin phosphodiesterase 4 OS=Homo sapiens GN=SMPD4 PE=1 SV=2</t>
  </si>
  <si>
    <t>YKFDFPVSY</t>
  </si>
  <si>
    <t>ARTELYRSL</t>
  </si>
  <si>
    <t>sp|Q9NYA4|MTMR4_HUMAN</t>
  </si>
  <si>
    <t>Myotubularin-related protein 4 OS=Homo sapiens GN=MTMR4 PE=1 SV=2</t>
  </si>
  <si>
    <t>DALIAISNYRLH</t>
  </si>
  <si>
    <t>PEGSETSFVDSGVGGPQ</t>
  </si>
  <si>
    <t>sp|Q9NYY8|FAKD2_HUMAN</t>
  </si>
  <si>
    <t>FAST kinase domain-containing protein 2 OS=Homo sapiens GN=FASTKD2 PE=1 SV=1</t>
  </si>
  <si>
    <t>QSTDIIRYLF</t>
  </si>
  <si>
    <t>MRHVIVKAY</t>
  </si>
  <si>
    <t>sp|Q9NZJ5|E2AK3_HUMAN</t>
  </si>
  <si>
    <t>Eukaryotic translation initiation factor 2-alpha kinase 3 OS=Homo sapiens GN=EIF2AK3 PE=1 SV=3</t>
  </si>
  <si>
    <t>YSGKVRYI</t>
  </si>
  <si>
    <t>sp|Q9NZT1|CALL5_HUMAN</t>
  </si>
  <si>
    <t>Calmodulin-like protein 5 OS=Homo sapiens GN=CALML5 PE=1 SV=2</t>
  </si>
  <si>
    <t>ADVDQDGRVNYEE</t>
  </si>
  <si>
    <t>ADVDQDGRVNYEEF</t>
  </si>
  <si>
    <t>AMIREADVDQDGRVNYEE</t>
  </si>
  <si>
    <t>AMIREADVDQDGRVNYEEF</t>
  </si>
  <si>
    <t>DAMIREADVDQDGRVNYEE</t>
  </si>
  <si>
    <t>DVDQDGRVNYE</t>
  </si>
  <si>
    <t>DVDQDGRVNYEE</t>
  </si>
  <si>
    <t>DVDQDGRVNYEEF</t>
  </si>
  <si>
    <t>IREADVDQDGRVN</t>
  </si>
  <si>
    <t>IREADVDQDGRVNYE</t>
  </si>
  <si>
    <t>IREADVDQDGRVNYEE</t>
  </si>
  <si>
    <t>IREADVDQDGRVNYEEF</t>
  </si>
  <si>
    <t>LTAAKKARAGLEDL</t>
  </si>
  <si>
    <t>LTAAKKARAGLEDLQ</t>
  </si>
  <si>
    <t>LTAAKKARAGLEDLQVA</t>
  </si>
  <si>
    <t>MIREADVDQDGRVNYE</t>
  </si>
  <si>
    <t>MIREADVDQDGRVNYEE</t>
  </si>
  <si>
    <t>MIREADVDQDGRVNYEEF</t>
  </si>
  <si>
    <t>VDQDGRVNYEE</t>
  </si>
  <si>
    <t>VDQDGRVNYEEF</t>
  </si>
  <si>
    <t>AGELTPEEEAQYKKA</t>
  </si>
  <si>
    <t>sp|Q9NZZ3|CHMP5_HUMAN</t>
  </si>
  <si>
    <t>Charged multivesicular body protein 5 OS=Homo sapiens GN=CHMP5 PE=1 SV=1</t>
  </si>
  <si>
    <t>AQQSFNMEQANYTIQ</t>
  </si>
  <si>
    <t>sp|Q9P032|NDUF4_HUMAN</t>
  </si>
  <si>
    <t>NADH dehydrogenase [ubiquinone] 1 alpha subcomplex assembly factor 4 OS=Homo sapiens GN=NDUFAF4 PE=1 SV=1</t>
  </si>
  <si>
    <t>EVEIFPPEDKKAIRSK</t>
  </si>
  <si>
    <t>sp|Q9P0I2|EMC3_HUMAN</t>
  </si>
  <si>
    <t>ER membrane protein complex subunit 3 OS=Homo sapiens GN=EMC3 PE=1 SV=3</t>
  </si>
  <si>
    <t>TKVPFPLTL</t>
  </si>
  <si>
    <t>sp|Q9P0S9|TM14C_HUMAN</t>
  </si>
  <si>
    <t>Transmembrane protein 14C OS=Homo sapiens GN=TMEM14C PE=1 SV=1</t>
  </si>
  <si>
    <t>FGSLAGLGAYQLSQDPR</t>
  </si>
  <si>
    <t>sp|Q9P107|GMIP_HUMAN</t>
  </si>
  <si>
    <t>GEM-interacting protein OS=Homo sapiens GN=GMIP PE=1 SV=2</t>
  </si>
  <si>
    <t>IVSHVRKL</t>
  </si>
  <si>
    <t>sp|Q9P253|VPS18_HUMAN</t>
  </si>
  <si>
    <t>Vacuolar protein sorting-associated protein 18 homolog OS=Homo sapiens GN=VPS18 PE=1 SV=2</t>
  </si>
  <si>
    <t>NRFDLAKEY</t>
  </si>
  <si>
    <t>sp|Q9P2K5|MYEF2_HUMAN</t>
  </si>
  <si>
    <t>Myelin expression factor 2 OS=Homo sapiens GN=MYEF2 PE=1 SV=3</t>
  </si>
  <si>
    <t>SPEFFTVLHSNPSAYR</t>
  </si>
  <si>
    <t>sp|Q9P2Z0|THA10_HUMAN</t>
  </si>
  <si>
    <t>THAP domain-containing protein 10 OS=Homo sapiens GN=THAP10 PE=2 SV=1</t>
  </si>
  <si>
    <t>FRFPKDRAV</t>
  </si>
  <si>
    <t>sp|Q9UBB4|ATX10_HUMAN</t>
  </si>
  <si>
    <t>Ataxin-10 OS=Homo sapiens GN=ATXN10 PE=1 SV=1</t>
  </si>
  <si>
    <t>RVIDLLRVI</t>
  </si>
  <si>
    <t>sp|Q9UBF8|PI4KB_HUMAN</t>
  </si>
  <si>
    <t>Phosphatidylinositol 4-kinase beta OS=Homo sapiens GN=PI4KB PE=1 SV=1</t>
  </si>
  <si>
    <t>sp|Q9UBH6|XPR1_HUMAN</t>
  </si>
  <si>
    <t>Xenotropic and polytropic retrovirus receptor 1 OS=Homo sapiens GN=XPR1 PE=1 SV=1</t>
  </si>
  <si>
    <t>DQTLLEQMMDQDDGVR</t>
  </si>
  <si>
    <t>HRKGYLRYV</t>
  </si>
  <si>
    <t>sp|Q9UBR2|CATZ_HUMAN</t>
  </si>
  <si>
    <t>Cathepsin Z OS=Homo sapiens GN=CTSZ PE=1 SV=1</t>
  </si>
  <si>
    <t>INHVVSVAGWGISD</t>
  </si>
  <si>
    <t>Dioxidation(W)@10</t>
  </si>
  <si>
    <t>sp|Q9UBU8|MO4L1_HUMAN; sp|Q15014|MO4L2_HUMAN</t>
  </si>
  <si>
    <t>Mortality factor 4-like protein 1 OS=Homo sapiens GN=MORF4L1 PE=1 SV=2; Mortality factor 4-like protein 2 OS=Homo sapiens GN=MORF4L2 PE=1 SV=1</t>
  </si>
  <si>
    <t>sp|Q9UBU9|NXF1_HUMAN</t>
  </si>
  <si>
    <t>Nuclear RNA export factor 1 OS=Homo sapiens GN=NXF1 PE=1 SV=1</t>
  </si>
  <si>
    <t>ERFPKLLRL</t>
  </si>
  <si>
    <t>sp|Q9UDV7|ZN282_HUMAN</t>
  </si>
  <si>
    <t>Zinc finger protein 282 OS=Homo sapiens GN=ZNF282 PE=2 SV=3</t>
  </si>
  <si>
    <t>NRNFWVLRL</t>
  </si>
  <si>
    <t>sp|Q9UDX5|MTFP1_HUMAN</t>
  </si>
  <si>
    <t>Mitochondrial fission process protein 1 OS=Homo sapiens GN=MTFP1 PE=1 SV=1</t>
  </si>
  <si>
    <t>IIHEIAVLEL</t>
  </si>
  <si>
    <t>sp|Q9UFD9|RIM3A_HUMAN; sp|A6NNM3|RIM3B_HUMAN; sp|A6NJZ7|RIM3C_HUMAN</t>
  </si>
  <si>
    <t>RIMS-binding protein 3A OS=Homo sapiens GN=RIMBP3 PE=1 SV=4; RIMS-binding protein 3B OS=Homo sapiens GN=RIMBP3B PE=2 SV=3; RIMS-binding protein 3C OS=Homo sapiens GN=RIMBP3C PE=1 SV=3</t>
  </si>
  <si>
    <t>sp|Q9UGH3|S23A2_HUMAN</t>
  </si>
  <si>
    <t>Solute carrier family 23 member 2 OS=Homo sapiens GN=SLC23A2 PE=1 SV=1</t>
  </si>
  <si>
    <t>TPTVALIGLSGFQAAGER</t>
  </si>
  <si>
    <t>sp|Q9UGI6|KCNN3_HUMAN</t>
  </si>
  <si>
    <t>Small conductance calcium-activated potassium channel protein 3 OS=Homo sapiens GN=KCNN3 PE=2 SV=1</t>
  </si>
  <si>
    <t>MTYERILYI</t>
  </si>
  <si>
    <t>sp|Q9UGQ3|GTR6_HUMAN</t>
  </si>
  <si>
    <t>Solute carrier family 2, facilitated glucose transporter member 6 OS=Homo sapiens GN=SLC2A6 PE=1 SV=2</t>
  </si>
  <si>
    <t>IPVYVSEIAPPGVRG</t>
  </si>
  <si>
    <t>AAGYALMAGAHGLW</t>
  </si>
  <si>
    <t>sp|Q9UHA4|LTOR3_HUMAN</t>
  </si>
  <si>
    <t>Ragulator complex protein LAMTOR3 OS=Homo sapiens GN=LAMTOR3 PE=1 SV=1</t>
  </si>
  <si>
    <t>KKLPSVEGLHAIVVSDR</t>
  </si>
  <si>
    <t>LPSVEGLHAIVVSDRDG</t>
  </si>
  <si>
    <t>ADDLKRFLYKKLPSVEGLH</t>
  </si>
  <si>
    <t>sp|Q9UHC6|CNTP2_HUMAN</t>
  </si>
  <si>
    <t>Contactin-associated protein-like 2 OS=Homo sapiens GN=CNTNAP2 PE=1 SV=1</t>
  </si>
  <si>
    <t>TRHEKTIFL</t>
  </si>
  <si>
    <t>sp|Q9UHL4|DPP2_HUMAN</t>
  </si>
  <si>
    <t>Dipeptidyl peptidase 2 OS=Homo sapiens GN=DPP7 PE=1 SV=3</t>
  </si>
  <si>
    <t>YPTDFLGPLPANPVKVG</t>
  </si>
  <si>
    <t>YPYPTDFLGPLPANPVKVG</t>
  </si>
  <si>
    <t>sp|Q9UHV7|MED13_HUMAN</t>
  </si>
  <si>
    <t>Mediator of RNA polymerase II transcription subunit 13 OS=Homo sapiens GN=MED13 PE=1 SV=3</t>
  </si>
  <si>
    <t>FSNIRTNDV</t>
  </si>
  <si>
    <t>sp|Q9UHX1|PUF60_HUMAN</t>
  </si>
  <si>
    <t>Poly(U)-binding-splicing factor PUF60 OS=Homo sapiens GN=PUF60 PE=1 SV=1</t>
  </si>
  <si>
    <t>ARHMVMQKL</t>
  </si>
  <si>
    <t>sp|Q9UI12|VATH_HUMAN</t>
  </si>
  <si>
    <t>V-type proton ATPase subunit H OS=Homo sapiens GN=ATP6V1H PE=1 SV=1</t>
  </si>
  <si>
    <t>VPTNIIAAKAAEVRAN</t>
  </si>
  <si>
    <t>sp|Q9UID3|VPS51_HUMAN</t>
  </si>
  <si>
    <t>Vacuolar protein sorting-associated protein 51 homolog OS=Homo sapiens GN=VPS51 PE=1 SV=2</t>
  </si>
  <si>
    <t>GAYGQAVRY</t>
  </si>
  <si>
    <t>sp|Q9UII4|HERC5_HUMAN</t>
  </si>
  <si>
    <t>E3 ISG15--protein ligase HERC5 OS=Homo sapiens GN=HERC5 PE=1 SV=2</t>
  </si>
  <si>
    <t>SYVNLKRTI</t>
  </si>
  <si>
    <t>sp|Q9UIQ6|LCAP_HUMAN</t>
  </si>
  <si>
    <t>Leucyl-cystinyl aminopeptidase OS=Homo sapiens GN=LNPEP PE=1 SV=3</t>
  </si>
  <si>
    <t>SNEKKYFAATQFEPLAAR</t>
  </si>
  <si>
    <t>AATQFEPLAARSAF</t>
  </si>
  <si>
    <t>AATQFEPLAARSAFP</t>
  </si>
  <si>
    <t>sp|Q9UJ98|STAG3_HUMAN; sp|P0CL85|ST3L3_HUMAN; sp|P0CL84|ST3L2_HUMAN; sp|P0CL83|ST3L1_HUMAN</t>
  </si>
  <si>
    <t>Cohesin subunit SA-3 OS=Homo sapiens GN=STAG3 PE=1 SV=2; STAG3-like protein 3 OS=Homo sapiens GN=STAG3L3 PE=2 SV=1; Putative STAG3-like protein 2 OS=Homo sapiens GN=STAG3L2 PE=5 SV=1; Putative STAG3-like protein 1 OS=Homo sapiens GN=STAG3L1 PE=5 SV=1</t>
  </si>
  <si>
    <t>VAVEAVRLL</t>
  </si>
  <si>
    <t>sp|Q9UJF2|NGAP_HUMAN</t>
  </si>
  <si>
    <t>Ras GTPase-activating protein nGAP OS=Homo sapiens GN=RASAL2 PE=1 SV=2</t>
  </si>
  <si>
    <t>TSFRLPSL</t>
  </si>
  <si>
    <t>sp|Q9UJG1|MSPD1_HUMAN</t>
  </si>
  <si>
    <t>Motile sperm domain-containing protein 1 OS=Homo sapiens GN=MOSPD1 PE=2 SV=1</t>
  </si>
  <si>
    <t>TPNKYVVVDAAGAVK</t>
  </si>
  <si>
    <t>sp|Q9UJJ9|GNPTG_HUMAN</t>
  </si>
  <si>
    <t>N-acetylglucosamine-1-phosphotransferase subunit gamma OS=Homo sapiens GN=GNPTG PE=1 SV=1</t>
  </si>
  <si>
    <t>AAGLARLL</t>
  </si>
  <si>
    <t>sp|Q9UKP6|UR2R_HUMAN</t>
  </si>
  <si>
    <t>Urotensin-2 receptor OS=Homo sapiens GN=UTS2R PE=1 SV=1</t>
  </si>
  <si>
    <t>SPQPTDSLVLAPAAPARPAPE</t>
  </si>
  <si>
    <t>sp|Q9UL25|RAB21_HUMAN</t>
  </si>
  <si>
    <t>Ras-related protein Rab-21 OS=Homo sapiens GN=RAB21 PE=1 SV=3</t>
  </si>
  <si>
    <t>NDKHITTLQASFLTKK</t>
  </si>
  <si>
    <t>sp|Q9UL45|BL1S6_HUMAN</t>
  </si>
  <si>
    <t>Biogenesis of lysosome-related organelles complex 1 subunit 6 OS=Homo sapiens GN=BLOC1S6 PE=1 SV=1</t>
  </si>
  <si>
    <t>AKHYHAKLV</t>
  </si>
  <si>
    <t>sp|Q9UL46|PSME2_HUMAN</t>
  </si>
  <si>
    <t>Proteasome activator complex subunit 2 OS=Homo sapiens GN=PSME2 PE=1 SV=4</t>
  </si>
  <si>
    <t>AAYGELRAM</t>
  </si>
  <si>
    <t>EKIVNPKGEEKPSMY</t>
  </si>
  <si>
    <t>ISKYFSERGDAVAK</t>
  </si>
  <si>
    <t>sp|Q9ULC8|ZDHC8_HUMAN</t>
  </si>
  <si>
    <t>Probable palmitoyltransferase ZDHHC8 OS=Homo sapiens GN=ZDHHC8 PE=1 SV=3</t>
  </si>
  <si>
    <t>APSSYSLQQASVLSEGPR</t>
  </si>
  <si>
    <t>DAPSSYSLQQASVLSEGPR</t>
  </si>
  <si>
    <t>sp|Q9ULG6|CCPG1_HUMAN</t>
  </si>
  <si>
    <t>Cell cycle progression protein 1 OS=Homo sapiens GN=CCPG1 PE=2 SV=3</t>
  </si>
  <si>
    <t>RGELQQLSGSQLHG</t>
  </si>
  <si>
    <t>RGELQQLSGSQLHGK</t>
  </si>
  <si>
    <t>sp|Q9ULH0|KDIS_HUMAN</t>
  </si>
  <si>
    <t>Kinase D-interacting substrate of 220 kDa OS=Homo sapiens GN=KIDINS220 PE=1 SV=3</t>
  </si>
  <si>
    <t>TDVVELLLSHGANPSVT</t>
  </si>
  <si>
    <t>sp|Q9ULJ7|ANR50_HUMAN</t>
  </si>
  <si>
    <t>Ankyrin repeat domain-containing protein 50 OS=Homo sapiens GN=ANKRD50 PE=1 SV=4</t>
  </si>
  <si>
    <t>AAFEGHRLI</t>
  </si>
  <si>
    <t>sp|Q9ULK4|MED23_HUMAN</t>
  </si>
  <si>
    <t>Mediator of RNA polymerase II transcription subunit 23 OS=Homo sapiens GN=MED23 PE=1 SV=2</t>
  </si>
  <si>
    <t>sp|Q9UM54|MYO6_HUMAN</t>
  </si>
  <si>
    <t>Unconventional myosin-VI OS=Homo sapiens GN=MYO6 PE=1 SV=4</t>
  </si>
  <si>
    <t>YSSEAIKSY</t>
  </si>
  <si>
    <t>sp|Q9UMR2|DD19B_HUMAN; sp|Q9NUU7|DD19A_HUMAN</t>
  </si>
  <si>
    <t>ATP-dependent RNA helicase DDX19B OS=Homo sapiens GN=DDX19B PE=1 SV=1; ATP-dependent RNA helicase DDX19A OS=Homo sapiens GN=DDX19A PE=1 SV=1</t>
  </si>
  <si>
    <t>DPNSPLYSVKSFEELR</t>
  </si>
  <si>
    <t>sp|Q9UMW8|UBP18_HUMAN</t>
  </si>
  <si>
    <t>Ubl carboxyl-terminal hydrolase 18 OS=Homo sapiens GN=USP18 PE=1 SV=1</t>
  </si>
  <si>
    <t>MNVDFTRIL</t>
  </si>
  <si>
    <t>sp|Q9UMX0|UBQL1_HUMAN</t>
  </si>
  <si>
    <t>Ubiquilin-1 OS=Homo sapiens GN=UBQLN1 PE=1 SV=2</t>
  </si>
  <si>
    <t>QRNPEISHM</t>
  </si>
  <si>
    <t>sp|Q9UMY4|SNX12_HUMAN</t>
  </si>
  <si>
    <t>Sorting nexin-12 OS=Homo sapiens GN=SNX12 PE=1 SV=3</t>
  </si>
  <si>
    <t>LEQFINKIAGHPLAQN</t>
  </si>
  <si>
    <t>EQFINKIAGHPLAQN</t>
  </si>
  <si>
    <t>LEQFINKIAGHPLAQNE</t>
  </si>
  <si>
    <t>sp|Q9UNK0|STX8_HUMAN</t>
  </si>
  <si>
    <t>Syntaxin-8 OS=Homo sapiens GN=STX8 PE=1 SV=2</t>
  </si>
  <si>
    <t>STCQIAQEIAEKIQQR</t>
  </si>
  <si>
    <t>sp|Q9UNL2|SSRG_HUMAN</t>
  </si>
  <si>
    <t>Translocon-associated protein subunit gamma OS=Homo sapiens GN=SSR3 PE=1 SV=1</t>
  </si>
  <si>
    <t>VSKEVTRKL</t>
  </si>
  <si>
    <t>sp|Q9UP38|FZD1_HUMAN</t>
  </si>
  <si>
    <t>Frizzled-1 OS=Homo sapiens GN=FZD1 PE=1 SV=2</t>
  </si>
  <si>
    <t>LNNVDALRGFVLAPL</t>
  </si>
  <si>
    <t>sp|Q9UP38|FZD1_HUMAN; sp|Q14332|FZD2_HUMAN; sp|O75084|FZD7_HUMAN</t>
  </si>
  <si>
    <t>Frizzled-1 OS=Homo sapiens GN=FZD1 PE=1 SV=2; Frizzled-2 OS=Homo sapiens GN=FZD2 PE=2 SV=1; Frizzled-7 OS=Homo sapiens GN=FZD7 PE=1 SV=2</t>
  </si>
  <si>
    <t>DAGLEVHQFYPLVKVQ</t>
  </si>
  <si>
    <t>sp|Q9UP95|S12A4_HUMAN</t>
  </si>
  <si>
    <t>Solute carrier family 12 member 4 OS=Homo sapiens GN=SLC12A4 PE=1 SV=2</t>
  </si>
  <si>
    <t>LRLESLYSDEEDESA</t>
  </si>
  <si>
    <t>sp|Q9UPM8|AP4E1_HUMAN</t>
  </si>
  <si>
    <t>AP-4 complex subunit epsilon-1 OS=Homo sapiens GN=AP4E1 PE=1 SV=2</t>
  </si>
  <si>
    <t>sp|Q9UPN7|PP6R1_HUMAN</t>
  </si>
  <si>
    <t>Serine/threonine-protein phosphatase 6 regulatory subunit 1 OS=Homo sapiens GN=PPP6R1 PE=1 SV=5</t>
  </si>
  <si>
    <t>KDRIQQFDDDEEEE</t>
  </si>
  <si>
    <t>DRIQQFDDDEEEE</t>
  </si>
  <si>
    <t>IDHFGFNDEEFGEQ</t>
  </si>
  <si>
    <t>sp|Q9UPS6|SET1B_HUMAN</t>
  </si>
  <si>
    <t>Histone-lysine N-methyltransferase SETD1B OS=Homo sapiens GN=SETD1B PE=1 SV=3</t>
  </si>
  <si>
    <t>YTIDKKDKL</t>
  </si>
  <si>
    <t>sp|Q9UPT9|UBP22_HUMAN</t>
  </si>
  <si>
    <t>Ubiquitin carboxyl-terminal hydrolase 22 OS=Homo sapiens GN=USP22 PE=1 SV=2</t>
  </si>
  <si>
    <t>KRFEHSAKL</t>
  </si>
  <si>
    <t>sp|Q9UQ13|SHOC2_HUMAN</t>
  </si>
  <si>
    <t>Leucine-rich repeat protein SHOC-2 OS=Homo sapiens GN=SHOC2 PE=1 SV=2</t>
  </si>
  <si>
    <t>MQGPYRAMV</t>
  </si>
  <si>
    <t>sp|Q9UQ53|MGT4B_HUMAN</t>
  </si>
  <si>
    <t>Alpha-1,3-mannosyl-glycoprotein 4-beta-N-acetylglucosaminyltransferase B OS=Homo sapiens GN=MGAT4B PE=1 SV=1</t>
  </si>
  <si>
    <t>VDPAFGPLEALRLSIQ</t>
  </si>
  <si>
    <t>sp|Q9Y285|SYFA_HUMAN</t>
  </si>
  <si>
    <t>Phenylalanine--tRNA ligase alpha subunit OS=Homo sapiens GN=FARSA PE=1 SV=3</t>
  </si>
  <si>
    <t>sp|Q9Y2B1|TMEM5_HUMAN</t>
  </si>
  <si>
    <t>Transmembrane protein 5 OS=Homo sapiens GN=TMEM5 PE=1 SV=1</t>
  </si>
  <si>
    <t>RTQYSFITGPAVIPG</t>
  </si>
  <si>
    <t>sp|Q9Y2C2|UST_HUMAN</t>
  </si>
  <si>
    <t>Uronyl 2-sulfotransferase OS=Homo sapiens GN=UST PE=2 SV=1</t>
  </si>
  <si>
    <t>SGGPPRFL</t>
  </si>
  <si>
    <t>sp|Q9Y2E8|SL9A8_HUMAN</t>
  </si>
  <si>
    <t>Sodium/hydrogen exchanger 8 OS=Homo sapiens GN=SLC9A8 PE=1 SV=4</t>
  </si>
  <si>
    <t>LPPIIFESGYSLHK</t>
  </si>
  <si>
    <t>sp|Q9Y2G1|MRF_HUMAN</t>
  </si>
  <si>
    <t>Myelin regulatory factor OS=Homo sapiens GN=MYRF PE=1 SV=3</t>
  </si>
  <si>
    <t>RPDEALVVH</t>
  </si>
  <si>
    <t>sp|Q9Y2G3|AT11B_HUMAN</t>
  </si>
  <si>
    <t>Probable phospholipid-transporting ATPase IF OS=Homo sapiens GN=ATP11B PE=1 SV=2</t>
  </si>
  <si>
    <t>IEKDLILLGATAVEDR</t>
  </si>
  <si>
    <t>AYRKFTSKEYEEIDKR</t>
  </si>
  <si>
    <t>KFTSKEYEEIDKR</t>
  </si>
  <si>
    <t>NSSKILRFI</t>
  </si>
  <si>
    <t>sp|Q9Y2H1|ST38L_HUMAN; sp|Q15208|STK38_HUMAN</t>
  </si>
  <si>
    <t>Serine/threonine-protein kinase 38-like OS=Homo sapiens GN=STK38L PE=1 SV=3; Serine/threonine-protein kinase 38 OS=Homo sapiens GN=STK38 PE=1 SV=1</t>
  </si>
  <si>
    <t>sp|Q9Y2I9|TBC30_HUMAN</t>
  </si>
  <si>
    <t>TBC1 domain family member 30 OS=Homo sapiens GN=TBC1D30 PE=1 SV=2</t>
  </si>
  <si>
    <t>NSSPVINHL</t>
  </si>
  <si>
    <t>sp|Q9Y2J8|PADI2_HUMAN</t>
  </si>
  <si>
    <t>Protein-arginine deiminase type-2 OS=Homo sapiens GN=PADI2 PE=1 SV=2</t>
  </si>
  <si>
    <t>ARAFFPNMV</t>
  </si>
  <si>
    <t>sp|Q9Y2L1|RRP44_HUMAN</t>
  </si>
  <si>
    <t>Exosome complex exonuclease RRP44 OS=Homo sapiens GN=DIS3 PE=1 SV=2</t>
  </si>
  <si>
    <t>sp|Q9Y2Q3|GSTK1_HUMAN</t>
  </si>
  <si>
    <t>Glutathione S-transferase kappa 1 OS=Homo sapiens GN=GSTK1 PE=1 SV=3</t>
  </si>
  <si>
    <t>NLQLRPSLI</t>
  </si>
  <si>
    <t>sp|Q9Y2R4|DDX52_HUMAN</t>
  </si>
  <si>
    <t>Probable ATP-dependent RNA helicase DDX52 OS=Homo sapiens GN=DDX52 PE=1 SV=3</t>
  </si>
  <si>
    <t>LRNKHKIHV</t>
  </si>
  <si>
    <t>sp|Q9Y2S2|CRYL1_HUMAN</t>
  </si>
  <si>
    <t>Lambda-crystallin homolog OS=Homo sapiens GN=CRYL1 PE=1 SV=3</t>
  </si>
  <si>
    <t>GPIPEFSRATAEKVNQD</t>
  </si>
  <si>
    <t>GPIPEFSRATAEKVNQDM</t>
  </si>
  <si>
    <t>sp|Q9Y2T2|AP3M1_HUMAN; sp|P53677|AP3M2_HUMAN</t>
  </si>
  <si>
    <t>AP-3 complex subunit mu-1 OS=Homo sapiens GN=AP3M1 PE=1 SV=1; AP-3 complex subunit mu-2 OS=Homo sapiens GN=AP3M2 PE=1 SV=1</t>
  </si>
  <si>
    <t>sp|Q9Y383|LC7L2_HUMAN</t>
  </si>
  <si>
    <t>Putative RNA-binding protein Luc7-like 2 OS=Homo sapiens GN=LUC7L2 PE=1 SV=2</t>
  </si>
  <si>
    <t>AKAERVHEL</t>
  </si>
  <si>
    <t>sp|Q9Y3B4|SF3B6_HUMAN</t>
  </si>
  <si>
    <t>Splicing factor 3B subunit 6 OS=Homo sapiens GN=SF3B6 PE=1 SV=1</t>
  </si>
  <si>
    <t>KYGPIRQI</t>
  </si>
  <si>
    <t>GKYGPIRQI</t>
  </si>
  <si>
    <t>NRYLVVLYY</t>
  </si>
  <si>
    <t>sp|Q9Y3B7|RM11_HUMAN</t>
  </si>
  <si>
    <t>39S ribosomal protein L11, mitochondrial OS=Homo sapiens GN=MRPL11 PE=1 SV=1</t>
  </si>
  <si>
    <t>FQKERAIFL</t>
  </si>
  <si>
    <t>sp|Q9Y3B9|RRP15_HUMAN</t>
  </si>
  <si>
    <t>RRP15-like protein OS=Homo sapiens GN=RRP15 PE=1 SV=2</t>
  </si>
  <si>
    <t>SKKDFISVL</t>
  </si>
  <si>
    <t>sp|Q9Y3D6|FIS1_HUMAN</t>
  </si>
  <si>
    <t>Mitochondrial fission 1 protein OS=Homo sapiens GN=FIS1 PE=1 SV=2</t>
  </si>
  <si>
    <t>KKFQSEKAAGSVS</t>
  </si>
  <si>
    <t>sp|Q9Y462|ZN711_HUMAN</t>
  </si>
  <si>
    <t>Zinc finger protein 711 OS=Homo sapiens GN=ZNF711 PE=1 SV=2</t>
  </si>
  <si>
    <t>MRHHKEALM</t>
  </si>
  <si>
    <t>sp|Q9Y490|TLN1_HUMAN</t>
  </si>
  <si>
    <t>Talin-1 OS=Homo sapiens GN=TLN1 PE=1 SV=3</t>
  </si>
  <si>
    <t>NPEFSSIPAQISPEGR</t>
  </si>
  <si>
    <t>sp|Q9Y496|KIF3A_HUMAN</t>
  </si>
  <si>
    <t>Kinesin-like protein KIF3A OS=Homo sapiens GN=KIF3A PE=1 SV=4</t>
  </si>
  <si>
    <t>FTMEGVRAI</t>
  </si>
  <si>
    <t>sp|Q9Y4A5|TRRAP_HUMAN</t>
  </si>
  <si>
    <t>Transformation/transcription domain-associated protein OS=Homo sapiens GN=TRRAP PE=1 SV=3</t>
  </si>
  <si>
    <t>VRHHLVQHM</t>
  </si>
  <si>
    <t>sp|Q9Y4C1|KDM3A_HUMAN; sp|Q7LBC6|KDM3B_HUMAN</t>
  </si>
  <si>
    <t>Lysine-specific demethylase 3A OS=Homo sapiens GN=KDM3A PE=1 SV=4; Lysine-specific demethylase 3B OS=Homo sapiens GN=KDM3B PE=1 SV=2</t>
  </si>
  <si>
    <t>VRPDLGPKMY</t>
  </si>
  <si>
    <t>sp|Q9Y4D8|HECD4_HUMAN</t>
  </si>
  <si>
    <t>Probable E3 ubiquitin-protein ligase HECTD4 OS=Homo sapiens GN=HECTD4 PE=1 SV=5</t>
  </si>
  <si>
    <t>sp|Q9Y4F3|MARF1_HUMAN</t>
  </si>
  <si>
    <t>Meiosis arrest female protein 1 OS=Homo sapiens GN=KIAA0430 PE=1 SV=6</t>
  </si>
  <si>
    <t>SRSMSPNLL</t>
  </si>
  <si>
    <t>sp|Q9Y4L1|HYOU1_HUMAN</t>
  </si>
  <si>
    <t>Hypoxia up-regulated protein 1 OS=Homo sapiens GN=HYOU1 PE=1 SV=1</t>
  </si>
  <si>
    <t>TLRYFQHLLGKQADNPH</t>
  </si>
  <si>
    <t>sp|Q9Y4X5|ARI1_HUMAN</t>
  </si>
  <si>
    <t>E3 ubiquitin-protein ligase ARIH1 OS=Homo sapiens GN=ARIH1 PE=1 SV=2</t>
  </si>
  <si>
    <t>SRAALQRYL</t>
  </si>
  <si>
    <t>sp|Q9Y520|PRC2C_HUMAN</t>
  </si>
  <si>
    <t>Protein PRRC2C OS=Homo sapiens GN=PRRC2C PE=1 SV=4</t>
  </si>
  <si>
    <t>RRKKEEQVI</t>
  </si>
  <si>
    <t>sp|Q9Y561|LRP12_HUMAN</t>
  </si>
  <si>
    <t>Low-density lipoprotein receptor-related protein 12 OS=Homo sapiens GN=LRP12 PE=1 SV=1</t>
  </si>
  <si>
    <t>SQNQSPLRQL</t>
  </si>
  <si>
    <t>sp|Q9Y5B9|SP16H_HUMAN</t>
  </si>
  <si>
    <t>FACT complex subunit SPT16 OS=Homo sapiens GN=SUPT16H PE=1 SV=1</t>
  </si>
  <si>
    <t>QKPELLNKI</t>
  </si>
  <si>
    <t>sp|Q9Y5K5|UCHL5_HUMAN</t>
  </si>
  <si>
    <t>Ubiquitin carboxyl-terminal hydrolase isozyme L5 OS=Homo sapiens GN=UCHL5 PE=1 SV=3</t>
  </si>
  <si>
    <t>SNSDVIRQV</t>
  </si>
  <si>
    <t>sp|Q9Y5Q0|FADS3_HUMAN</t>
  </si>
  <si>
    <t>Fatty acid desaturase 3 OS=Homo sapiens GN=FADS3 PE=2 SV=1</t>
  </si>
  <si>
    <t>ALVDIVRSL</t>
  </si>
  <si>
    <t>sp|Q9Y5R8|TPPC1_HUMAN</t>
  </si>
  <si>
    <t>Trafficking protein particle complex subunit 1 OS=Homo sapiens GN=TRAPPC1 PE=1 SV=1</t>
  </si>
  <si>
    <t>SIRSFVSKM</t>
  </si>
  <si>
    <t>sp|Q9Y5W9|SNX11_HUMAN</t>
  </si>
  <si>
    <t>Sorting nexin-11 OS=Homo sapiens GN=SNX11 PE=1 SV=2</t>
  </si>
  <si>
    <t>NSYVDYKIFLHTNSK</t>
  </si>
  <si>
    <t>sp|Q9Y618|NCOR2_HUMAN</t>
  </si>
  <si>
    <t>Nuclear receptor corepressor 2 OS=Homo sapiens GN=NCOR2 PE=1 SV=2</t>
  </si>
  <si>
    <t>sp|Q9Y673|ALG5_HUMAN</t>
  </si>
  <si>
    <t>Dolichyl-phosphate beta-glucosyltransferase OS=Homo sapiens GN=ALG5 PE=1 SV=1</t>
  </si>
  <si>
    <t>YGSDKVRVI</t>
  </si>
  <si>
    <t>sp|Q9Y6G9|DC1L1_HUMAN</t>
  </si>
  <si>
    <t>Cytoplasmic dynein 1 light intermediate chain 1 OS=Homo sapiens GN=DYNC1LI1 PE=1 SV=3</t>
  </si>
  <si>
    <t>VYKYIVQKL</t>
  </si>
  <si>
    <t>sp|Q9Y6J0|CABIN_HUMAN</t>
  </si>
  <si>
    <t>Calcineurin-binding protein cabin-1 OS=Homo sapiens GN=CABIN1 PE=1 SV=1</t>
  </si>
  <si>
    <t>ARYPKKIHY</t>
  </si>
  <si>
    <t>sp|Q9Y6M9|NDUB9_HUMAN</t>
  </si>
  <si>
    <t>NADH dehydrogenase [ubiquinone] 1 beta subcomplex subunit 9 OS=Homo sapiens GN=NDUFB9 PE=1 SV=3</t>
  </si>
  <si>
    <t>YRQHPQPYI</t>
  </si>
  <si>
    <t>sp|Q9Y6N7|ROBO1_HUMAN</t>
  </si>
  <si>
    <t>Roundabout homolog 1 OS=Homo sapiens GN=ROBO1 PE=1 SV=1</t>
  </si>
  <si>
    <t>ETSAIKGLKPNAIYL</t>
  </si>
  <si>
    <t>STYAGIRKV</t>
  </si>
  <si>
    <t>sp|Q9Y6W5|WASF2_HUMAN</t>
  </si>
  <si>
    <t>Wiskott-Aldrich syndrome protein family member 2 OS=Homo sapiens GN=WASF2 PE=1 SV=3</t>
  </si>
  <si>
    <t>TRNIEPRHL</t>
  </si>
  <si>
    <t>TLANVIRQL</t>
  </si>
  <si>
    <t>sp|Q9Y6X5|ENPP4_HUMAN</t>
  </si>
  <si>
    <t>Bis(5'-adenosyl)-triphosphatase ENPP4 OS=Homo sapiens GN=ENPP4 PE=1 SV=3</t>
  </si>
  <si>
    <t>FRADYLKNY</t>
  </si>
  <si>
    <t>Length</t>
  </si>
  <si>
    <t>#peptides</t>
  </si>
  <si>
    <t>% peptide</t>
  </si>
  <si>
    <t>Peptide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</si>
</sst>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40"/>
  <sheetViews>
    <sheetView tabSelected="1" workbookViewId="0">
      <pane ySplit="1" topLeftCell="A1492" activePane="bottomLeft" state="frozen"/>
      <selection activeCell="D1" sqref="D1"/>
      <selection pane="bottomLeft" activeCell="G1515" sqref="G1515"/>
    </sheetView>
  </sheetViews>
  <sheetFormatPr defaultColWidth="11" defaultRowHeight="15.75" x14ac:dyDescent="0.25"/>
  <cols>
    <col min="1" max="1" width="25.625" customWidth="1"/>
    <col min="2" max="2" width="31.125" customWidth="1"/>
    <col min="6" max="7" width="35" customWidth="1"/>
    <col min="8" max="8" width="6.375" bestFit="1" customWidth="1"/>
    <col min="9" max="11" width="6.375" style="2" customWidth="1"/>
    <col min="12" max="12" width="19.3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4692</v>
      </c>
      <c r="G1" t="s">
        <v>5</v>
      </c>
      <c r="H1" t="s">
        <v>4689</v>
      </c>
      <c r="J1" s="2" t="s">
        <v>4690</v>
      </c>
      <c r="K1" s="2" t="s">
        <v>4691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</row>
    <row r="2" spans="1:22" x14ac:dyDescent="0.25">
      <c r="A2" t="s">
        <v>374</v>
      </c>
      <c r="B2" t="s">
        <v>375</v>
      </c>
      <c r="C2">
        <v>110</v>
      </c>
      <c r="D2">
        <v>99</v>
      </c>
      <c r="E2">
        <v>99</v>
      </c>
      <c r="F2" t="s">
        <v>376</v>
      </c>
      <c r="G2" t="s">
        <v>376</v>
      </c>
      <c r="H2">
        <f>LEN(G2)</f>
        <v>9</v>
      </c>
      <c r="I2" s="2">
        <v>7</v>
      </c>
      <c r="J2" s="3">
        <f t="shared" ref="J2:J20" si="0">COUNTIF(H:H, I2)</f>
        <v>1</v>
      </c>
      <c r="K2" s="3">
        <f>J2/$J$21*100</f>
        <v>4.6992481203007516E-2</v>
      </c>
      <c r="M2">
        <v>8.3859999999999994E-3</v>
      </c>
      <c r="N2">
        <v>1370.73901367188</v>
      </c>
      <c r="O2">
        <v>457.9203</v>
      </c>
      <c r="P2">
        <v>1370.73059082031</v>
      </c>
      <c r="Q2">
        <v>457.91748046875</v>
      </c>
      <c r="R2">
        <v>3</v>
      </c>
      <c r="S2">
        <v>1</v>
      </c>
      <c r="T2">
        <v>11</v>
      </c>
      <c r="U2">
        <v>34.38073</v>
      </c>
      <c r="V2">
        <v>143750.5</v>
      </c>
    </row>
    <row r="3" spans="1:22" x14ac:dyDescent="0.25">
      <c r="A3" t="s">
        <v>374</v>
      </c>
      <c r="B3" t="s">
        <v>375</v>
      </c>
      <c r="C3">
        <v>111</v>
      </c>
      <c r="D3">
        <v>99</v>
      </c>
      <c r="E3">
        <v>99</v>
      </c>
      <c r="F3" t="s">
        <v>615</v>
      </c>
      <c r="G3" t="s">
        <v>615</v>
      </c>
      <c r="H3">
        <f t="shared" ref="H3:H66" si="1">LEN(G3)</f>
        <v>8</v>
      </c>
      <c r="I3" s="2">
        <f>I2+1</f>
        <v>8</v>
      </c>
      <c r="J3" s="3">
        <f t="shared" si="0"/>
        <v>37</v>
      </c>
      <c r="K3" s="3">
        <f t="shared" ref="K3:K20" si="2">J3/$J$21*100</f>
        <v>1.738721804511278</v>
      </c>
      <c r="M3" s="1">
        <v>3.6166999489068898E-3</v>
      </c>
      <c r="N3">
        <v>971.52587890625</v>
      </c>
      <c r="O3">
        <v>486.77019999999902</v>
      </c>
      <c r="P3">
        <v>971.522216796875</v>
      </c>
      <c r="Q3">
        <v>486.76840209960801</v>
      </c>
      <c r="R3">
        <v>2</v>
      </c>
      <c r="S3">
        <v>1</v>
      </c>
      <c r="T3">
        <v>13</v>
      </c>
      <c r="U3">
        <v>34.4629499999999</v>
      </c>
      <c r="V3">
        <v>188112.7</v>
      </c>
    </row>
    <row r="4" spans="1:22" x14ac:dyDescent="0.25">
      <c r="A4" t="s">
        <v>374</v>
      </c>
      <c r="B4" t="s">
        <v>375</v>
      </c>
      <c r="C4">
        <v>187</v>
      </c>
      <c r="D4">
        <v>99</v>
      </c>
      <c r="E4">
        <v>99</v>
      </c>
      <c r="F4" t="s">
        <v>4318</v>
      </c>
      <c r="G4" t="s">
        <v>4318</v>
      </c>
      <c r="H4">
        <f t="shared" si="1"/>
        <v>15</v>
      </c>
      <c r="I4" s="2">
        <f t="shared" ref="I4:I20" si="3">I3+1</f>
        <v>9</v>
      </c>
      <c r="J4" s="3">
        <f>COUNTIF(H:H, I4)</f>
        <v>794</v>
      </c>
      <c r="K4" s="3">
        <f t="shared" si="2"/>
        <v>37.31203007518797</v>
      </c>
      <c r="M4" s="1">
        <v>7.7404099283739903E-4</v>
      </c>
      <c r="N4">
        <v>1088.57751464844</v>
      </c>
      <c r="O4">
        <v>545.29600000000005</v>
      </c>
      <c r="P4">
        <v>1088.57666015625</v>
      </c>
      <c r="Q4">
        <v>545.295654296875</v>
      </c>
      <c r="R4">
        <v>2</v>
      </c>
      <c r="S4">
        <v>4</v>
      </c>
      <c r="T4">
        <v>13</v>
      </c>
      <c r="U4">
        <v>32.298720000000003</v>
      </c>
      <c r="V4">
        <v>5493867</v>
      </c>
    </row>
    <row r="5" spans="1:22" x14ac:dyDescent="0.25">
      <c r="A5" t="s">
        <v>1665</v>
      </c>
      <c r="B5" t="s">
        <v>1666</v>
      </c>
      <c r="C5">
        <v>1168</v>
      </c>
      <c r="D5">
        <v>99</v>
      </c>
      <c r="E5">
        <v>99</v>
      </c>
      <c r="F5" t="s">
        <v>1667</v>
      </c>
      <c r="G5" t="s">
        <v>1667</v>
      </c>
      <c r="H5">
        <f t="shared" si="1"/>
        <v>15</v>
      </c>
      <c r="I5" s="2">
        <f t="shared" si="3"/>
        <v>10</v>
      </c>
      <c r="J5" s="3">
        <f t="shared" si="0"/>
        <v>82</v>
      </c>
      <c r="K5" s="3">
        <f t="shared" si="2"/>
        <v>3.8533834586466162</v>
      </c>
      <c r="M5" s="1">
        <v>6.3138301484286802E-3</v>
      </c>
      <c r="N5">
        <v>1787.95935058594</v>
      </c>
      <c r="O5">
        <v>596.99369999999897</v>
      </c>
      <c r="P5">
        <v>1787.95300292969</v>
      </c>
      <c r="Q5">
        <v>596.99163818359295</v>
      </c>
      <c r="R5">
        <v>3</v>
      </c>
      <c r="S5">
        <v>1</v>
      </c>
      <c r="T5">
        <v>15</v>
      </c>
      <c r="U5">
        <v>42.787700000000001</v>
      </c>
      <c r="V5">
        <v>233446.9</v>
      </c>
    </row>
    <row r="6" spans="1:22" x14ac:dyDescent="0.25">
      <c r="A6" t="s">
        <v>1665</v>
      </c>
      <c r="B6" t="s">
        <v>1666</v>
      </c>
      <c r="C6">
        <v>1168</v>
      </c>
      <c r="D6">
        <v>99</v>
      </c>
      <c r="E6">
        <v>99</v>
      </c>
      <c r="F6" t="s">
        <v>1668</v>
      </c>
      <c r="G6" t="s">
        <v>1668</v>
      </c>
      <c r="H6">
        <f t="shared" si="1"/>
        <v>17</v>
      </c>
      <c r="I6" s="2">
        <f t="shared" si="3"/>
        <v>11</v>
      </c>
      <c r="J6" s="3">
        <f t="shared" si="0"/>
        <v>60</v>
      </c>
      <c r="K6" s="3">
        <f t="shared" si="2"/>
        <v>2.8195488721804511</v>
      </c>
      <c r="M6" s="1">
        <v>-2.90633994154632E-3</v>
      </c>
      <c r="N6">
        <v>1065.60546875</v>
      </c>
      <c r="O6">
        <v>533.80999999999904</v>
      </c>
      <c r="P6">
        <v>1065.6083984375</v>
      </c>
      <c r="Q6">
        <v>533.81146240234295</v>
      </c>
      <c r="R6">
        <v>2</v>
      </c>
      <c r="S6">
        <v>1</v>
      </c>
      <c r="T6">
        <v>12</v>
      </c>
      <c r="U6">
        <v>19.221029999999899</v>
      </c>
      <c r="V6">
        <v>289671</v>
      </c>
    </row>
    <row r="7" spans="1:22" x14ac:dyDescent="0.25">
      <c r="A7" t="s">
        <v>2915</v>
      </c>
      <c r="B7" t="s">
        <v>2916</v>
      </c>
      <c r="C7">
        <v>94</v>
      </c>
      <c r="D7">
        <v>98</v>
      </c>
      <c r="E7">
        <v>97.98</v>
      </c>
      <c r="F7" t="s">
        <v>2917</v>
      </c>
      <c r="G7" t="s">
        <v>2917</v>
      </c>
      <c r="H7">
        <f t="shared" si="1"/>
        <v>9</v>
      </c>
      <c r="I7" s="2">
        <f t="shared" si="3"/>
        <v>12</v>
      </c>
      <c r="J7" s="3">
        <f t="shared" si="0"/>
        <v>71</v>
      </c>
      <c r="K7" s="3">
        <f t="shared" si="2"/>
        <v>3.3364661654135341</v>
      </c>
      <c r="M7" s="1">
        <v>-1.7325399676337699E-3</v>
      </c>
      <c r="N7">
        <v>933.57427978515602</v>
      </c>
      <c r="O7">
        <v>467.7944</v>
      </c>
      <c r="P7">
        <v>933.57598876953102</v>
      </c>
      <c r="Q7">
        <v>467.79525756835801</v>
      </c>
      <c r="R7">
        <v>2</v>
      </c>
      <c r="S7">
        <v>3</v>
      </c>
      <c r="T7">
        <v>10</v>
      </c>
      <c r="U7">
        <v>18.960450000000002</v>
      </c>
      <c r="V7">
        <v>146452.20000000001</v>
      </c>
    </row>
    <row r="8" spans="1:22" x14ac:dyDescent="0.25">
      <c r="A8" t="s">
        <v>1915</v>
      </c>
      <c r="B8" t="s">
        <v>1916</v>
      </c>
      <c r="C8">
        <v>205</v>
      </c>
      <c r="D8">
        <v>99</v>
      </c>
      <c r="E8">
        <v>99</v>
      </c>
      <c r="F8" t="s">
        <v>1917</v>
      </c>
      <c r="G8" t="s">
        <v>1917</v>
      </c>
      <c r="H8">
        <f t="shared" si="1"/>
        <v>16</v>
      </c>
      <c r="I8" s="2">
        <f t="shared" si="3"/>
        <v>13</v>
      </c>
      <c r="J8" s="3">
        <f t="shared" si="0"/>
        <v>106</v>
      </c>
      <c r="K8" s="3">
        <f t="shared" si="2"/>
        <v>4.981203007518797</v>
      </c>
      <c r="L8" t="s">
        <v>283</v>
      </c>
      <c r="M8" s="1">
        <v>5.53887011483312E-3</v>
      </c>
      <c r="N8">
        <v>1151.6064453125</v>
      </c>
      <c r="O8">
        <v>576.81050000000005</v>
      </c>
      <c r="P8">
        <v>1151.60083007813</v>
      </c>
      <c r="Q8">
        <v>576.80773925781205</v>
      </c>
      <c r="R8">
        <v>2</v>
      </c>
      <c r="S8">
        <v>8</v>
      </c>
      <c r="T8">
        <v>12</v>
      </c>
      <c r="U8">
        <v>44.610720000000001</v>
      </c>
      <c r="V8">
        <v>2025170</v>
      </c>
    </row>
    <row r="9" spans="1:22" x14ac:dyDescent="0.25">
      <c r="A9" t="s">
        <v>2642</v>
      </c>
      <c r="B9" t="s">
        <v>2643</v>
      </c>
      <c r="C9">
        <v>115</v>
      </c>
      <c r="D9">
        <v>99</v>
      </c>
      <c r="E9">
        <v>99</v>
      </c>
      <c r="F9" t="s">
        <v>558</v>
      </c>
      <c r="G9" t="s">
        <v>558</v>
      </c>
      <c r="H9">
        <f t="shared" si="1"/>
        <v>9</v>
      </c>
      <c r="I9" s="2">
        <f t="shared" si="3"/>
        <v>14</v>
      </c>
      <c r="J9" s="3">
        <f t="shared" si="0"/>
        <v>137</v>
      </c>
      <c r="K9" s="3">
        <f t="shared" si="2"/>
        <v>6.4379699248120303</v>
      </c>
      <c r="M9" s="1">
        <v>6.8519399501383201E-3</v>
      </c>
      <c r="N9">
        <v>1671.87951660156</v>
      </c>
      <c r="O9">
        <v>836.947</v>
      </c>
      <c r="P9">
        <v>1671.87268066406</v>
      </c>
      <c r="Q9">
        <v>836.943603515625</v>
      </c>
      <c r="R9">
        <v>2</v>
      </c>
      <c r="S9">
        <v>1</v>
      </c>
      <c r="T9">
        <v>13</v>
      </c>
      <c r="U9">
        <v>32.116050000000001</v>
      </c>
      <c r="V9">
        <v>342225.3</v>
      </c>
    </row>
    <row r="10" spans="1:22" x14ac:dyDescent="0.25">
      <c r="A10" t="s">
        <v>2642</v>
      </c>
      <c r="B10" t="s">
        <v>2643</v>
      </c>
      <c r="C10">
        <v>37</v>
      </c>
      <c r="D10">
        <v>99</v>
      </c>
      <c r="E10">
        <v>99</v>
      </c>
      <c r="F10" t="s">
        <v>2644</v>
      </c>
      <c r="G10" t="s">
        <v>2644</v>
      </c>
      <c r="H10">
        <f t="shared" si="1"/>
        <v>20</v>
      </c>
      <c r="I10" s="2">
        <f t="shared" si="3"/>
        <v>15</v>
      </c>
      <c r="J10" s="3">
        <f t="shared" si="0"/>
        <v>206</v>
      </c>
      <c r="K10" s="3">
        <f t="shared" si="2"/>
        <v>9.6804511278195484</v>
      </c>
      <c r="L10" t="s">
        <v>2645</v>
      </c>
      <c r="M10" s="1">
        <v>2.9001699294894799E-3</v>
      </c>
      <c r="N10">
        <v>1060.43469238281</v>
      </c>
      <c r="O10">
        <v>531.22460000000001</v>
      </c>
      <c r="P10">
        <v>1060.43176269531</v>
      </c>
      <c r="Q10">
        <v>531.22314453125</v>
      </c>
      <c r="R10">
        <v>2</v>
      </c>
      <c r="S10">
        <v>1</v>
      </c>
      <c r="T10">
        <v>9</v>
      </c>
      <c r="U10">
        <v>24.41572</v>
      </c>
      <c r="V10">
        <v>113736.7</v>
      </c>
    </row>
    <row r="11" spans="1:22" x14ac:dyDescent="0.25">
      <c r="A11" t="s">
        <v>1918</v>
      </c>
      <c r="B11" t="s">
        <v>1919</v>
      </c>
      <c r="C11">
        <v>101</v>
      </c>
      <c r="D11">
        <v>99</v>
      </c>
      <c r="E11">
        <v>99</v>
      </c>
      <c r="F11" t="s">
        <v>1920</v>
      </c>
      <c r="G11" t="s">
        <v>1920</v>
      </c>
      <c r="H11">
        <f t="shared" si="1"/>
        <v>19</v>
      </c>
      <c r="I11" s="2">
        <f t="shared" si="3"/>
        <v>16</v>
      </c>
      <c r="J11" s="3">
        <f t="shared" si="0"/>
        <v>244</v>
      </c>
      <c r="K11" s="3">
        <f t="shared" si="2"/>
        <v>11.466165413533833</v>
      </c>
      <c r="M11" s="1">
        <v>2.33623990789056E-3</v>
      </c>
      <c r="N11">
        <v>1965.02380371094</v>
      </c>
      <c r="O11">
        <v>656.01520000000005</v>
      </c>
      <c r="P11">
        <v>1965.021484375</v>
      </c>
      <c r="Q11">
        <v>656.014404296875</v>
      </c>
      <c r="R11">
        <v>3</v>
      </c>
      <c r="S11">
        <v>3</v>
      </c>
      <c r="T11">
        <v>15</v>
      </c>
      <c r="U11">
        <v>24.238969999999899</v>
      </c>
      <c r="V11">
        <v>403096.5</v>
      </c>
    </row>
    <row r="12" spans="1:22" x14ac:dyDescent="0.25">
      <c r="A12" t="s">
        <v>1918</v>
      </c>
      <c r="B12" t="s">
        <v>1919</v>
      </c>
      <c r="C12">
        <v>1</v>
      </c>
      <c r="D12">
        <v>99</v>
      </c>
      <c r="E12">
        <v>99</v>
      </c>
      <c r="F12" t="s">
        <v>1921</v>
      </c>
      <c r="G12" t="s">
        <v>1921</v>
      </c>
      <c r="H12">
        <f t="shared" si="1"/>
        <v>22</v>
      </c>
      <c r="I12" s="2">
        <f t="shared" si="3"/>
        <v>17</v>
      </c>
      <c r="J12" s="3">
        <f t="shared" si="0"/>
        <v>173</v>
      </c>
      <c r="K12" s="3">
        <f t="shared" si="2"/>
        <v>8.1296992481202999</v>
      </c>
      <c r="L12" t="s">
        <v>227</v>
      </c>
      <c r="M12" s="1">
        <v>3.14497994259E-3</v>
      </c>
      <c r="N12">
        <v>2004.02758789063</v>
      </c>
      <c r="O12">
        <v>669.01649999999904</v>
      </c>
      <c r="P12">
        <v>2004.0244140625</v>
      </c>
      <c r="Q12">
        <v>669.01544189453102</v>
      </c>
      <c r="R12">
        <v>3</v>
      </c>
      <c r="S12">
        <v>1</v>
      </c>
      <c r="T12">
        <v>12</v>
      </c>
      <c r="U12">
        <v>26.2404499999999</v>
      </c>
      <c r="V12">
        <v>453462.4</v>
      </c>
    </row>
    <row r="13" spans="1:22" x14ac:dyDescent="0.25">
      <c r="A13" t="s">
        <v>1815</v>
      </c>
      <c r="B13" t="s">
        <v>1816</v>
      </c>
      <c r="C13">
        <v>38</v>
      </c>
      <c r="D13">
        <v>99</v>
      </c>
      <c r="E13">
        <v>99</v>
      </c>
      <c r="F13" t="s">
        <v>1817</v>
      </c>
      <c r="G13" t="s">
        <v>1817</v>
      </c>
      <c r="H13">
        <f t="shared" si="1"/>
        <v>18</v>
      </c>
      <c r="I13" s="2">
        <f t="shared" si="3"/>
        <v>18</v>
      </c>
      <c r="J13" s="3">
        <f t="shared" si="0"/>
        <v>96</v>
      </c>
      <c r="K13" s="3">
        <f t="shared" si="2"/>
        <v>4.5112781954887211</v>
      </c>
      <c r="M13" s="1">
        <v>1.7972700297832399E-2</v>
      </c>
      <c r="N13">
        <v>1823.01208496094</v>
      </c>
      <c r="O13">
        <v>608.678</v>
      </c>
      <c r="P13">
        <v>1822.994140625</v>
      </c>
      <c r="Q13">
        <v>608.67199707031205</v>
      </c>
      <c r="R13">
        <v>3</v>
      </c>
      <c r="S13">
        <v>1</v>
      </c>
      <c r="T13">
        <v>11</v>
      </c>
      <c r="U13">
        <v>31.41488</v>
      </c>
      <c r="V13">
        <v>132073.1</v>
      </c>
    </row>
    <row r="14" spans="1:22" x14ac:dyDescent="0.25">
      <c r="A14" t="s">
        <v>1815</v>
      </c>
      <c r="B14" t="s">
        <v>1816</v>
      </c>
      <c r="C14">
        <v>37</v>
      </c>
      <c r="D14">
        <v>99</v>
      </c>
      <c r="E14">
        <v>99</v>
      </c>
      <c r="F14" t="s">
        <v>1818</v>
      </c>
      <c r="G14" t="s">
        <v>1818</v>
      </c>
      <c r="H14">
        <f t="shared" si="1"/>
        <v>19</v>
      </c>
      <c r="I14" s="2">
        <f t="shared" si="3"/>
        <v>19</v>
      </c>
      <c r="J14" s="3">
        <f t="shared" si="0"/>
        <v>67</v>
      </c>
      <c r="K14" s="3">
        <f t="shared" si="2"/>
        <v>3.1484962406015038</v>
      </c>
      <c r="M14" s="1">
        <v>-1.21561996638775E-3</v>
      </c>
      <c r="N14">
        <v>1506.66149902344</v>
      </c>
      <c r="O14">
        <v>754.33799999999906</v>
      </c>
      <c r="P14">
        <v>1506.66271972656</v>
      </c>
      <c r="Q14">
        <v>754.338623046875</v>
      </c>
      <c r="R14">
        <v>2</v>
      </c>
      <c r="S14">
        <v>1</v>
      </c>
      <c r="T14">
        <v>15</v>
      </c>
      <c r="U14">
        <v>37.784779999999898</v>
      </c>
      <c r="V14">
        <v>388688.9</v>
      </c>
    </row>
    <row r="15" spans="1:22" x14ac:dyDescent="0.25">
      <c r="A15" t="s">
        <v>2501</v>
      </c>
      <c r="B15" t="s">
        <v>2502</v>
      </c>
      <c r="C15">
        <v>123</v>
      </c>
      <c r="D15">
        <v>99</v>
      </c>
      <c r="E15">
        <v>99</v>
      </c>
      <c r="F15" t="s">
        <v>2503</v>
      </c>
      <c r="G15" t="s">
        <v>2503</v>
      </c>
      <c r="H15">
        <f t="shared" si="1"/>
        <v>15</v>
      </c>
      <c r="I15" s="2">
        <f t="shared" si="3"/>
        <v>20</v>
      </c>
      <c r="J15" s="3">
        <f t="shared" si="0"/>
        <v>24</v>
      </c>
      <c r="K15" s="3">
        <f t="shared" si="2"/>
        <v>1.1278195488721803</v>
      </c>
      <c r="M15" s="1">
        <v>8.7230904027819495E-3</v>
      </c>
      <c r="N15">
        <v>1607.71911621094</v>
      </c>
      <c r="O15">
        <v>804.86680000000001</v>
      </c>
      <c r="P15">
        <v>1607.71032714844</v>
      </c>
      <c r="Q15">
        <v>804.86248779296795</v>
      </c>
      <c r="R15">
        <v>2</v>
      </c>
      <c r="S15">
        <v>1</v>
      </c>
      <c r="T15">
        <v>13</v>
      </c>
      <c r="U15">
        <v>38.479680000000002</v>
      </c>
      <c r="V15">
        <v>119760.1</v>
      </c>
    </row>
    <row r="16" spans="1:22" x14ac:dyDescent="0.25">
      <c r="A16" t="s">
        <v>2501</v>
      </c>
      <c r="B16" t="s">
        <v>2502</v>
      </c>
      <c r="C16">
        <v>123</v>
      </c>
      <c r="D16">
        <v>99</v>
      </c>
      <c r="E16">
        <v>99</v>
      </c>
      <c r="F16" t="s">
        <v>2504</v>
      </c>
      <c r="G16" t="s">
        <v>2504</v>
      </c>
      <c r="H16">
        <f t="shared" si="1"/>
        <v>16</v>
      </c>
      <c r="I16" s="2">
        <f t="shared" si="3"/>
        <v>21</v>
      </c>
      <c r="J16" s="3">
        <f t="shared" si="0"/>
        <v>15</v>
      </c>
      <c r="K16" s="3">
        <f t="shared" si="2"/>
        <v>0.70488721804511278</v>
      </c>
      <c r="M16" s="1">
        <v>4.55116992816329E-3</v>
      </c>
      <c r="N16">
        <v>2226.21533203125</v>
      </c>
      <c r="O16">
        <v>557.56110000000001</v>
      </c>
      <c r="P16">
        <v>2226.21069335938</v>
      </c>
      <c r="Q16">
        <v>557.55993652343705</v>
      </c>
      <c r="R16">
        <v>4</v>
      </c>
      <c r="S16">
        <v>2</v>
      </c>
      <c r="T16">
        <v>16</v>
      </c>
      <c r="U16">
        <v>37.2291799999999</v>
      </c>
      <c r="V16">
        <v>508844.9</v>
      </c>
    </row>
    <row r="17" spans="1:22" x14ac:dyDescent="0.25">
      <c r="A17" t="s">
        <v>2505</v>
      </c>
      <c r="B17" t="s">
        <v>2506</v>
      </c>
      <c r="C17">
        <v>40</v>
      </c>
      <c r="D17">
        <v>99</v>
      </c>
      <c r="E17">
        <v>99</v>
      </c>
      <c r="F17" t="s">
        <v>2507</v>
      </c>
      <c r="G17" t="s">
        <v>2507</v>
      </c>
      <c r="H17">
        <f t="shared" si="1"/>
        <v>16</v>
      </c>
      <c r="I17" s="2">
        <f t="shared" si="3"/>
        <v>22</v>
      </c>
      <c r="J17" s="3">
        <f t="shared" si="0"/>
        <v>8</v>
      </c>
      <c r="K17" s="3">
        <f t="shared" si="2"/>
        <v>0.37593984962406013</v>
      </c>
      <c r="M17" s="1">
        <v>1.10437003895639E-2</v>
      </c>
      <c r="N17">
        <v>1875.94372558594</v>
      </c>
      <c r="O17">
        <v>938.97910000000002</v>
      </c>
      <c r="P17">
        <v>1875.9326171875</v>
      </c>
      <c r="Q17">
        <v>938.9736328125</v>
      </c>
      <c r="R17">
        <v>2</v>
      </c>
      <c r="S17">
        <v>1</v>
      </c>
      <c r="T17">
        <v>17</v>
      </c>
      <c r="U17">
        <v>39.287950000000002</v>
      </c>
      <c r="V17">
        <v>171448.6</v>
      </c>
    </row>
    <row r="18" spans="1:22" x14ac:dyDescent="0.25">
      <c r="A18" t="s">
        <v>889</v>
      </c>
      <c r="B18" t="s">
        <v>890</v>
      </c>
      <c r="C18">
        <v>105</v>
      </c>
      <c r="D18">
        <v>99</v>
      </c>
      <c r="E18">
        <v>99</v>
      </c>
      <c r="F18" t="s">
        <v>891</v>
      </c>
      <c r="G18" t="s">
        <v>891</v>
      </c>
      <c r="H18">
        <f t="shared" si="1"/>
        <v>9</v>
      </c>
      <c r="I18" s="2">
        <f>I17+1</f>
        <v>23</v>
      </c>
      <c r="J18" s="3">
        <f t="shared" si="0"/>
        <v>6</v>
      </c>
      <c r="K18" s="3">
        <f t="shared" si="2"/>
        <v>0.28195488721804507</v>
      </c>
      <c r="M18" s="1">
        <v>1.4507500454783401E-3</v>
      </c>
      <c r="N18">
        <v>1104.60546875</v>
      </c>
      <c r="O18">
        <v>553.30999999999904</v>
      </c>
      <c r="P18">
        <v>1104.60400390625</v>
      </c>
      <c r="Q18">
        <v>553.30926513671795</v>
      </c>
      <c r="R18">
        <v>2</v>
      </c>
      <c r="S18">
        <v>1</v>
      </c>
      <c r="T18">
        <v>8</v>
      </c>
      <c r="U18">
        <v>20.767900000000001</v>
      </c>
      <c r="V18">
        <v>287009.40000000002</v>
      </c>
    </row>
    <row r="19" spans="1:22" x14ac:dyDescent="0.25">
      <c r="A19" t="s">
        <v>193</v>
      </c>
      <c r="B19" t="s">
        <v>194</v>
      </c>
      <c r="C19">
        <v>279</v>
      </c>
      <c r="D19">
        <v>99</v>
      </c>
      <c r="E19">
        <v>99</v>
      </c>
      <c r="F19" t="s">
        <v>195</v>
      </c>
      <c r="G19" t="s">
        <v>195</v>
      </c>
      <c r="H19">
        <f t="shared" si="1"/>
        <v>9</v>
      </c>
      <c r="I19" s="2">
        <f t="shared" si="3"/>
        <v>24</v>
      </c>
      <c r="J19" s="3">
        <f t="shared" si="0"/>
        <v>1</v>
      </c>
      <c r="K19" s="3">
        <f t="shared" si="2"/>
        <v>4.6992481203007516E-2</v>
      </c>
      <c r="M19">
        <v>1.4790000000000001E-3</v>
      </c>
      <c r="N19">
        <v>1078.57861328125</v>
      </c>
      <c r="O19">
        <v>540.29660000000001</v>
      </c>
      <c r="P19">
        <v>1078.5771484375</v>
      </c>
      <c r="Q19">
        <v>540.29583740234295</v>
      </c>
      <c r="R19">
        <v>2</v>
      </c>
      <c r="S19">
        <v>5</v>
      </c>
      <c r="T19">
        <v>14</v>
      </c>
      <c r="U19">
        <v>22.261420000000001</v>
      </c>
      <c r="V19">
        <v>367149.4</v>
      </c>
    </row>
    <row r="20" spans="1:22" x14ac:dyDescent="0.25">
      <c r="A20" t="s">
        <v>169</v>
      </c>
      <c r="B20" t="s">
        <v>170</v>
      </c>
      <c r="C20">
        <v>473</v>
      </c>
      <c r="D20">
        <v>99</v>
      </c>
      <c r="E20">
        <v>99</v>
      </c>
      <c r="F20" t="s">
        <v>171</v>
      </c>
      <c r="G20" t="s">
        <v>171</v>
      </c>
      <c r="H20">
        <f t="shared" si="1"/>
        <v>9</v>
      </c>
      <c r="I20" s="2">
        <f t="shared" si="3"/>
        <v>25</v>
      </c>
      <c r="J20" s="3">
        <f t="shared" si="0"/>
        <v>0</v>
      </c>
      <c r="K20" s="3">
        <f t="shared" si="2"/>
        <v>0</v>
      </c>
      <c r="M20" s="1">
        <v>4.8203500919044E-3</v>
      </c>
      <c r="N20">
        <v>1898.88806152344</v>
      </c>
      <c r="O20">
        <v>633.97</v>
      </c>
      <c r="P20">
        <v>1898.88330078125</v>
      </c>
      <c r="Q20">
        <v>633.96838378906205</v>
      </c>
      <c r="R20">
        <v>3</v>
      </c>
      <c r="S20">
        <v>3</v>
      </c>
      <c r="T20">
        <v>14</v>
      </c>
      <c r="U20">
        <v>31.038900000000002</v>
      </c>
      <c r="V20">
        <v>481575.7</v>
      </c>
    </row>
    <row r="21" spans="1:22" x14ac:dyDescent="0.25">
      <c r="A21" t="s">
        <v>1632</v>
      </c>
      <c r="B21" t="s">
        <v>1633</v>
      </c>
      <c r="C21">
        <v>49</v>
      </c>
      <c r="D21">
        <v>99</v>
      </c>
      <c r="E21">
        <v>99</v>
      </c>
      <c r="F21" t="s">
        <v>1634</v>
      </c>
      <c r="G21" t="s">
        <v>1634</v>
      </c>
      <c r="H21">
        <f t="shared" si="1"/>
        <v>13</v>
      </c>
      <c r="J21" s="2">
        <f>SUM(J2:J20)</f>
        <v>2128</v>
      </c>
      <c r="M21" s="1">
        <v>-3.95381997805088E-4</v>
      </c>
      <c r="N21">
        <v>1087.58044433594</v>
      </c>
      <c r="O21">
        <v>544.79750000000001</v>
      </c>
      <c r="P21">
        <v>1087.58081054688</v>
      </c>
      <c r="Q21">
        <v>544.79766845703102</v>
      </c>
      <c r="R21">
        <v>2</v>
      </c>
      <c r="S21">
        <v>13</v>
      </c>
      <c r="T21">
        <v>12</v>
      </c>
      <c r="U21">
        <v>33.359720000000003</v>
      </c>
      <c r="V21">
        <v>883928.6</v>
      </c>
    </row>
    <row r="22" spans="1:22" x14ac:dyDescent="0.25">
      <c r="A22" t="s">
        <v>187</v>
      </c>
      <c r="B22" t="s">
        <v>188</v>
      </c>
      <c r="C22">
        <v>223</v>
      </c>
      <c r="D22">
        <v>98.8</v>
      </c>
      <c r="E22">
        <v>98.76</v>
      </c>
      <c r="F22" t="s">
        <v>189</v>
      </c>
      <c r="G22" t="s">
        <v>189</v>
      </c>
      <c r="H22">
        <f t="shared" si="1"/>
        <v>9</v>
      </c>
      <c r="M22" s="1">
        <v>4.4220201671123401E-3</v>
      </c>
      <c r="N22">
        <v>1136.61352539063</v>
      </c>
      <c r="O22">
        <v>569.31399999999906</v>
      </c>
      <c r="P22">
        <v>1136.60913085938</v>
      </c>
      <c r="Q22">
        <v>569.31182861328102</v>
      </c>
      <c r="R22">
        <v>2</v>
      </c>
      <c r="S22">
        <v>4</v>
      </c>
      <c r="T22">
        <v>11</v>
      </c>
      <c r="U22">
        <v>37.19415</v>
      </c>
      <c r="V22">
        <v>547896.80000000005</v>
      </c>
    </row>
    <row r="23" spans="1:22" x14ac:dyDescent="0.25">
      <c r="A23" t="s">
        <v>2365</v>
      </c>
      <c r="B23" t="s">
        <v>2366</v>
      </c>
      <c r="C23">
        <v>34</v>
      </c>
      <c r="D23">
        <v>99</v>
      </c>
      <c r="E23">
        <v>99</v>
      </c>
      <c r="F23" t="s">
        <v>2367</v>
      </c>
      <c r="G23" t="s">
        <v>2367</v>
      </c>
      <c r="H23">
        <f t="shared" si="1"/>
        <v>14</v>
      </c>
      <c r="M23" s="1">
        <v>3.45660001039505E-3</v>
      </c>
      <c r="N23">
        <v>1152.61486816406</v>
      </c>
      <c r="O23">
        <v>577.31470000000002</v>
      </c>
      <c r="P23">
        <v>1152.611328125</v>
      </c>
      <c r="Q23">
        <v>577.31298828125</v>
      </c>
      <c r="R23">
        <v>2</v>
      </c>
      <c r="S23">
        <v>4</v>
      </c>
      <c r="T23">
        <v>10</v>
      </c>
      <c r="U23">
        <v>37.6629</v>
      </c>
      <c r="V23">
        <v>318309.2</v>
      </c>
    </row>
    <row r="24" spans="1:22" x14ac:dyDescent="0.25">
      <c r="A24" t="s">
        <v>2365</v>
      </c>
      <c r="B24" t="s">
        <v>2366</v>
      </c>
      <c r="C24">
        <v>2</v>
      </c>
      <c r="D24">
        <v>99</v>
      </c>
      <c r="E24">
        <v>99</v>
      </c>
      <c r="F24" t="s">
        <v>2368</v>
      </c>
      <c r="G24" t="s">
        <v>2368</v>
      </c>
      <c r="H24">
        <f t="shared" si="1"/>
        <v>21</v>
      </c>
      <c r="L24" t="s">
        <v>227</v>
      </c>
      <c r="M24" s="1">
        <v>8.0422898754477501E-3</v>
      </c>
      <c r="N24">
        <v>1865.86584472656</v>
      </c>
      <c r="O24">
        <v>933.9402</v>
      </c>
      <c r="P24">
        <v>1865.85778808594</v>
      </c>
      <c r="Q24">
        <v>933.93615722656205</v>
      </c>
      <c r="R24">
        <v>2</v>
      </c>
      <c r="S24">
        <v>1</v>
      </c>
      <c r="T24">
        <v>12</v>
      </c>
      <c r="U24">
        <v>37.8063199999999</v>
      </c>
      <c r="V24">
        <v>194228.9</v>
      </c>
    </row>
    <row r="25" spans="1:22" x14ac:dyDescent="0.25">
      <c r="A25" t="s">
        <v>3900</v>
      </c>
      <c r="B25" t="s">
        <v>3901</v>
      </c>
      <c r="C25">
        <v>706</v>
      </c>
      <c r="D25">
        <v>99</v>
      </c>
      <c r="E25">
        <v>99</v>
      </c>
      <c r="F25" t="s">
        <v>3902</v>
      </c>
      <c r="G25" t="s">
        <v>3902</v>
      </c>
      <c r="H25">
        <f t="shared" si="1"/>
        <v>15</v>
      </c>
      <c r="M25" s="1">
        <v>3.2664700411260102E-3</v>
      </c>
      <c r="N25">
        <v>1153.62768554688</v>
      </c>
      <c r="O25">
        <v>577.8211</v>
      </c>
      <c r="P25">
        <v>1153.62438964844</v>
      </c>
      <c r="Q25">
        <v>577.81945800781205</v>
      </c>
      <c r="R25">
        <v>2</v>
      </c>
      <c r="S25">
        <v>9</v>
      </c>
      <c r="T25">
        <v>13</v>
      </c>
      <c r="U25">
        <v>37.09798</v>
      </c>
      <c r="V25">
        <v>11923370</v>
      </c>
    </row>
    <row r="26" spans="1:22" x14ac:dyDescent="0.25">
      <c r="A26" t="s">
        <v>2745</v>
      </c>
      <c r="B26" t="s">
        <v>2746</v>
      </c>
      <c r="C26">
        <v>822</v>
      </c>
      <c r="D26">
        <v>98.8</v>
      </c>
      <c r="E26">
        <v>98.84</v>
      </c>
      <c r="F26" t="s">
        <v>2747</v>
      </c>
      <c r="G26" t="s">
        <v>2747</v>
      </c>
      <c r="H26">
        <f t="shared" si="1"/>
        <v>9</v>
      </c>
      <c r="M26" s="1">
        <v>-3.73249000404029E-4</v>
      </c>
      <c r="N26">
        <v>1097.57604980469</v>
      </c>
      <c r="O26">
        <v>549.7953</v>
      </c>
      <c r="P26">
        <v>1097.57641601563</v>
      </c>
      <c r="Q26">
        <v>549.79547119140602</v>
      </c>
      <c r="R26">
        <v>2</v>
      </c>
      <c r="S26">
        <v>1</v>
      </c>
      <c r="T26">
        <v>12</v>
      </c>
      <c r="U26">
        <v>21.597950000000001</v>
      </c>
      <c r="V26">
        <v>891021.6</v>
      </c>
    </row>
    <row r="27" spans="1:22" x14ac:dyDescent="0.25">
      <c r="A27" t="s">
        <v>2745</v>
      </c>
      <c r="B27" t="s">
        <v>2746</v>
      </c>
      <c r="C27">
        <v>260</v>
      </c>
      <c r="D27">
        <v>97.6</v>
      </c>
      <c r="E27">
        <v>97.57</v>
      </c>
      <c r="F27" t="s">
        <v>2748</v>
      </c>
      <c r="G27" t="s">
        <v>2748</v>
      </c>
      <c r="H27">
        <f t="shared" si="1"/>
        <v>9</v>
      </c>
      <c r="M27" s="1">
        <v>7.9691400751471502E-3</v>
      </c>
      <c r="N27">
        <v>1368.81689453125</v>
      </c>
      <c r="O27">
        <v>685.41570000000002</v>
      </c>
      <c r="P27">
        <v>1368.80883789063</v>
      </c>
      <c r="Q27">
        <v>685.41174316406205</v>
      </c>
      <c r="R27">
        <v>2</v>
      </c>
      <c r="S27">
        <v>1</v>
      </c>
      <c r="T27">
        <v>12</v>
      </c>
      <c r="U27">
        <v>44.230800000000002</v>
      </c>
      <c r="V27">
        <v>141900</v>
      </c>
    </row>
    <row r="28" spans="1:22" x14ac:dyDescent="0.25">
      <c r="A28" t="s">
        <v>2745</v>
      </c>
      <c r="B28" t="s">
        <v>2746</v>
      </c>
      <c r="C28">
        <v>822</v>
      </c>
      <c r="D28">
        <v>97.7</v>
      </c>
      <c r="E28">
        <v>97.71</v>
      </c>
      <c r="F28" t="s">
        <v>2747</v>
      </c>
      <c r="G28" t="s">
        <v>2747</v>
      </c>
      <c r="H28">
        <f t="shared" si="1"/>
        <v>9</v>
      </c>
      <c r="L28" t="s">
        <v>397</v>
      </c>
      <c r="M28">
        <v>-8.0000000000000004E-4</v>
      </c>
      <c r="N28">
        <v>1003.51129150391</v>
      </c>
      <c r="O28">
        <v>502.7629</v>
      </c>
      <c r="P28">
        <v>1003.51208496094</v>
      </c>
      <c r="Q28">
        <v>502.76330566406301</v>
      </c>
      <c r="R28">
        <v>2</v>
      </c>
      <c r="S28">
        <v>2</v>
      </c>
      <c r="T28">
        <v>9</v>
      </c>
      <c r="U28">
        <v>23.379729999999899</v>
      </c>
      <c r="V28">
        <v>14308000</v>
      </c>
    </row>
    <row r="29" spans="1:22" x14ac:dyDescent="0.25">
      <c r="A29" t="s">
        <v>798</v>
      </c>
      <c r="B29" t="s">
        <v>799</v>
      </c>
      <c r="C29">
        <v>418</v>
      </c>
      <c r="D29">
        <v>98.1</v>
      </c>
      <c r="E29">
        <v>98.1</v>
      </c>
      <c r="F29" t="s">
        <v>800</v>
      </c>
      <c r="G29" t="s">
        <v>800</v>
      </c>
      <c r="H29">
        <f t="shared" si="1"/>
        <v>9</v>
      </c>
      <c r="M29" s="1">
        <v>7.69669981673359E-3</v>
      </c>
      <c r="N29">
        <v>1806.99169921875</v>
      </c>
      <c r="O29">
        <v>603.33780000000002</v>
      </c>
      <c r="P29">
        <v>1806.98400878906</v>
      </c>
      <c r="Q29">
        <v>603.33526611328102</v>
      </c>
      <c r="R29">
        <v>3</v>
      </c>
      <c r="S29">
        <v>1</v>
      </c>
      <c r="T29">
        <v>10</v>
      </c>
      <c r="U29">
        <v>41.4393999999999</v>
      </c>
      <c r="V29">
        <v>99699.54</v>
      </c>
    </row>
    <row r="30" spans="1:22" x14ac:dyDescent="0.25">
      <c r="A30" t="s">
        <v>798</v>
      </c>
      <c r="B30" t="s">
        <v>799</v>
      </c>
      <c r="C30">
        <v>430</v>
      </c>
      <c r="D30">
        <v>98.1</v>
      </c>
      <c r="E30">
        <v>98.05</v>
      </c>
      <c r="F30" t="s">
        <v>801</v>
      </c>
      <c r="G30" t="s">
        <v>801</v>
      </c>
      <c r="H30">
        <f t="shared" si="1"/>
        <v>16</v>
      </c>
      <c r="M30" s="1">
        <v>8.44269001390784E-4</v>
      </c>
      <c r="N30">
        <v>1746.84802246094</v>
      </c>
      <c r="O30">
        <v>874.43129999999906</v>
      </c>
      <c r="P30">
        <v>1746.84716796875</v>
      </c>
      <c r="Q30">
        <v>874.43084716796795</v>
      </c>
      <c r="R30">
        <v>2</v>
      </c>
      <c r="S30">
        <v>1</v>
      </c>
      <c r="T30">
        <v>11</v>
      </c>
      <c r="U30">
        <v>23.29345</v>
      </c>
      <c r="V30">
        <v>137108.799999999</v>
      </c>
    </row>
    <row r="31" spans="1:22" x14ac:dyDescent="0.25">
      <c r="A31" t="s">
        <v>514</v>
      </c>
      <c r="B31" t="s">
        <v>515</v>
      </c>
      <c r="C31">
        <v>74</v>
      </c>
      <c r="D31">
        <v>98</v>
      </c>
      <c r="E31">
        <v>97.96</v>
      </c>
      <c r="F31" t="s">
        <v>516</v>
      </c>
      <c r="G31" t="s">
        <v>516</v>
      </c>
      <c r="H31">
        <f t="shared" si="1"/>
        <v>9</v>
      </c>
      <c r="M31" s="1">
        <v>4.2463098652660803E-3</v>
      </c>
      <c r="N31">
        <v>1621.97106933594</v>
      </c>
      <c r="O31">
        <v>811.99279999999897</v>
      </c>
      <c r="P31">
        <v>1621.966796875</v>
      </c>
      <c r="Q31">
        <v>811.99066162109295</v>
      </c>
      <c r="R31">
        <v>2</v>
      </c>
      <c r="S31">
        <v>1</v>
      </c>
      <c r="T31">
        <v>21</v>
      </c>
      <c r="U31">
        <v>36.329470000000001</v>
      </c>
      <c r="V31">
        <v>1247646</v>
      </c>
    </row>
    <row r="32" spans="1:22" x14ac:dyDescent="0.25">
      <c r="A32" t="s">
        <v>2208</v>
      </c>
      <c r="B32" t="s">
        <v>2209</v>
      </c>
      <c r="C32">
        <v>117</v>
      </c>
      <c r="D32">
        <v>99</v>
      </c>
      <c r="E32">
        <v>99</v>
      </c>
      <c r="F32" t="s">
        <v>588</v>
      </c>
      <c r="G32" t="s">
        <v>588</v>
      </c>
      <c r="H32">
        <f t="shared" si="1"/>
        <v>9</v>
      </c>
      <c r="M32" s="1">
        <v>-3.9120498113334101E-3</v>
      </c>
      <c r="N32">
        <v>1871.10656738281</v>
      </c>
      <c r="O32">
        <v>624.70950000000005</v>
      </c>
      <c r="P32">
        <v>1871.11047363281</v>
      </c>
      <c r="Q32">
        <v>624.71075439453102</v>
      </c>
      <c r="R32">
        <v>3</v>
      </c>
      <c r="S32">
        <v>1</v>
      </c>
      <c r="T32">
        <v>12</v>
      </c>
      <c r="U32">
        <v>18.1066</v>
      </c>
      <c r="V32">
        <v>418364.2</v>
      </c>
    </row>
    <row r="33" spans="1:22" x14ac:dyDescent="0.25">
      <c r="A33" t="s">
        <v>2208</v>
      </c>
      <c r="B33" t="s">
        <v>2209</v>
      </c>
      <c r="C33">
        <v>117</v>
      </c>
      <c r="D33">
        <v>98.6</v>
      </c>
      <c r="E33">
        <v>98.6</v>
      </c>
      <c r="F33" t="s">
        <v>587</v>
      </c>
      <c r="G33" t="s">
        <v>587</v>
      </c>
      <c r="H33">
        <f t="shared" si="1"/>
        <v>10</v>
      </c>
      <c r="M33" s="1">
        <v>4.4972198083996703E-3</v>
      </c>
      <c r="N33">
        <v>1841.88403320313</v>
      </c>
      <c r="O33">
        <v>614.96860000000004</v>
      </c>
      <c r="P33">
        <v>1841.87951660156</v>
      </c>
      <c r="Q33">
        <v>614.96710205078102</v>
      </c>
      <c r="R33">
        <v>3</v>
      </c>
      <c r="S33">
        <v>1</v>
      </c>
      <c r="T33">
        <v>12</v>
      </c>
      <c r="U33">
        <v>37.988779999999899</v>
      </c>
      <c r="V33">
        <v>103824.7</v>
      </c>
    </row>
    <row r="34" spans="1:22" x14ac:dyDescent="0.25">
      <c r="A34" t="s">
        <v>1185</v>
      </c>
      <c r="B34" t="s">
        <v>1186</v>
      </c>
      <c r="C34">
        <v>589</v>
      </c>
      <c r="D34">
        <v>99</v>
      </c>
      <c r="E34">
        <v>98.97</v>
      </c>
      <c r="F34" t="s">
        <v>1187</v>
      </c>
      <c r="G34" t="s">
        <v>1187</v>
      </c>
      <c r="H34">
        <f t="shared" si="1"/>
        <v>9</v>
      </c>
      <c r="M34" s="1">
        <v>-2.367930021137E-3</v>
      </c>
      <c r="N34">
        <v>1061.57470703125</v>
      </c>
      <c r="O34">
        <v>531.79459999999904</v>
      </c>
      <c r="P34">
        <v>1061.57702636719</v>
      </c>
      <c r="Q34">
        <v>531.79577636718705</v>
      </c>
      <c r="R34">
        <v>2</v>
      </c>
      <c r="S34">
        <v>6</v>
      </c>
      <c r="T34">
        <v>12</v>
      </c>
      <c r="U34">
        <v>21.385370000000002</v>
      </c>
      <c r="V34">
        <v>3984473</v>
      </c>
    </row>
    <row r="35" spans="1:22" x14ac:dyDescent="0.25">
      <c r="A35" t="s">
        <v>1090</v>
      </c>
      <c r="B35" t="s">
        <v>1091</v>
      </c>
      <c r="C35">
        <v>107</v>
      </c>
      <c r="D35">
        <v>99</v>
      </c>
      <c r="E35">
        <v>99</v>
      </c>
      <c r="F35" t="s">
        <v>1092</v>
      </c>
      <c r="G35" t="s">
        <v>1092</v>
      </c>
      <c r="H35">
        <f t="shared" si="1"/>
        <v>17</v>
      </c>
      <c r="M35" s="1">
        <v>5.5274697951972502E-3</v>
      </c>
      <c r="N35">
        <v>1760.86364746094</v>
      </c>
      <c r="O35">
        <v>881.43910000000005</v>
      </c>
      <c r="P35">
        <v>1760.85815429688</v>
      </c>
      <c r="Q35">
        <v>881.43634033203102</v>
      </c>
      <c r="R35">
        <v>2</v>
      </c>
      <c r="S35">
        <v>2</v>
      </c>
      <c r="T35">
        <v>17</v>
      </c>
      <c r="U35">
        <v>44.46613</v>
      </c>
      <c r="V35">
        <v>326551.7</v>
      </c>
    </row>
    <row r="36" spans="1:22" x14ac:dyDescent="0.25">
      <c r="A36" t="s">
        <v>4608</v>
      </c>
      <c r="B36" t="s">
        <v>4609</v>
      </c>
      <c r="C36">
        <v>167</v>
      </c>
      <c r="D36">
        <v>97.6</v>
      </c>
      <c r="E36">
        <v>97.61</v>
      </c>
      <c r="F36" t="s">
        <v>4610</v>
      </c>
      <c r="G36" t="s">
        <v>4610</v>
      </c>
      <c r="H36">
        <f t="shared" si="1"/>
        <v>9</v>
      </c>
      <c r="M36">
        <v>3.251E-3</v>
      </c>
      <c r="N36">
        <v>1873.94543457031</v>
      </c>
      <c r="O36">
        <v>937.98</v>
      </c>
      <c r="P36">
        <v>1873.94213867188</v>
      </c>
      <c r="Q36">
        <v>937.97833251953102</v>
      </c>
      <c r="R36">
        <v>2</v>
      </c>
      <c r="S36">
        <v>1</v>
      </c>
      <c r="T36">
        <v>10</v>
      </c>
      <c r="U36">
        <v>48.200519999999898</v>
      </c>
      <c r="V36">
        <v>119194.2</v>
      </c>
    </row>
    <row r="37" spans="1:22" x14ac:dyDescent="0.25">
      <c r="A37" t="s">
        <v>2096</v>
      </c>
      <c r="B37" t="s">
        <v>2097</v>
      </c>
      <c r="C37">
        <v>70</v>
      </c>
      <c r="D37">
        <v>99</v>
      </c>
      <c r="E37">
        <v>99</v>
      </c>
      <c r="F37" t="s">
        <v>2098</v>
      </c>
      <c r="G37" t="s">
        <v>2098</v>
      </c>
      <c r="H37">
        <f t="shared" si="1"/>
        <v>12</v>
      </c>
      <c r="M37" s="1">
        <v>7.0347702130675203E-3</v>
      </c>
      <c r="N37">
        <v>1635.93786621094</v>
      </c>
      <c r="O37">
        <v>818.97619999999904</v>
      </c>
      <c r="P37">
        <v>1635.93078613281</v>
      </c>
      <c r="Q37">
        <v>818.97265625</v>
      </c>
      <c r="R37">
        <v>2</v>
      </c>
      <c r="S37">
        <v>1</v>
      </c>
      <c r="T37">
        <v>15</v>
      </c>
      <c r="U37">
        <v>40.745199999999897</v>
      </c>
      <c r="V37">
        <v>140974.1</v>
      </c>
    </row>
    <row r="38" spans="1:22" x14ac:dyDescent="0.25">
      <c r="A38" t="s">
        <v>1456</v>
      </c>
      <c r="B38" t="s">
        <v>1457</v>
      </c>
      <c r="C38">
        <v>95</v>
      </c>
      <c r="D38">
        <v>96.8</v>
      </c>
      <c r="E38">
        <v>96.84</v>
      </c>
      <c r="F38" t="s">
        <v>1458</v>
      </c>
      <c r="G38" t="s">
        <v>1458</v>
      </c>
      <c r="H38">
        <f t="shared" si="1"/>
        <v>11</v>
      </c>
      <c r="L38" t="s">
        <v>541</v>
      </c>
      <c r="M38" s="1">
        <v>3.0933800153434199E-3</v>
      </c>
      <c r="N38">
        <v>1052.57983398438</v>
      </c>
      <c r="O38">
        <v>527.29719999999895</v>
      </c>
      <c r="P38">
        <v>1052.57666015625</v>
      </c>
      <c r="Q38">
        <v>527.295654296875</v>
      </c>
      <c r="R38">
        <v>2</v>
      </c>
      <c r="S38">
        <v>1</v>
      </c>
      <c r="T38">
        <v>12</v>
      </c>
      <c r="U38">
        <v>43.178600000000003</v>
      </c>
      <c r="V38">
        <v>699532.9</v>
      </c>
    </row>
    <row r="39" spans="1:22" x14ac:dyDescent="0.25">
      <c r="A39" t="s">
        <v>2017</v>
      </c>
      <c r="B39" t="s">
        <v>2018</v>
      </c>
      <c r="C39">
        <v>8</v>
      </c>
      <c r="D39">
        <v>99</v>
      </c>
      <c r="E39">
        <v>99</v>
      </c>
      <c r="F39" t="s">
        <v>2019</v>
      </c>
      <c r="G39" t="s">
        <v>2019</v>
      </c>
      <c r="H39">
        <f t="shared" si="1"/>
        <v>19</v>
      </c>
      <c r="M39" s="1">
        <v>8.7989103049039806E-3</v>
      </c>
      <c r="N39">
        <v>1807.98803710938</v>
      </c>
      <c r="O39">
        <v>905.00130000000001</v>
      </c>
      <c r="P39">
        <v>1807.97924804688</v>
      </c>
      <c r="Q39">
        <v>904.99688720703102</v>
      </c>
      <c r="R39">
        <v>2</v>
      </c>
      <c r="S39">
        <v>2</v>
      </c>
      <c r="T39">
        <v>14</v>
      </c>
      <c r="U39">
        <v>41.455370000000002</v>
      </c>
      <c r="V39">
        <v>87980.26</v>
      </c>
    </row>
    <row r="40" spans="1:22" x14ac:dyDescent="0.25">
      <c r="A40" t="s">
        <v>2017</v>
      </c>
      <c r="B40" t="s">
        <v>2018</v>
      </c>
      <c r="C40">
        <v>134</v>
      </c>
      <c r="D40">
        <v>97.7</v>
      </c>
      <c r="E40">
        <v>97.65</v>
      </c>
      <c r="F40" t="s">
        <v>2020</v>
      </c>
      <c r="G40" t="s">
        <v>2020</v>
      </c>
      <c r="H40">
        <f t="shared" si="1"/>
        <v>12</v>
      </c>
      <c r="M40" s="1">
        <v>1.2512000277638401E-2</v>
      </c>
      <c r="N40">
        <v>1909.03942871094</v>
      </c>
      <c r="O40">
        <v>955.52700000000004</v>
      </c>
      <c r="P40">
        <v>1909.02685546875</v>
      </c>
      <c r="Q40">
        <v>955.520751953125</v>
      </c>
      <c r="R40">
        <v>2</v>
      </c>
      <c r="S40">
        <v>2</v>
      </c>
      <c r="T40">
        <v>14</v>
      </c>
      <c r="U40">
        <v>41.289670000000001</v>
      </c>
      <c r="V40">
        <v>180489</v>
      </c>
    </row>
    <row r="41" spans="1:22" x14ac:dyDescent="0.25">
      <c r="A41" t="s">
        <v>2017</v>
      </c>
      <c r="B41" t="s">
        <v>2018</v>
      </c>
      <c r="C41">
        <v>2</v>
      </c>
      <c r="D41">
        <v>99</v>
      </c>
      <c r="E41">
        <v>99</v>
      </c>
      <c r="F41" t="s">
        <v>2021</v>
      </c>
      <c r="G41" t="s">
        <v>2021</v>
      </c>
      <c r="H41">
        <f t="shared" si="1"/>
        <v>12</v>
      </c>
      <c r="M41" s="1">
        <v>5.6433398276567502E-3</v>
      </c>
      <c r="N41">
        <v>1513.74291992188</v>
      </c>
      <c r="O41">
        <v>757.87869999999896</v>
      </c>
      <c r="P41">
        <v>1513.7373046875</v>
      </c>
      <c r="Q41">
        <v>757.87591552734295</v>
      </c>
      <c r="R41">
        <v>2</v>
      </c>
      <c r="S41">
        <v>1</v>
      </c>
      <c r="T41">
        <v>13</v>
      </c>
      <c r="U41">
        <v>39.724179999999897</v>
      </c>
      <c r="V41">
        <v>103595.6</v>
      </c>
    </row>
    <row r="42" spans="1:22" x14ac:dyDescent="0.25">
      <c r="A42" t="s">
        <v>2017</v>
      </c>
      <c r="B42" t="s">
        <v>2018</v>
      </c>
      <c r="C42">
        <v>2</v>
      </c>
      <c r="D42">
        <v>99</v>
      </c>
      <c r="E42">
        <v>99</v>
      </c>
      <c r="F42" t="s">
        <v>2022</v>
      </c>
      <c r="G42" t="s">
        <v>2022</v>
      </c>
      <c r="H42">
        <f t="shared" si="1"/>
        <v>19</v>
      </c>
      <c r="M42" s="1">
        <v>1.34193003177643E-2</v>
      </c>
      <c r="N42">
        <v>1729.82531738281</v>
      </c>
      <c r="O42">
        <v>865.91989999999896</v>
      </c>
      <c r="P42">
        <v>1729.81188964844</v>
      </c>
      <c r="Q42">
        <v>865.91320800781205</v>
      </c>
      <c r="R42">
        <v>2</v>
      </c>
      <c r="S42">
        <v>1</v>
      </c>
      <c r="T42">
        <v>11</v>
      </c>
      <c r="U42">
        <v>40.932830000000003</v>
      </c>
      <c r="V42">
        <v>103029.5</v>
      </c>
    </row>
    <row r="43" spans="1:22" x14ac:dyDescent="0.25">
      <c r="A43" t="s">
        <v>616</v>
      </c>
      <c r="B43" t="s">
        <v>617</v>
      </c>
      <c r="C43">
        <v>73</v>
      </c>
      <c r="D43">
        <v>99</v>
      </c>
      <c r="E43">
        <v>99</v>
      </c>
      <c r="F43" t="s">
        <v>618</v>
      </c>
      <c r="G43" t="s">
        <v>618</v>
      </c>
      <c r="H43">
        <f t="shared" si="1"/>
        <v>11</v>
      </c>
      <c r="M43" s="1">
        <v>4.9003302119672203E-3</v>
      </c>
      <c r="N43">
        <v>1892.88012695313</v>
      </c>
      <c r="O43">
        <v>947.44730000000004</v>
      </c>
      <c r="P43">
        <v>1892.87524414063</v>
      </c>
      <c r="Q43">
        <v>947.44488525390602</v>
      </c>
      <c r="R43">
        <v>2</v>
      </c>
      <c r="S43">
        <v>1</v>
      </c>
      <c r="T43">
        <v>20</v>
      </c>
      <c r="U43">
        <v>46.74165</v>
      </c>
      <c r="V43">
        <v>347533.1</v>
      </c>
    </row>
    <row r="44" spans="1:22" x14ac:dyDescent="0.25">
      <c r="A44" t="s">
        <v>2460</v>
      </c>
      <c r="B44" t="s">
        <v>2461</v>
      </c>
      <c r="C44">
        <v>61</v>
      </c>
      <c r="D44">
        <v>99</v>
      </c>
      <c r="E44">
        <v>99</v>
      </c>
      <c r="F44" t="s">
        <v>2462</v>
      </c>
      <c r="G44" t="s">
        <v>2462</v>
      </c>
      <c r="H44">
        <f t="shared" si="1"/>
        <v>16</v>
      </c>
      <c r="M44" s="1">
        <v>9.0100103989243507E-3</v>
      </c>
      <c r="N44">
        <v>1958.03112792969</v>
      </c>
      <c r="O44">
        <v>653.68430000000001</v>
      </c>
      <c r="P44">
        <v>1958.02209472656</v>
      </c>
      <c r="Q44">
        <v>653.68133544921795</v>
      </c>
      <c r="R44">
        <v>3</v>
      </c>
      <c r="S44">
        <v>5</v>
      </c>
      <c r="T44">
        <v>17</v>
      </c>
      <c r="U44">
        <v>39.8687299999999</v>
      </c>
      <c r="V44">
        <v>270112.3</v>
      </c>
    </row>
    <row r="45" spans="1:22" x14ac:dyDescent="0.25">
      <c r="A45" t="s">
        <v>2460</v>
      </c>
      <c r="B45" t="s">
        <v>2461</v>
      </c>
      <c r="C45">
        <v>61</v>
      </c>
      <c r="D45">
        <v>99</v>
      </c>
      <c r="E45">
        <v>99</v>
      </c>
      <c r="F45" t="s">
        <v>2463</v>
      </c>
      <c r="G45" t="s">
        <v>2463</v>
      </c>
      <c r="H45">
        <f t="shared" si="1"/>
        <v>17</v>
      </c>
      <c r="M45" s="1">
        <v>7.6926602050661902E-3</v>
      </c>
      <c r="N45">
        <v>3135.68530273438</v>
      </c>
      <c r="O45">
        <v>784.92859999999905</v>
      </c>
      <c r="P45">
        <v>3135.67749023438</v>
      </c>
      <c r="Q45">
        <v>784.92663574218705</v>
      </c>
      <c r="R45">
        <v>4</v>
      </c>
      <c r="S45">
        <v>1</v>
      </c>
      <c r="T45">
        <v>12</v>
      </c>
      <c r="U45">
        <v>32.476050000000001</v>
      </c>
      <c r="V45">
        <v>920236</v>
      </c>
    </row>
    <row r="46" spans="1:22" x14ac:dyDescent="0.25">
      <c r="A46" t="s">
        <v>2460</v>
      </c>
      <c r="B46" t="s">
        <v>2461</v>
      </c>
      <c r="C46">
        <v>60</v>
      </c>
      <c r="D46">
        <v>99</v>
      </c>
      <c r="E46">
        <v>99</v>
      </c>
      <c r="F46" t="s">
        <v>2464</v>
      </c>
      <c r="G46" t="s">
        <v>2464</v>
      </c>
      <c r="H46">
        <f t="shared" si="1"/>
        <v>17</v>
      </c>
      <c r="M46" s="1">
        <v>9.5696402713656408E-3</v>
      </c>
      <c r="N46">
        <v>1652.86181640625</v>
      </c>
      <c r="O46">
        <v>827.43820000000005</v>
      </c>
      <c r="P46">
        <v>1652.85217285156</v>
      </c>
      <c r="Q46">
        <v>827.43341064453102</v>
      </c>
      <c r="R46">
        <v>2</v>
      </c>
      <c r="S46">
        <v>3</v>
      </c>
      <c r="T46">
        <v>10</v>
      </c>
      <c r="U46">
        <v>45.52655</v>
      </c>
      <c r="V46">
        <v>58671.02</v>
      </c>
    </row>
    <row r="47" spans="1:22" x14ac:dyDescent="0.25">
      <c r="A47" t="s">
        <v>2460</v>
      </c>
      <c r="B47" t="s">
        <v>2461</v>
      </c>
      <c r="C47">
        <v>60</v>
      </c>
      <c r="D47">
        <v>99</v>
      </c>
      <c r="E47">
        <v>99</v>
      </c>
      <c r="F47" t="s">
        <v>2465</v>
      </c>
      <c r="G47" t="s">
        <v>2465</v>
      </c>
      <c r="H47">
        <f t="shared" si="1"/>
        <v>18</v>
      </c>
      <c r="M47" s="1">
        <v>8.1242397427558795E-3</v>
      </c>
      <c r="N47">
        <v>1864.88122558594</v>
      </c>
      <c r="O47">
        <v>933.4479</v>
      </c>
      <c r="P47">
        <v>1864.873046875</v>
      </c>
      <c r="Q47">
        <v>933.44378662109295</v>
      </c>
      <c r="R47">
        <v>2</v>
      </c>
      <c r="S47">
        <v>1</v>
      </c>
      <c r="T47">
        <v>11</v>
      </c>
      <c r="U47">
        <v>56.759830000000001</v>
      </c>
      <c r="V47">
        <v>187747.3</v>
      </c>
    </row>
    <row r="48" spans="1:22" x14ac:dyDescent="0.25">
      <c r="A48" t="s">
        <v>2460</v>
      </c>
      <c r="B48" t="s">
        <v>2461</v>
      </c>
      <c r="C48">
        <v>61</v>
      </c>
      <c r="D48">
        <v>98.1</v>
      </c>
      <c r="E48">
        <v>98.06</v>
      </c>
      <c r="F48" t="s">
        <v>2466</v>
      </c>
      <c r="G48" t="s">
        <v>2466</v>
      </c>
      <c r="H48">
        <f t="shared" si="1"/>
        <v>18</v>
      </c>
      <c r="M48" s="1">
        <v>1.1042200028896301E-2</v>
      </c>
      <c r="N48">
        <v>2171.03930664063</v>
      </c>
      <c r="O48">
        <v>724.68709999999896</v>
      </c>
      <c r="P48">
        <v>2171.0283203125</v>
      </c>
      <c r="Q48">
        <v>724.68341064453102</v>
      </c>
      <c r="R48">
        <v>3</v>
      </c>
      <c r="S48">
        <v>1</v>
      </c>
      <c r="T48">
        <v>10</v>
      </c>
      <c r="U48">
        <v>38.438519999999897</v>
      </c>
      <c r="V48">
        <v>249475.3</v>
      </c>
    </row>
    <row r="49" spans="1:22" x14ac:dyDescent="0.25">
      <c r="A49" t="s">
        <v>2460</v>
      </c>
      <c r="B49" t="s">
        <v>2461</v>
      </c>
      <c r="C49">
        <v>60</v>
      </c>
      <c r="D49">
        <v>99</v>
      </c>
      <c r="E49">
        <v>99</v>
      </c>
      <c r="F49" t="s">
        <v>2467</v>
      </c>
      <c r="G49" t="s">
        <v>2467</v>
      </c>
      <c r="H49">
        <f t="shared" si="1"/>
        <v>19</v>
      </c>
      <c r="M49" s="1">
        <v>-1.4609299832955001E-3</v>
      </c>
      <c r="N49">
        <v>1766.91479492188</v>
      </c>
      <c r="O49">
        <v>589.97889999999904</v>
      </c>
      <c r="P49">
        <v>1766.91625976563</v>
      </c>
      <c r="Q49">
        <v>589.97937011718705</v>
      </c>
      <c r="R49">
        <v>3</v>
      </c>
      <c r="S49">
        <v>1</v>
      </c>
      <c r="T49">
        <v>13</v>
      </c>
      <c r="U49">
        <v>25.40532</v>
      </c>
      <c r="V49">
        <v>408713.5</v>
      </c>
    </row>
    <row r="50" spans="1:22" x14ac:dyDescent="0.25">
      <c r="A50" t="s">
        <v>2460</v>
      </c>
      <c r="B50" t="s">
        <v>2461</v>
      </c>
      <c r="C50">
        <v>60</v>
      </c>
      <c r="D50">
        <v>99</v>
      </c>
      <c r="E50">
        <v>99</v>
      </c>
      <c r="F50" t="s">
        <v>2465</v>
      </c>
      <c r="G50" t="s">
        <v>2465</v>
      </c>
      <c r="H50">
        <f t="shared" si="1"/>
        <v>18</v>
      </c>
      <c r="L50" t="s">
        <v>598</v>
      </c>
      <c r="M50" s="1">
        <v>5.1975301466882203E-3</v>
      </c>
      <c r="N50">
        <v>1754.02551269531</v>
      </c>
      <c r="O50">
        <v>878.02</v>
      </c>
      <c r="P50">
        <v>1754.02026367188</v>
      </c>
      <c r="Q50">
        <v>878.01739501953102</v>
      </c>
      <c r="R50">
        <v>2</v>
      </c>
      <c r="S50">
        <v>1</v>
      </c>
      <c r="T50">
        <v>9</v>
      </c>
      <c r="U50">
        <v>45.843699999999899</v>
      </c>
      <c r="V50">
        <v>109313.9</v>
      </c>
    </row>
    <row r="51" spans="1:22" x14ac:dyDescent="0.25">
      <c r="A51" t="s">
        <v>2422</v>
      </c>
      <c r="B51" t="s">
        <v>2423</v>
      </c>
      <c r="C51">
        <v>26</v>
      </c>
      <c r="D51">
        <v>99</v>
      </c>
      <c r="E51">
        <v>99</v>
      </c>
      <c r="F51" t="s">
        <v>2424</v>
      </c>
      <c r="G51" t="s">
        <v>2424</v>
      </c>
      <c r="H51">
        <f t="shared" si="1"/>
        <v>9</v>
      </c>
      <c r="M51" s="1">
        <v>4.8640500754118E-3</v>
      </c>
      <c r="N51">
        <v>1812.90551757813</v>
      </c>
      <c r="O51">
        <v>907.46</v>
      </c>
      <c r="P51">
        <v>1812.90063476563</v>
      </c>
      <c r="Q51">
        <v>907.45758056640602</v>
      </c>
      <c r="R51">
        <v>2</v>
      </c>
      <c r="S51">
        <v>1</v>
      </c>
      <c r="T51">
        <v>9</v>
      </c>
      <c r="U51">
        <v>45.422330000000002</v>
      </c>
      <c r="V51">
        <v>65520.75</v>
      </c>
    </row>
    <row r="52" spans="1:22" x14ac:dyDescent="0.25">
      <c r="A52" t="s">
        <v>2422</v>
      </c>
      <c r="B52" t="s">
        <v>2423</v>
      </c>
      <c r="C52">
        <v>2</v>
      </c>
      <c r="D52">
        <v>99</v>
      </c>
      <c r="E52">
        <v>99</v>
      </c>
      <c r="F52" t="s">
        <v>2425</v>
      </c>
      <c r="G52" t="s">
        <v>2425</v>
      </c>
      <c r="H52">
        <f t="shared" si="1"/>
        <v>12</v>
      </c>
      <c r="M52" s="1">
        <v>7.9470500349998405E-3</v>
      </c>
      <c r="N52">
        <v>1466.79211425781</v>
      </c>
      <c r="O52">
        <v>734.40329999999904</v>
      </c>
      <c r="P52">
        <v>1466.7841796875</v>
      </c>
      <c r="Q52">
        <v>734.39935302734295</v>
      </c>
      <c r="R52">
        <v>2</v>
      </c>
      <c r="S52">
        <v>1</v>
      </c>
      <c r="T52">
        <v>9</v>
      </c>
      <c r="U52">
        <v>40.868870000000001</v>
      </c>
      <c r="V52">
        <v>78020.02</v>
      </c>
    </row>
    <row r="53" spans="1:22" x14ac:dyDescent="0.25">
      <c r="A53" t="s">
        <v>2422</v>
      </c>
      <c r="B53" t="s">
        <v>2423</v>
      </c>
      <c r="C53">
        <v>3</v>
      </c>
      <c r="D53">
        <v>99</v>
      </c>
      <c r="E53">
        <v>98.97</v>
      </c>
      <c r="F53" t="s">
        <v>2426</v>
      </c>
      <c r="G53" t="s">
        <v>2426</v>
      </c>
      <c r="H53">
        <f t="shared" si="1"/>
        <v>9</v>
      </c>
      <c r="M53" s="1">
        <v>7.7029098756611304E-3</v>
      </c>
      <c r="N53">
        <v>1466.79187011719</v>
      </c>
      <c r="O53">
        <v>734.40319999999895</v>
      </c>
      <c r="P53">
        <v>1466.7841796875</v>
      </c>
      <c r="Q53">
        <v>734.39935302734295</v>
      </c>
      <c r="R53">
        <v>2</v>
      </c>
      <c r="S53">
        <v>1</v>
      </c>
      <c r="T53">
        <v>11</v>
      </c>
      <c r="U53">
        <v>40.875819999999898</v>
      </c>
      <c r="V53">
        <v>58111.66</v>
      </c>
    </row>
    <row r="54" spans="1:22" x14ac:dyDescent="0.25">
      <c r="A54" t="s">
        <v>2422</v>
      </c>
      <c r="B54" t="s">
        <v>2423</v>
      </c>
      <c r="C54">
        <v>3</v>
      </c>
      <c r="D54">
        <v>99</v>
      </c>
      <c r="E54">
        <v>99</v>
      </c>
      <c r="F54" t="s">
        <v>2427</v>
      </c>
      <c r="G54" t="s">
        <v>2427</v>
      </c>
      <c r="H54">
        <f t="shared" si="1"/>
        <v>10</v>
      </c>
      <c r="M54" s="1">
        <v>5.3912498988211103E-3</v>
      </c>
      <c r="N54">
        <v>1594.88452148438</v>
      </c>
      <c r="O54">
        <v>798.44949999999903</v>
      </c>
      <c r="P54">
        <v>1594.87915039063</v>
      </c>
      <c r="Q54">
        <v>798.44683837890602</v>
      </c>
      <c r="R54">
        <v>2</v>
      </c>
      <c r="S54">
        <v>1</v>
      </c>
      <c r="T54">
        <v>12</v>
      </c>
      <c r="U54">
        <v>34.354529999999897</v>
      </c>
      <c r="V54">
        <v>197222.8</v>
      </c>
    </row>
    <row r="55" spans="1:22" x14ac:dyDescent="0.25">
      <c r="A55" t="s">
        <v>417</v>
      </c>
      <c r="B55" t="s">
        <v>418</v>
      </c>
      <c r="C55">
        <v>166</v>
      </c>
      <c r="D55">
        <v>99</v>
      </c>
      <c r="E55">
        <v>99</v>
      </c>
      <c r="F55" t="s">
        <v>17</v>
      </c>
      <c r="G55" t="s">
        <v>17</v>
      </c>
      <c r="H55">
        <f t="shared" si="1"/>
        <v>10</v>
      </c>
      <c r="M55">
        <v>6.7340000000000004E-3</v>
      </c>
      <c r="N55">
        <v>1594.88586425781</v>
      </c>
      <c r="O55">
        <v>798.4502</v>
      </c>
      <c r="P55">
        <v>1594.87915039063</v>
      </c>
      <c r="Q55">
        <v>798.44683837890602</v>
      </c>
      <c r="R55">
        <v>2</v>
      </c>
      <c r="S55">
        <v>1</v>
      </c>
      <c r="T55">
        <v>11</v>
      </c>
      <c r="U55">
        <v>34.329650000000001</v>
      </c>
      <c r="V55">
        <v>132612.6</v>
      </c>
    </row>
    <row r="56" spans="1:22" x14ac:dyDescent="0.25">
      <c r="A56" t="s">
        <v>131</v>
      </c>
      <c r="B56" t="s">
        <v>132</v>
      </c>
      <c r="C56">
        <v>2</v>
      </c>
      <c r="D56">
        <v>99</v>
      </c>
      <c r="E56">
        <v>99</v>
      </c>
      <c r="F56" t="s">
        <v>2093</v>
      </c>
      <c r="G56" t="s">
        <v>2093</v>
      </c>
      <c r="H56">
        <f t="shared" si="1"/>
        <v>18</v>
      </c>
      <c r="L56" t="s">
        <v>2094</v>
      </c>
      <c r="M56" s="1">
        <v>-2.1816100925206999E-3</v>
      </c>
      <c r="N56">
        <v>1013.50549316406</v>
      </c>
      <c r="O56">
        <v>507.76</v>
      </c>
      <c r="P56">
        <v>1013.50762939453</v>
      </c>
      <c r="Q56">
        <v>507.76110839843801</v>
      </c>
      <c r="R56">
        <v>2</v>
      </c>
      <c r="S56">
        <v>4</v>
      </c>
      <c r="T56">
        <v>12</v>
      </c>
      <c r="U56">
        <v>18.5777</v>
      </c>
      <c r="V56">
        <v>202541.2</v>
      </c>
    </row>
    <row r="57" spans="1:22" x14ac:dyDescent="0.25">
      <c r="A57" t="s">
        <v>131</v>
      </c>
      <c r="B57" t="s">
        <v>132</v>
      </c>
      <c r="C57">
        <v>2</v>
      </c>
      <c r="D57">
        <v>99</v>
      </c>
      <c r="E57">
        <v>99</v>
      </c>
      <c r="F57" t="s">
        <v>2093</v>
      </c>
      <c r="G57" t="s">
        <v>2093</v>
      </c>
      <c r="H57">
        <f t="shared" si="1"/>
        <v>18</v>
      </c>
      <c r="L57" t="s">
        <v>2095</v>
      </c>
      <c r="M57" s="1">
        <v>-2.3936200886964698E-3</v>
      </c>
      <c r="N57">
        <v>1058.47912597656</v>
      </c>
      <c r="O57">
        <v>530.24680000000001</v>
      </c>
      <c r="P57">
        <v>1058.4814453125</v>
      </c>
      <c r="Q57">
        <v>530.248046875</v>
      </c>
      <c r="R57">
        <v>2</v>
      </c>
      <c r="S57">
        <v>6</v>
      </c>
      <c r="T57">
        <v>12</v>
      </c>
      <c r="U57">
        <v>19.2616499999999</v>
      </c>
      <c r="V57">
        <v>305114.5</v>
      </c>
    </row>
    <row r="58" spans="1:22" x14ac:dyDescent="0.25">
      <c r="A58" t="s">
        <v>2414</v>
      </c>
      <c r="B58" t="s">
        <v>2415</v>
      </c>
      <c r="C58">
        <v>173</v>
      </c>
      <c r="D58">
        <v>99</v>
      </c>
      <c r="E58">
        <v>99</v>
      </c>
      <c r="F58" t="s">
        <v>2416</v>
      </c>
      <c r="G58" t="s">
        <v>2416</v>
      </c>
      <c r="H58">
        <f t="shared" si="1"/>
        <v>14</v>
      </c>
      <c r="M58" s="1">
        <v>5.3759100846946101E-3</v>
      </c>
      <c r="N58">
        <v>1703.90490722656</v>
      </c>
      <c r="O58">
        <v>852.9597</v>
      </c>
      <c r="P58">
        <v>1703.89953613281</v>
      </c>
      <c r="Q58">
        <v>852.95703125</v>
      </c>
      <c r="R58">
        <v>2</v>
      </c>
      <c r="S58">
        <v>1</v>
      </c>
      <c r="T58">
        <v>14</v>
      </c>
      <c r="U58">
        <v>39.40972</v>
      </c>
      <c r="V58">
        <v>159263.799999999</v>
      </c>
    </row>
    <row r="59" spans="1:22" x14ac:dyDescent="0.25">
      <c r="A59" t="s">
        <v>2414</v>
      </c>
      <c r="B59" t="s">
        <v>2415</v>
      </c>
      <c r="C59">
        <v>175</v>
      </c>
      <c r="D59">
        <v>99</v>
      </c>
      <c r="E59">
        <v>99</v>
      </c>
      <c r="F59" t="s">
        <v>2417</v>
      </c>
      <c r="G59" t="s">
        <v>2417</v>
      </c>
      <c r="H59">
        <f t="shared" si="1"/>
        <v>14</v>
      </c>
      <c r="M59" s="1">
        <v>4.4677401892840802E-3</v>
      </c>
      <c r="N59">
        <v>1762.83532714844</v>
      </c>
      <c r="O59">
        <v>882.42489999999896</v>
      </c>
      <c r="P59">
        <v>1762.83081054688</v>
      </c>
      <c r="Q59">
        <v>882.42266845703102</v>
      </c>
      <c r="R59">
        <v>2</v>
      </c>
      <c r="S59">
        <v>1</v>
      </c>
      <c r="T59">
        <v>11</v>
      </c>
      <c r="U59">
        <v>44.874720000000003</v>
      </c>
      <c r="V59">
        <v>174011.5</v>
      </c>
    </row>
    <row r="60" spans="1:22" x14ac:dyDescent="0.25">
      <c r="A60" t="s">
        <v>2414</v>
      </c>
      <c r="B60" t="s">
        <v>2415</v>
      </c>
      <c r="C60">
        <v>174</v>
      </c>
      <c r="D60">
        <v>99</v>
      </c>
      <c r="E60">
        <v>99</v>
      </c>
      <c r="F60" t="s">
        <v>2418</v>
      </c>
      <c r="G60" t="s">
        <v>2418</v>
      </c>
      <c r="H60">
        <f t="shared" si="1"/>
        <v>15</v>
      </c>
      <c r="M60" s="1">
        <v>5.6733600795269004E-3</v>
      </c>
      <c r="N60">
        <v>1542.6201171875</v>
      </c>
      <c r="O60">
        <v>772.31730000000005</v>
      </c>
      <c r="P60">
        <v>1542.61437988281</v>
      </c>
      <c r="Q60">
        <v>772.31451416015602</v>
      </c>
      <c r="R60">
        <v>2</v>
      </c>
      <c r="S60">
        <v>1</v>
      </c>
      <c r="T60">
        <v>9</v>
      </c>
      <c r="U60">
        <v>40.952599999999897</v>
      </c>
      <c r="V60">
        <v>218239.1</v>
      </c>
    </row>
    <row r="61" spans="1:22" x14ac:dyDescent="0.25">
      <c r="A61" t="s">
        <v>2414</v>
      </c>
      <c r="B61" t="s">
        <v>2415</v>
      </c>
      <c r="C61">
        <v>173</v>
      </c>
      <c r="D61">
        <v>99</v>
      </c>
      <c r="E61">
        <v>99</v>
      </c>
      <c r="F61" t="s">
        <v>2419</v>
      </c>
      <c r="G61" t="s">
        <v>2419</v>
      </c>
      <c r="H61">
        <f t="shared" si="1"/>
        <v>16</v>
      </c>
      <c r="M61" s="1">
        <v>8.3816796541214007E-3</v>
      </c>
      <c r="N61">
        <v>1827.81079101563</v>
      </c>
      <c r="O61">
        <v>610.27750000000003</v>
      </c>
      <c r="P61">
        <v>1827.80236816406</v>
      </c>
      <c r="Q61">
        <v>610.27471923828102</v>
      </c>
      <c r="R61">
        <v>3</v>
      </c>
      <c r="S61">
        <v>6</v>
      </c>
      <c r="T61">
        <v>17</v>
      </c>
      <c r="U61">
        <v>37.615969999999898</v>
      </c>
      <c r="V61">
        <v>270985.3</v>
      </c>
    </row>
    <row r="62" spans="1:22" x14ac:dyDescent="0.25">
      <c r="A62" t="s">
        <v>2414</v>
      </c>
      <c r="B62" t="s">
        <v>2415</v>
      </c>
      <c r="C62">
        <v>175</v>
      </c>
      <c r="D62">
        <v>99</v>
      </c>
      <c r="E62">
        <v>99</v>
      </c>
      <c r="F62" t="s">
        <v>2420</v>
      </c>
      <c r="G62" t="s">
        <v>2420</v>
      </c>
      <c r="H62">
        <f t="shared" si="1"/>
        <v>12</v>
      </c>
      <c r="M62">
        <v>9.5940000000000001E-3</v>
      </c>
      <c r="N62">
        <v>1950.9453125</v>
      </c>
      <c r="O62">
        <v>976.47990000000004</v>
      </c>
      <c r="P62">
        <v>1950.93566894531</v>
      </c>
      <c r="Q62">
        <v>976.47509765625</v>
      </c>
      <c r="R62">
        <v>2</v>
      </c>
      <c r="S62">
        <v>2</v>
      </c>
      <c r="T62">
        <v>14</v>
      </c>
      <c r="U62">
        <v>38.40305</v>
      </c>
      <c r="V62">
        <v>151161.9</v>
      </c>
    </row>
    <row r="63" spans="1:22" x14ac:dyDescent="0.25">
      <c r="A63" t="s">
        <v>2414</v>
      </c>
      <c r="B63" t="s">
        <v>2415</v>
      </c>
      <c r="C63">
        <v>174</v>
      </c>
      <c r="D63">
        <v>99</v>
      </c>
      <c r="E63">
        <v>99</v>
      </c>
      <c r="F63" t="s">
        <v>2421</v>
      </c>
      <c r="G63" t="s">
        <v>2421</v>
      </c>
      <c r="H63">
        <f t="shared" si="1"/>
        <v>13</v>
      </c>
      <c r="M63" s="1">
        <v>1.42195001244545E-2</v>
      </c>
      <c r="N63">
        <v>1950.94995117188</v>
      </c>
      <c r="O63">
        <v>651.32389999999896</v>
      </c>
      <c r="P63">
        <v>1950.93566894531</v>
      </c>
      <c r="Q63">
        <v>651.31915283203102</v>
      </c>
      <c r="R63">
        <v>3</v>
      </c>
      <c r="S63">
        <v>2</v>
      </c>
      <c r="T63">
        <v>14</v>
      </c>
      <c r="U63">
        <v>38.459919999999897</v>
      </c>
      <c r="V63">
        <v>250346.6</v>
      </c>
    </row>
    <row r="64" spans="1:22" x14ac:dyDescent="0.25">
      <c r="A64" t="s">
        <v>356</v>
      </c>
      <c r="B64" t="s">
        <v>357</v>
      </c>
      <c r="C64">
        <v>90</v>
      </c>
      <c r="D64">
        <v>99</v>
      </c>
      <c r="E64">
        <v>99</v>
      </c>
      <c r="F64" t="s">
        <v>1409</v>
      </c>
      <c r="G64" t="s">
        <v>1409</v>
      </c>
      <c r="H64">
        <f t="shared" si="1"/>
        <v>14</v>
      </c>
      <c r="M64" s="1">
        <v>3.20335989817976E-3</v>
      </c>
      <c r="N64">
        <v>1137.53344726563</v>
      </c>
      <c r="O64">
        <v>569.774</v>
      </c>
      <c r="P64">
        <v>1137.5302734375</v>
      </c>
      <c r="Q64">
        <v>569.77239990234295</v>
      </c>
      <c r="R64">
        <v>2</v>
      </c>
      <c r="S64">
        <v>1</v>
      </c>
      <c r="T64">
        <v>14</v>
      </c>
      <c r="U64">
        <v>36.011670000000002</v>
      </c>
      <c r="V64">
        <v>10637280</v>
      </c>
    </row>
    <row r="65" spans="1:22" x14ac:dyDescent="0.25">
      <c r="A65" t="s">
        <v>1382</v>
      </c>
      <c r="B65" t="s">
        <v>1383</v>
      </c>
      <c r="C65">
        <v>246</v>
      </c>
      <c r="D65">
        <v>99</v>
      </c>
      <c r="E65">
        <v>99</v>
      </c>
      <c r="F65" t="s">
        <v>1384</v>
      </c>
      <c r="G65" t="s">
        <v>1384</v>
      </c>
      <c r="H65">
        <f t="shared" si="1"/>
        <v>15</v>
      </c>
      <c r="M65">
        <v>3.9599999999999998E-4</v>
      </c>
      <c r="N65">
        <v>1137.53063964844</v>
      </c>
      <c r="O65">
        <v>569.77260000000001</v>
      </c>
      <c r="P65">
        <v>1137.5302734375</v>
      </c>
      <c r="Q65">
        <v>569.77239990234295</v>
      </c>
      <c r="R65">
        <v>2</v>
      </c>
      <c r="S65">
        <v>1</v>
      </c>
      <c r="T65">
        <v>13</v>
      </c>
      <c r="U65">
        <v>35.952399999999898</v>
      </c>
      <c r="V65">
        <v>899236.7</v>
      </c>
    </row>
    <row r="66" spans="1:22" x14ac:dyDescent="0.25">
      <c r="A66" t="s">
        <v>1382</v>
      </c>
      <c r="B66" t="s">
        <v>1383</v>
      </c>
      <c r="C66">
        <v>245</v>
      </c>
      <c r="D66">
        <v>96.9</v>
      </c>
      <c r="E66">
        <v>96.89</v>
      </c>
      <c r="F66" t="s">
        <v>1385</v>
      </c>
      <c r="G66" t="s">
        <v>1385</v>
      </c>
      <c r="H66">
        <f t="shared" si="1"/>
        <v>13</v>
      </c>
      <c r="M66" s="1">
        <v>9.6389297395944509E-3</v>
      </c>
      <c r="N66">
        <v>1800.8779296875</v>
      </c>
      <c r="O66">
        <v>901.44619999999895</v>
      </c>
      <c r="P66">
        <v>1800.86828613281</v>
      </c>
      <c r="Q66">
        <v>901.44140625</v>
      </c>
      <c r="R66">
        <v>2</v>
      </c>
      <c r="S66">
        <v>1</v>
      </c>
      <c r="T66">
        <v>8</v>
      </c>
      <c r="U66">
        <v>52.180599999999899</v>
      </c>
      <c r="V66">
        <v>53851.27</v>
      </c>
    </row>
    <row r="67" spans="1:22" x14ac:dyDescent="0.25">
      <c r="A67" t="s">
        <v>2736</v>
      </c>
      <c r="B67" t="s">
        <v>2737</v>
      </c>
      <c r="C67">
        <v>82</v>
      </c>
      <c r="D67">
        <v>98</v>
      </c>
      <c r="E67">
        <v>97.97</v>
      </c>
      <c r="F67" t="s">
        <v>2738</v>
      </c>
      <c r="G67" t="s">
        <v>2738</v>
      </c>
      <c r="H67">
        <f t="shared" ref="H67:H130" si="4">LEN(G67)</f>
        <v>9</v>
      </c>
      <c r="M67" s="1">
        <v>8.4182303398847493E-3</v>
      </c>
      <c r="N67">
        <v>1800.87670898438</v>
      </c>
      <c r="O67">
        <v>901.44560000000001</v>
      </c>
      <c r="P67">
        <v>1800.86828613281</v>
      </c>
      <c r="Q67">
        <v>901.44140625</v>
      </c>
      <c r="R67">
        <v>2</v>
      </c>
      <c r="S67">
        <v>1</v>
      </c>
      <c r="T67">
        <v>7</v>
      </c>
      <c r="U67">
        <v>52.181959999999897</v>
      </c>
      <c r="V67">
        <v>34758.07</v>
      </c>
    </row>
    <row r="68" spans="1:22" x14ac:dyDescent="0.25">
      <c r="A68" t="s">
        <v>3040</v>
      </c>
      <c r="B68" t="s">
        <v>3041</v>
      </c>
      <c r="C68">
        <v>78</v>
      </c>
      <c r="D68">
        <v>97.2</v>
      </c>
      <c r="E68">
        <v>97.23</v>
      </c>
      <c r="F68" t="s">
        <v>3042</v>
      </c>
      <c r="G68" t="s">
        <v>3042</v>
      </c>
      <c r="H68">
        <f t="shared" si="4"/>
        <v>9</v>
      </c>
      <c r="M68" s="1">
        <v>9.7480202093720401E-3</v>
      </c>
      <c r="N68">
        <v>1850.03588867188</v>
      </c>
      <c r="O68">
        <v>617.68589999999904</v>
      </c>
      <c r="P68">
        <v>1850.02612304688</v>
      </c>
      <c r="Q68">
        <v>617.68267822265602</v>
      </c>
      <c r="R68">
        <v>3</v>
      </c>
      <c r="S68">
        <v>2</v>
      </c>
      <c r="T68">
        <v>10</v>
      </c>
      <c r="U68">
        <v>45.63653</v>
      </c>
      <c r="V68">
        <v>274579</v>
      </c>
    </row>
    <row r="69" spans="1:22" x14ac:dyDescent="0.25">
      <c r="A69" t="s">
        <v>1046</v>
      </c>
      <c r="B69" t="s">
        <v>1047</v>
      </c>
      <c r="C69">
        <v>19</v>
      </c>
      <c r="D69">
        <v>98</v>
      </c>
      <c r="E69">
        <v>97.99</v>
      </c>
      <c r="F69" t="s">
        <v>1048</v>
      </c>
      <c r="G69" t="s">
        <v>1048</v>
      </c>
      <c r="H69">
        <f t="shared" si="4"/>
        <v>13</v>
      </c>
      <c r="M69" s="1">
        <v>1.77775993943214E-2</v>
      </c>
      <c r="N69">
        <v>1907.0654296875</v>
      </c>
      <c r="O69">
        <v>954.54</v>
      </c>
      <c r="P69">
        <v>1907.04760742188</v>
      </c>
      <c r="Q69">
        <v>954.53106689453102</v>
      </c>
      <c r="R69">
        <v>2</v>
      </c>
      <c r="S69">
        <v>2</v>
      </c>
      <c r="T69">
        <v>9</v>
      </c>
      <c r="U69">
        <v>45.120669999999897</v>
      </c>
      <c r="V69">
        <v>106154.7</v>
      </c>
    </row>
    <row r="70" spans="1:22" x14ac:dyDescent="0.25">
      <c r="A70" t="s">
        <v>184</v>
      </c>
      <c r="B70" t="s">
        <v>185</v>
      </c>
      <c r="C70">
        <v>27</v>
      </c>
      <c r="D70">
        <v>99</v>
      </c>
      <c r="E70">
        <v>99</v>
      </c>
      <c r="F70" t="s">
        <v>1482</v>
      </c>
      <c r="G70" t="s">
        <v>1482</v>
      </c>
      <c r="H70">
        <f t="shared" si="4"/>
        <v>14</v>
      </c>
      <c r="M70" s="1">
        <v>3.8482500240206701E-3</v>
      </c>
      <c r="N70">
        <v>1907.05151367188</v>
      </c>
      <c r="O70">
        <v>636.69110000000001</v>
      </c>
      <c r="P70">
        <v>1907.04760742188</v>
      </c>
      <c r="Q70">
        <v>636.68981933593705</v>
      </c>
      <c r="R70">
        <v>3</v>
      </c>
      <c r="S70">
        <v>2</v>
      </c>
      <c r="T70">
        <v>11</v>
      </c>
      <c r="U70">
        <v>45.240079999999899</v>
      </c>
      <c r="V70">
        <v>255647.1</v>
      </c>
    </row>
    <row r="71" spans="1:22" x14ac:dyDescent="0.25">
      <c r="A71" t="s">
        <v>184</v>
      </c>
      <c r="B71" t="s">
        <v>185</v>
      </c>
      <c r="C71">
        <v>88</v>
      </c>
      <c r="D71">
        <v>98.7</v>
      </c>
      <c r="E71">
        <v>98.69</v>
      </c>
      <c r="F71" t="s">
        <v>1483</v>
      </c>
      <c r="G71" t="s">
        <v>1483</v>
      </c>
      <c r="H71">
        <f t="shared" si="4"/>
        <v>15</v>
      </c>
      <c r="M71" s="1">
        <v>1.6028799116611502E-2</v>
      </c>
      <c r="N71">
        <v>2022.09057617188</v>
      </c>
      <c r="O71">
        <v>675.03750000000002</v>
      </c>
      <c r="P71">
        <v>2022.07458496094</v>
      </c>
      <c r="Q71">
        <v>675.03210449218705</v>
      </c>
      <c r="R71">
        <v>3</v>
      </c>
      <c r="S71">
        <v>2</v>
      </c>
      <c r="T71">
        <v>11</v>
      </c>
      <c r="U71">
        <v>46.232129999999898</v>
      </c>
      <c r="V71">
        <v>112329.1</v>
      </c>
    </row>
    <row r="72" spans="1:22" x14ac:dyDescent="0.25">
      <c r="A72" t="s">
        <v>184</v>
      </c>
      <c r="B72" t="s">
        <v>185</v>
      </c>
      <c r="C72">
        <v>87</v>
      </c>
      <c r="D72">
        <v>99</v>
      </c>
      <c r="E72">
        <v>99</v>
      </c>
      <c r="F72" t="s">
        <v>1484</v>
      </c>
      <c r="G72" t="s">
        <v>1484</v>
      </c>
      <c r="H72">
        <f t="shared" si="4"/>
        <v>14</v>
      </c>
      <c r="M72" s="1">
        <v>1.4882399700582E-2</v>
      </c>
      <c r="N72">
        <v>2022.08947753906</v>
      </c>
      <c r="O72">
        <v>1012.052</v>
      </c>
      <c r="P72">
        <v>2022.07458496094</v>
      </c>
      <c r="Q72">
        <v>1012.04455566406</v>
      </c>
      <c r="R72">
        <v>2</v>
      </c>
      <c r="S72">
        <v>2</v>
      </c>
      <c r="T72">
        <v>13</v>
      </c>
      <c r="U72">
        <v>46.350119999999897</v>
      </c>
      <c r="V72">
        <v>57374.85</v>
      </c>
    </row>
    <row r="73" spans="1:22" x14ac:dyDescent="0.25">
      <c r="A73" t="s">
        <v>184</v>
      </c>
      <c r="B73" t="s">
        <v>185</v>
      </c>
      <c r="C73">
        <v>26</v>
      </c>
      <c r="D73">
        <v>99</v>
      </c>
      <c r="E73">
        <v>99</v>
      </c>
      <c r="F73" t="s">
        <v>1485</v>
      </c>
      <c r="G73" t="s">
        <v>1485</v>
      </c>
      <c r="H73">
        <f t="shared" si="4"/>
        <v>15</v>
      </c>
      <c r="L73" t="s">
        <v>183</v>
      </c>
      <c r="M73" s="1">
        <v>-8.64222995005548E-4</v>
      </c>
      <c r="N73">
        <v>1061.58947753906</v>
      </c>
      <c r="O73">
        <v>531.80200000000002</v>
      </c>
      <c r="P73">
        <v>1061.59033203125</v>
      </c>
      <c r="Q73">
        <v>531.80242919921795</v>
      </c>
      <c r="R73">
        <v>2</v>
      </c>
      <c r="S73">
        <v>1</v>
      </c>
      <c r="T73">
        <v>14</v>
      </c>
      <c r="U73">
        <v>23.6690299999999</v>
      </c>
      <c r="V73">
        <v>615270.1</v>
      </c>
    </row>
    <row r="74" spans="1:22" x14ac:dyDescent="0.25">
      <c r="A74" t="s">
        <v>2474</v>
      </c>
      <c r="B74" t="s">
        <v>2475</v>
      </c>
      <c r="C74">
        <v>205</v>
      </c>
      <c r="D74">
        <v>99</v>
      </c>
      <c r="E74">
        <v>99</v>
      </c>
      <c r="F74" t="s">
        <v>2476</v>
      </c>
      <c r="G74" t="s">
        <v>2476</v>
      </c>
      <c r="H74">
        <f t="shared" si="4"/>
        <v>13</v>
      </c>
      <c r="M74" s="1">
        <v>9.1960998252034205E-3</v>
      </c>
      <c r="N74">
        <v>2123.13134765625</v>
      </c>
      <c r="O74">
        <v>1062.5730000000001</v>
      </c>
      <c r="P74">
        <v>2123.12231445313</v>
      </c>
      <c r="Q74">
        <v>1062.568359375</v>
      </c>
      <c r="R74">
        <v>2</v>
      </c>
      <c r="S74">
        <v>4</v>
      </c>
      <c r="T74">
        <v>10</v>
      </c>
      <c r="U74">
        <v>45.806399999999897</v>
      </c>
      <c r="V74">
        <v>49955.54</v>
      </c>
    </row>
    <row r="75" spans="1:22" x14ac:dyDescent="0.25">
      <c r="A75" t="s">
        <v>2458</v>
      </c>
      <c r="B75" t="s">
        <v>2459</v>
      </c>
      <c r="C75">
        <v>104</v>
      </c>
      <c r="D75">
        <v>98.7</v>
      </c>
      <c r="E75">
        <v>98.71</v>
      </c>
      <c r="F75" t="s">
        <v>164</v>
      </c>
      <c r="G75" t="s">
        <v>164</v>
      </c>
      <c r="H75">
        <f t="shared" si="4"/>
        <v>9</v>
      </c>
      <c r="L75" t="s">
        <v>47</v>
      </c>
      <c r="M75" s="1">
        <v>-3.2664199825376198E-3</v>
      </c>
      <c r="N75">
        <v>1139.60888671875</v>
      </c>
      <c r="O75">
        <v>380.87689999999901</v>
      </c>
      <c r="P75">
        <v>1139.61206054688</v>
      </c>
      <c r="Q75">
        <v>380.87799072265602</v>
      </c>
      <c r="R75">
        <v>3</v>
      </c>
      <c r="S75">
        <v>12</v>
      </c>
      <c r="T75">
        <v>12</v>
      </c>
      <c r="U75">
        <v>18.055350000000001</v>
      </c>
      <c r="V75">
        <v>24206550</v>
      </c>
    </row>
    <row r="76" spans="1:22" x14ac:dyDescent="0.25">
      <c r="A76" t="s">
        <v>2023</v>
      </c>
      <c r="B76" t="s">
        <v>2024</v>
      </c>
      <c r="C76">
        <v>280</v>
      </c>
      <c r="D76">
        <v>99</v>
      </c>
      <c r="E76">
        <v>99</v>
      </c>
      <c r="F76" t="s">
        <v>2025</v>
      </c>
      <c r="G76" t="s">
        <v>2025</v>
      </c>
      <c r="H76">
        <f t="shared" si="4"/>
        <v>18</v>
      </c>
      <c r="M76">
        <v>8.8999999999999995E-5</v>
      </c>
      <c r="N76">
        <v>2123.12231445313</v>
      </c>
      <c r="O76">
        <v>708.71469999999897</v>
      </c>
      <c r="P76">
        <v>2123.12231445313</v>
      </c>
      <c r="Q76">
        <v>708.71472167968705</v>
      </c>
      <c r="R76">
        <v>3</v>
      </c>
      <c r="S76">
        <v>4</v>
      </c>
      <c r="T76">
        <v>14</v>
      </c>
      <c r="U76">
        <v>46.099469999999897</v>
      </c>
      <c r="V76">
        <v>523437.2</v>
      </c>
    </row>
    <row r="77" spans="1:22" x14ac:dyDescent="0.25">
      <c r="A77" t="s">
        <v>2023</v>
      </c>
      <c r="B77" t="s">
        <v>2024</v>
      </c>
      <c r="C77">
        <v>49</v>
      </c>
      <c r="D77">
        <v>99</v>
      </c>
      <c r="E77">
        <v>99</v>
      </c>
      <c r="F77" t="s">
        <v>2026</v>
      </c>
      <c r="G77" t="s">
        <v>2026</v>
      </c>
      <c r="H77">
        <f t="shared" si="4"/>
        <v>9</v>
      </c>
      <c r="M77">
        <v>5.5000000000000002E-5</v>
      </c>
      <c r="N77">
        <v>1274.68713378906</v>
      </c>
      <c r="O77">
        <v>638.35080000000005</v>
      </c>
      <c r="P77">
        <v>1274.68701171875</v>
      </c>
      <c r="Q77">
        <v>638.350830078125</v>
      </c>
      <c r="R77">
        <v>2</v>
      </c>
      <c r="S77">
        <v>1</v>
      </c>
      <c r="T77">
        <v>12</v>
      </c>
      <c r="U77">
        <v>55.891530000000003</v>
      </c>
      <c r="V77">
        <v>326309.2</v>
      </c>
    </row>
    <row r="78" spans="1:22" x14ac:dyDescent="0.25">
      <c r="A78" t="s">
        <v>2023</v>
      </c>
      <c r="B78" t="s">
        <v>2024</v>
      </c>
      <c r="C78">
        <v>280</v>
      </c>
      <c r="D78">
        <v>99</v>
      </c>
      <c r="E78">
        <v>99</v>
      </c>
      <c r="F78" t="s">
        <v>2027</v>
      </c>
      <c r="G78" t="s">
        <v>2027</v>
      </c>
      <c r="H78">
        <f t="shared" si="4"/>
        <v>17</v>
      </c>
      <c r="M78" s="1">
        <v>5.77573990449309E-3</v>
      </c>
      <c r="N78">
        <v>1677.85327148438</v>
      </c>
      <c r="O78">
        <v>839.93389999999897</v>
      </c>
      <c r="P78">
        <v>1677.84741210938</v>
      </c>
      <c r="Q78">
        <v>839.93103027343705</v>
      </c>
      <c r="R78">
        <v>2</v>
      </c>
      <c r="S78">
        <v>1</v>
      </c>
      <c r="T78">
        <v>12</v>
      </c>
      <c r="U78">
        <v>40.652079999999899</v>
      </c>
      <c r="V78">
        <v>190092.2</v>
      </c>
    </row>
    <row r="79" spans="1:22" x14ac:dyDescent="0.25">
      <c r="A79" t="s">
        <v>2023</v>
      </c>
      <c r="B79" t="s">
        <v>2024</v>
      </c>
      <c r="C79">
        <v>280</v>
      </c>
      <c r="D79">
        <v>99</v>
      </c>
      <c r="E79">
        <v>99</v>
      </c>
      <c r="F79" t="s">
        <v>2028</v>
      </c>
      <c r="G79" t="s">
        <v>2028</v>
      </c>
      <c r="H79">
        <f t="shared" si="4"/>
        <v>19</v>
      </c>
      <c r="M79" s="1">
        <v>6.6685299389064303E-3</v>
      </c>
      <c r="N79">
        <v>2060.02758789063</v>
      </c>
      <c r="O79">
        <v>687.68309999999894</v>
      </c>
      <c r="P79">
        <v>2060.02075195313</v>
      </c>
      <c r="Q79">
        <v>687.680908203125</v>
      </c>
      <c r="R79">
        <v>3</v>
      </c>
      <c r="S79">
        <v>1</v>
      </c>
      <c r="T79">
        <v>12</v>
      </c>
      <c r="U79">
        <v>41.744520000000001</v>
      </c>
      <c r="V79">
        <v>147685.6</v>
      </c>
    </row>
    <row r="80" spans="1:22" x14ac:dyDescent="0.25">
      <c r="A80" t="s">
        <v>2023</v>
      </c>
      <c r="B80" t="s">
        <v>2024</v>
      </c>
      <c r="C80">
        <v>282</v>
      </c>
      <c r="D80">
        <v>99</v>
      </c>
      <c r="E80">
        <v>99</v>
      </c>
      <c r="F80" t="s">
        <v>2029</v>
      </c>
      <c r="G80" t="s">
        <v>2029</v>
      </c>
      <c r="H80">
        <f t="shared" si="4"/>
        <v>15</v>
      </c>
      <c r="M80" s="1">
        <v>8.6826896294951404E-3</v>
      </c>
      <c r="N80">
        <v>2060.02954101563</v>
      </c>
      <c r="O80">
        <v>687.68380000000002</v>
      </c>
      <c r="P80">
        <v>2060.02075195313</v>
      </c>
      <c r="Q80">
        <v>687.680908203125</v>
      </c>
      <c r="R80">
        <v>3</v>
      </c>
      <c r="S80">
        <v>1</v>
      </c>
      <c r="T80">
        <v>14</v>
      </c>
      <c r="U80">
        <v>41.721200000000003</v>
      </c>
      <c r="V80">
        <v>130204.5</v>
      </c>
    </row>
    <row r="81" spans="1:22" x14ac:dyDescent="0.25">
      <c r="A81" t="s">
        <v>2023</v>
      </c>
      <c r="B81" t="s">
        <v>2024</v>
      </c>
      <c r="C81">
        <v>282</v>
      </c>
      <c r="D81">
        <v>99</v>
      </c>
      <c r="E81">
        <v>99</v>
      </c>
      <c r="F81" t="s">
        <v>2030</v>
      </c>
      <c r="G81" t="s">
        <v>2030</v>
      </c>
      <c r="H81">
        <f t="shared" si="4"/>
        <v>16</v>
      </c>
      <c r="M81" s="1">
        <v>1.13319000229239E-2</v>
      </c>
      <c r="N81">
        <v>1754.77172851563</v>
      </c>
      <c r="O81">
        <v>878.3931</v>
      </c>
      <c r="P81">
        <v>1754.76037597656</v>
      </c>
      <c r="Q81">
        <v>878.387451171875</v>
      </c>
      <c r="R81">
        <v>2</v>
      </c>
      <c r="S81">
        <v>1</v>
      </c>
      <c r="T81">
        <v>8</v>
      </c>
      <c r="U81">
        <v>47.44397</v>
      </c>
      <c r="V81">
        <v>58972.75</v>
      </c>
    </row>
    <row r="82" spans="1:22" x14ac:dyDescent="0.25">
      <c r="A82" t="s">
        <v>2468</v>
      </c>
      <c r="B82" t="s">
        <v>2469</v>
      </c>
      <c r="C82">
        <v>58</v>
      </c>
      <c r="D82">
        <v>97.5</v>
      </c>
      <c r="E82">
        <v>97.45</v>
      </c>
      <c r="F82" t="s">
        <v>2470</v>
      </c>
      <c r="G82" t="s">
        <v>2470</v>
      </c>
      <c r="H82">
        <f t="shared" si="4"/>
        <v>17</v>
      </c>
      <c r="M82" s="1">
        <v>8.5243098437786102E-3</v>
      </c>
      <c r="N82">
        <v>1754.76892089844</v>
      </c>
      <c r="O82">
        <v>878.39170000000001</v>
      </c>
      <c r="P82">
        <v>1754.76037597656</v>
      </c>
      <c r="Q82">
        <v>878.387451171875</v>
      </c>
      <c r="R82">
        <v>2</v>
      </c>
      <c r="S82">
        <v>1</v>
      </c>
      <c r="T82">
        <v>8</v>
      </c>
      <c r="U82">
        <v>47.445120000000003</v>
      </c>
      <c r="V82">
        <v>53576.69</v>
      </c>
    </row>
    <row r="83" spans="1:22" x14ac:dyDescent="0.25">
      <c r="A83" t="s">
        <v>2471</v>
      </c>
      <c r="B83" t="s">
        <v>2472</v>
      </c>
      <c r="C83">
        <v>109</v>
      </c>
      <c r="D83">
        <v>99</v>
      </c>
      <c r="E83">
        <v>99</v>
      </c>
      <c r="F83" t="s">
        <v>2473</v>
      </c>
      <c r="G83" t="s">
        <v>2473</v>
      </c>
      <c r="H83">
        <f t="shared" si="4"/>
        <v>17</v>
      </c>
      <c r="M83" s="1">
        <v>6.1366101726889602E-3</v>
      </c>
      <c r="N83">
        <v>1749.85229492188</v>
      </c>
      <c r="O83">
        <v>875.93340000000001</v>
      </c>
      <c r="P83">
        <v>1749.84619140625</v>
      </c>
      <c r="Q83">
        <v>875.93035888671795</v>
      </c>
      <c r="R83">
        <v>2</v>
      </c>
      <c r="S83">
        <v>1</v>
      </c>
      <c r="T83">
        <v>9</v>
      </c>
      <c r="U83">
        <v>55.389229999999898</v>
      </c>
      <c r="V83">
        <v>75386.7</v>
      </c>
    </row>
    <row r="84" spans="1:22" x14ac:dyDescent="0.25">
      <c r="A84" t="s">
        <v>2477</v>
      </c>
      <c r="B84" t="s">
        <v>2478</v>
      </c>
      <c r="C84">
        <v>47</v>
      </c>
      <c r="D84">
        <v>97.6</v>
      </c>
      <c r="E84">
        <v>97.58</v>
      </c>
      <c r="F84" t="s">
        <v>2479</v>
      </c>
      <c r="G84" t="s">
        <v>2479</v>
      </c>
      <c r="H84">
        <f t="shared" si="4"/>
        <v>8</v>
      </c>
      <c r="M84" s="1">
        <v>8.7862098589539406E-3</v>
      </c>
      <c r="N84">
        <v>1837.82470703125</v>
      </c>
      <c r="O84">
        <v>919.91959999999904</v>
      </c>
      <c r="P84">
        <v>1837.81591796875</v>
      </c>
      <c r="Q84">
        <v>919.91522216796795</v>
      </c>
      <c r="R84">
        <v>2</v>
      </c>
      <c r="S84">
        <v>1</v>
      </c>
      <c r="T84">
        <v>11</v>
      </c>
      <c r="U84">
        <v>47.76999</v>
      </c>
      <c r="V84">
        <v>82696.69</v>
      </c>
    </row>
    <row r="85" spans="1:22" x14ac:dyDescent="0.25">
      <c r="A85" t="s">
        <v>2388</v>
      </c>
      <c r="B85" t="s">
        <v>2389</v>
      </c>
      <c r="C85">
        <v>18</v>
      </c>
      <c r="D85">
        <v>99</v>
      </c>
      <c r="E85">
        <v>99</v>
      </c>
      <c r="F85" t="s">
        <v>2390</v>
      </c>
      <c r="G85" t="s">
        <v>2390</v>
      </c>
      <c r="H85">
        <f t="shared" si="4"/>
        <v>9</v>
      </c>
      <c r="M85" s="1">
        <v>3.7813200615346401E-3</v>
      </c>
      <c r="N85">
        <v>1837.81970214844</v>
      </c>
      <c r="O85">
        <v>919.9171</v>
      </c>
      <c r="P85">
        <v>1837.81591796875</v>
      </c>
      <c r="Q85">
        <v>919.91522216796795</v>
      </c>
      <c r="R85">
        <v>2</v>
      </c>
      <c r="S85">
        <v>1</v>
      </c>
      <c r="T85">
        <v>9</v>
      </c>
      <c r="U85">
        <v>47.9342299999999</v>
      </c>
      <c r="V85">
        <v>64957.760000000002</v>
      </c>
    </row>
    <row r="86" spans="1:22" x14ac:dyDescent="0.25">
      <c r="A86" t="s">
        <v>1997</v>
      </c>
      <c r="B86" t="s">
        <v>1998</v>
      </c>
      <c r="C86">
        <v>32</v>
      </c>
      <c r="D86">
        <v>96.9</v>
      </c>
      <c r="E86">
        <v>96.87</v>
      </c>
      <c r="F86" t="s">
        <v>436</v>
      </c>
      <c r="G86" t="s">
        <v>436</v>
      </c>
      <c r="H86">
        <f t="shared" si="4"/>
        <v>9</v>
      </c>
      <c r="M86" s="1">
        <v>1.52668999508023E-2</v>
      </c>
      <c r="N86">
        <v>1811.84790039063</v>
      </c>
      <c r="O86">
        <v>906.93119999999897</v>
      </c>
      <c r="P86">
        <v>1811.83264160156</v>
      </c>
      <c r="Q86">
        <v>906.923583984375</v>
      </c>
      <c r="R86">
        <v>2</v>
      </c>
      <c r="S86">
        <v>2</v>
      </c>
      <c r="T86">
        <v>13</v>
      </c>
      <c r="U86">
        <v>38.952849999999899</v>
      </c>
      <c r="V86">
        <v>185740.4</v>
      </c>
    </row>
    <row r="87" spans="1:22" x14ac:dyDescent="0.25">
      <c r="A87" t="s">
        <v>1997</v>
      </c>
      <c r="B87" t="s">
        <v>1998</v>
      </c>
      <c r="C87">
        <v>32</v>
      </c>
      <c r="D87">
        <v>98.4</v>
      </c>
      <c r="E87">
        <v>98.38</v>
      </c>
      <c r="F87" t="s">
        <v>435</v>
      </c>
      <c r="G87" t="s">
        <v>435</v>
      </c>
      <c r="H87">
        <f t="shared" si="4"/>
        <v>10</v>
      </c>
      <c r="M87">
        <v>2.6940000000000002E-3</v>
      </c>
      <c r="N87">
        <v>1811.83532714844</v>
      </c>
      <c r="O87">
        <v>906.92489999999896</v>
      </c>
      <c r="P87">
        <v>1811.83264160156</v>
      </c>
      <c r="Q87">
        <v>906.923583984375</v>
      </c>
      <c r="R87">
        <v>2</v>
      </c>
      <c r="S87">
        <v>2</v>
      </c>
      <c r="T87">
        <v>14</v>
      </c>
      <c r="U87">
        <v>39.118319999999898</v>
      </c>
      <c r="V87">
        <v>390963.3</v>
      </c>
    </row>
    <row r="88" spans="1:22" x14ac:dyDescent="0.25">
      <c r="A88" t="s">
        <v>2090</v>
      </c>
      <c r="B88" t="s">
        <v>2091</v>
      </c>
      <c r="C88">
        <v>219</v>
      </c>
      <c r="D88">
        <v>96.9</v>
      </c>
      <c r="E88">
        <v>96.85</v>
      </c>
      <c r="F88" t="s">
        <v>2092</v>
      </c>
      <c r="G88" t="s">
        <v>2092</v>
      </c>
      <c r="H88">
        <f t="shared" si="4"/>
        <v>9</v>
      </c>
      <c r="M88" s="1">
        <v>6.6956700757145804E-3</v>
      </c>
      <c r="N88">
        <v>1706.84301757813</v>
      </c>
      <c r="O88">
        <v>854.42880000000002</v>
      </c>
      <c r="P88">
        <v>1706.83630371094</v>
      </c>
      <c r="Q88">
        <v>854.42541503906205</v>
      </c>
      <c r="R88">
        <v>2</v>
      </c>
      <c r="S88">
        <v>1</v>
      </c>
      <c r="T88">
        <v>8</v>
      </c>
      <c r="U88">
        <v>41.909750000000003</v>
      </c>
      <c r="V88">
        <v>80884.600000000006</v>
      </c>
    </row>
    <row r="89" spans="1:22" x14ac:dyDescent="0.25">
      <c r="A89" t="s">
        <v>2608</v>
      </c>
      <c r="B89" t="s">
        <v>2609</v>
      </c>
      <c r="C89">
        <v>276</v>
      </c>
      <c r="D89">
        <v>99</v>
      </c>
      <c r="E89">
        <v>99</v>
      </c>
      <c r="F89" t="s">
        <v>2610</v>
      </c>
      <c r="G89" t="s">
        <v>2610</v>
      </c>
      <c r="H89">
        <f t="shared" si="4"/>
        <v>12</v>
      </c>
      <c r="M89" s="1">
        <v>1.1578500270843501E-2</v>
      </c>
      <c r="N89">
        <v>1706.84790039063</v>
      </c>
      <c r="O89">
        <v>854.43119999999897</v>
      </c>
      <c r="P89">
        <v>1706.83630371094</v>
      </c>
      <c r="Q89">
        <v>854.42541503906205</v>
      </c>
      <c r="R89">
        <v>2</v>
      </c>
      <c r="S89">
        <v>1</v>
      </c>
      <c r="T89">
        <v>11</v>
      </c>
      <c r="U89">
        <v>41.911230000000003</v>
      </c>
      <c r="V89">
        <v>153076.20000000001</v>
      </c>
    </row>
    <row r="90" spans="1:22" x14ac:dyDescent="0.25">
      <c r="A90" t="s">
        <v>1638</v>
      </c>
      <c r="B90" t="s">
        <v>1639</v>
      </c>
      <c r="C90">
        <v>33</v>
      </c>
      <c r="D90">
        <v>99</v>
      </c>
      <c r="E90">
        <v>99</v>
      </c>
      <c r="F90" t="s">
        <v>1640</v>
      </c>
      <c r="G90" t="s">
        <v>1640</v>
      </c>
      <c r="H90">
        <f t="shared" si="4"/>
        <v>9</v>
      </c>
      <c r="M90" s="1">
        <v>5.17270003911108E-4</v>
      </c>
      <c r="N90">
        <v>1608.80541992188</v>
      </c>
      <c r="O90">
        <v>805.41</v>
      </c>
      <c r="P90">
        <v>1608.80493164063</v>
      </c>
      <c r="Q90">
        <v>805.40972900390602</v>
      </c>
      <c r="R90">
        <v>2</v>
      </c>
      <c r="S90">
        <v>1</v>
      </c>
      <c r="T90">
        <v>19</v>
      </c>
      <c r="U90">
        <v>43.320419999999899</v>
      </c>
      <c r="V90">
        <v>515969.8</v>
      </c>
    </row>
    <row r="91" spans="1:22" x14ac:dyDescent="0.25">
      <c r="A91" t="s">
        <v>1638</v>
      </c>
      <c r="B91" t="s">
        <v>1639</v>
      </c>
      <c r="C91">
        <v>33</v>
      </c>
      <c r="D91">
        <v>99</v>
      </c>
      <c r="E91">
        <v>99</v>
      </c>
      <c r="F91" t="s">
        <v>1640</v>
      </c>
      <c r="G91" t="s">
        <v>1640</v>
      </c>
      <c r="H91">
        <f t="shared" si="4"/>
        <v>9</v>
      </c>
      <c r="L91" t="s">
        <v>47</v>
      </c>
      <c r="M91" s="1">
        <v>2.9075500788167E-4</v>
      </c>
      <c r="N91">
        <v>1703.90185546875</v>
      </c>
      <c r="O91">
        <v>852.95820000000003</v>
      </c>
      <c r="P91">
        <v>1703.90148925781</v>
      </c>
      <c r="Q91">
        <v>852.95806884765602</v>
      </c>
      <c r="R91">
        <v>2</v>
      </c>
      <c r="S91">
        <v>1</v>
      </c>
      <c r="T91">
        <v>15</v>
      </c>
      <c r="U91">
        <v>57.036549999999899</v>
      </c>
      <c r="V91">
        <v>1552393</v>
      </c>
    </row>
    <row r="92" spans="1:22" x14ac:dyDescent="0.25">
      <c r="A92" t="s">
        <v>2428</v>
      </c>
      <c r="B92" t="s">
        <v>2429</v>
      </c>
      <c r="C92">
        <v>66</v>
      </c>
      <c r="D92">
        <v>98.3</v>
      </c>
      <c r="E92">
        <v>98.3</v>
      </c>
      <c r="F92" t="s">
        <v>2430</v>
      </c>
      <c r="G92" t="s">
        <v>2430</v>
      </c>
      <c r="H92">
        <f t="shared" si="4"/>
        <v>9</v>
      </c>
      <c r="M92" s="1">
        <v>2.7145401109009899E-3</v>
      </c>
      <c r="N92">
        <v>1608.8076171875</v>
      </c>
      <c r="O92">
        <v>805.41110000000003</v>
      </c>
      <c r="P92">
        <v>1608.80493164063</v>
      </c>
      <c r="Q92">
        <v>805.40972900390602</v>
      </c>
      <c r="R92">
        <v>2</v>
      </c>
      <c r="S92">
        <v>2</v>
      </c>
      <c r="T92">
        <v>17</v>
      </c>
      <c r="U92">
        <v>43.295470000000002</v>
      </c>
      <c r="V92">
        <v>509179.9</v>
      </c>
    </row>
    <row r="93" spans="1:22" x14ac:dyDescent="0.25">
      <c r="A93" t="s">
        <v>2428</v>
      </c>
      <c r="B93" t="s">
        <v>2429</v>
      </c>
      <c r="C93">
        <v>234</v>
      </c>
      <c r="D93">
        <v>98.1</v>
      </c>
      <c r="E93">
        <v>98.11</v>
      </c>
      <c r="F93" t="s">
        <v>2431</v>
      </c>
      <c r="G93" t="s">
        <v>2431</v>
      </c>
      <c r="H93">
        <f t="shared" si="4"/>
        <v>9</v>
      </c>
      <c r="M93" s="1">
        <v>-2.1780100360046999E-4</v>
      </c>
      <c r="N93">
        <v>1584.78942871094</v>
      </c>
      <c r="O93">
        <v>793.40200000000004</v>
      </c>
      <c r="P93">
        <v>1584.78967285156</v>
      </c>
      <c r="Q93">
        <v>793.402099609375</v>
      </c>
      <c r="R93">
        <v>2</v>
      </c>
      <c r="S93">
        <v>1</v>
      </c>
      <c r="T93">
        <v>10</v>
      </c>
      <c r="U93">
        <v>40.149520000000003</v>
      </c>
      <c r="V93">
        <v>121898.5</v>
      </c>
    </row>
    <row r="94" spans="1:22" x14ac:dyDescent="0.25">
      <c r="A94" t="s">
        <v>2428</v>
      </c>
      <c r="B94" t="s">
        <v>2429</v>
      </c>
      <c r="C94">
        <v>66</v>
      </c>
      <c r="D94">
        <v>97.4</v>
      </c>
      <c r="E94">
        <v>97.38</v>
      </c>
      <c r="F94" t="s">
        <v>2430</v>
      </c>
      <c r="G94" t="s">
        <v>2430</v>
      </c>
      <c r="H94">
        <f t="shared" si="4"/>
        <v>9</v>
      </c>
      <c r="L94" t="s">
        <v>295</v>
      </c>
      <c r="M94" s="1">
        <v>1.2985300272703099E-3</v>
      </c>
      <c r="N94">
        <v>958.564697265625</v>
      </c>
      <c r="O94">
        <v>480.28960000000001</v>
      </c>
      <c r="P94">
        <v>958.56335449218705</v>
      </c>
      <c r="Q94">
        <v>480.28897094726602</v>
      </c>
      <c r="R94">
        <v>2</v>
      </c>
      <c r="S94">
        <v>2</v>
      </c>
      <c r="T94">
        <v>13</v>
      </c>
      <c r="U94">
        <v>35.106290000000001</v>
      </c>
      <c r="V94">
        <v>1611740</v>
      </c>
    </row>
    <row r="95" spans="1:22" x14ac:dyDescent="0.25">
      <c r="A95" t="s">
        <v>1493</v>
      </c>
      <c r="B95" t="s">
        <v>1494</v>
      </c>
      <c r="C95">
        <v>108</v>
      </c>
      <c r="D95">
        <v>99</v>
      </c>
      <c r="E95">
        <v>99</v>
      </c>
      <c r="F95" t="s">
        <v>1495</v>
      </c>
      <c r="G95" t="s">
        <v>1495</v>
      </c>
      <c r="H95">
        <f t="shared" si="4"/>
        <v>17</v>
      </c>
      <c r="M95" s="1">
        <v>3.925510100089E-4</v>
      </c>
      <c r="N95">
        <v>1584.7900390625</v>
      </c>
      <c r="O95">
        <v>793.40229999999895</v>
      </c>
      <c r="P95">
        <v>1584.78967285156</v>
      </c>
      <c r="Q95">
        <v>793.402099609375</v>
      </c>
      <c r="R95">
        <v>2</v>
      </c>
      <c r="S95">
        <v>1</v>
      </c>
      <c r="T95">
        <v>11</v>
      </c>
      <c r="U95">
        <v>40.136299999999899</v>
      </c>
      <c r="V95">
        <v>211451.5</v>
      </c>
    </row>
    <row r="96" spans="1:22" x14ac:dyDescent="0.25">
      <c r="A96" t="s">
        <v>2710</v>
      </c>
      <c r="B96" t="s">
        <v>2711</v>
      </c>
      <c r="C96">
        <v>1701</v>
      </c>
      <c r="D96">
        <v>99</v>
      </c>
      <c r="E96">
        <v>99</v>
      </c>
      <c r="F96" t="s">
        <v>2712</v>
      </c>
      <c r="G96" t="s">
        <v>2712</v>
      </c>
      <c r="H96">
        <f t="shared" si="4"/>
        <v>9</v>
      </c>
      <c r="M96" s="1">
        <v>3.3629199024289699E-3</v>
      </c>
      <c r="N96">
        <v>1807.01379394531</v>
      </c>
      <c r="O96">
        <v>603.34519999999895</v>
      </c>
      <c r="P96">
        <v>1807.01049804688</v>
      </c>
      <c r="Q96">
        <v>603.34411621093705</v>
      </c>
      <c r="R96">
        <v>3</v>
      </c>
      <c r="S96">
        <v>2</v>
      </c>
      <c r="T96">
        <v>13</v>
      </c>
      <c r="U96">
        <v>29.2996699999999</v>
      </c>
      <c r="V96">
        <v>316685.90000000002</v>
      </c>
    </row>
    <row r="97" spans="1:22" x14ac:dyDescent="0.25">
      <c r="A97" t="s">
        <v>316</v>
      </c>
      <c r="B97" t="s">
        <v>317</v>
      </c>
      <c r="C97">
        <v>674</v>
      </c>
      <c r="D97">
        <v>99</v>
      </c>
      <c r="E97">
        <v>99</v>
      </c>
      <c r="F97" t="s">
        <v>404</v>
      </c>
      <c r="G97" t="s">
        <v>404</v>
      </c>
      <c r="H97">
        <f t="shared" si="4"/>
        <v>9</v>
      </c>
      <c r="M97" s="1">
        <v>3.5460200160741802E-3</v>
      </c>
      <c r="N97">
        <v>1807.01403808594</v>
      </c>
      <c r="O97">
        <v>603.34529999999904</v>
      </c>
      <c r="P97">
        <v>1807.01049804688</v>
      </c>
      <c r="Q97">
        <v>603.34411621093705</v>
      </c>
      <c r="R97">
        <v>3</v>
      </c>
      <c r="S97">
        <v>2</v>
      </c>
      <c r="T97">
        <v>13</v>
      </c>
      <c r="U97">
        <v>29.292950000000001</v>
      </c>
      <c r="V97">
        <v>282349.40000000002</v>
      </c>
    </row>
    <row r="98" spans="1:22" x14ac:dyDescent="0.25">
      <c r="A98" t="s">
        <v>316</v>
      </c>
      <c r="B98" t="s">
        <v>317</v>
      </c>
      <c r="C98">
        <v>2330</v>
      </c>
      <c r="D98">
        <v>99</v>
      </c>
      <c r="E98">
        <v>99</v>
      </c>
      <c r="F98" t="s">
        <v>318</v>
      </c>
      <c r="G98" t="s">
        <v>318</v>
      </c>
      <c r="H98">
        <f t="shared" si="4"/>
        <v>9</v>
      </c>
      <c r="L98" t="s">
        <v>295</v>
      </c>
      <c r="M98" s="1">
        <v>2.07692990079522E-3</v>
      </c>
      <c r="N98">
        <v>1031.52770996094</v>
      </c>
      <c r="O98">
        <v>516.77110000000005</v>
      </c>
      <c r="P98">
        <v>1031.52563476563</v>
      </c>
      <c r="Q98">
        <v>516.77008056640602</v>
      </c>
      <c r="R98">
        <v>2</v>
      </c>
      <c r="S98">
        <v>1</v>
      </c>
      <c r="T98">
        <v>13</v>
      </c>
      <c r="U98">
        <v>29.1479</v>
      </c>
      <c r="V98">
        <v>4125023</v>
      </c>
    </row>
    <row r="99" spans="1:22" x14ac:dyDescent="0.25">
      <c r="A99" t="s">
        <v>2379</v>
      </c>
      <c r="B99" t="s">
        <v>2380</v>
      </c>
      <c r="C99">
        <v>293</v>
      </c>
      <c r="D99">
        <v>98.3</v>
      </c>
      <c r="E99">
        <v>98.32</v>
      </c>
      <c r="F99" t="s">
        <v>2381</v>
      </c>
      <c r="G99" t="s">
        <v>2381</v>
      </c>
      <c r="H99">
        <f t="shared" si="4"/>
        <v>9</v>
      </c>
      <c r="M99" s="1">
        <v>6.9959000684320901E-3</v>
      </c>
      <c r="N99">
        <v>2067.94140625</v>
      </c>
      <c r="O99">
        <v>1034.9780000000001</v>
      </c>
      <c r="P99">
        <v>2067.9345703125</v>
      </c>
      <c r="Q99">
        <v>1034.97448730469</v>
      </c>
      <c r="R99">
        <v>2</v>
      </c>
      <c r="S99">
        <v>1</v>
      </c>
      <c r="T99">
        <v>19</v>
      </c>
      <c r="U99">
        <v>27.831800000000001</v>
      </c>
      <c r="V99">
        <v>232528.1</v>
      </c>
    </row>
    <row r="100" spans="1:22" x14ac:dyDescent="0.25">
      <c r="A100" t="s">
        <v>776</v>
      </c>
      <c r="B100" t="s">
        <v>777</v>
      </c>
      <c r="C100">
        <v>105</v>
      </c>
      <c r="D100">
        <v>98.3</v>
      </c>
      <c r="E100">
        <v>98.29</v>
      </c>
      <c r="F100" t="s">
        <v>778</v>
      </c>
      <c r="G100" t="s">
        <v>778</v>
      </c>
      <c r="H100">
        <f t="shared" si="4"/>
        <v>17</v>
      </c>
      <c r="M100" s="1">
        <v>6.9959000684320901E-3</v>
      </c>
      <c r="N100">
        <v>2067.94140625</v>
      </c>
      <c r="O100">
        <v>1034.9780000000001</v>
      </c>
      <c r="P100">
        <v>2067.9345703125</v>
      </c>
      <c r="Q100">
        <v>1034.97448730469</v>
      </c>
      <c r="R100">
        <v>2</v>
      </c>
      <c r="S100">
        <v>1</v>
      </c>
      <c r="T100">
        <v>14</v>
      </c>
      <c r="U100">
        <v>27.753129999999899</v>
      </c>
      <c r="V100">
        <v>217793</v>
      </c>
    </row>
    <row r="101" spans="1:22" x14ac:dyDescent="0.25">
      <c r="A101" t="s">
        <v>779</v>
      </c>
      <c r="B101" t="s">
        <v>780</v>
      </c>
      <c r="C101">
        <v>61</v>
      </c>
      <c r="D101">
        <v>99</v>
      </c>
      <c r="E101">
        <v>99</v>
      </c>
      <c r="F101" t="s">
        <v>781</v>
      </c>
      <c r="G101" t="s">
        <v>781</v>
      </c>
      <c r="H101">
        <f t="shared" si="4"/>
        <v>14</v>
      </c>
      <c r="M101" s="1">
        <v>7.33716995455324E-4</v>
      </c>
      <c r="N101">
        <v>1948.08618164063</v>
      </c>
      <c r="O101">
        <v>650.36929999999904</v>
      </c>
      <c r="P101">
        <v>1948.08544921875</v>
      </c>
      <c r="Q101">
        <v>650.36907958984295</v>
      </c>
      <c r="R101">
        <v>3</v>
      </c>
      <c r="S101">
        <v>1</v>
      </c>
      <c r="T101">
        <v>7</v>
      </c>
      <c r="U101">
        <v>24.7288999999999</v>
      </c>
      <c r="V101">
        <v>260933.6</v>
      </c>
    </row>
    <row r="102" spans="1:22" x14ac:dyDescent="0.25">
      <c r="A102" t="s">
        <v>779</v>
      </c>
      <c r="B102" t="s">
        <v>780</v>
      </c>
      <c r="C102">
        <v>59</v>
      </c>
      <c r="D102">
        <v>99</v>
      </c>
      <c r="E102">
        <v>99</v>
      </c>
      <c r="F102" t="s">
        <v>782</v>
      </c>
      <c r="G102" t="s">
        <v>782</v>
      </c>
      <c r="H102">
        <f t="shared" si="4"/>
        <v>16</v>
      </c>
      <c r="M102" s="1">
        <v>1.40068994369358E-3</v>
      </c>
      <c r="N102">
        <v>2019.12390136719</v>
      </c>
      <c r="O102">
        <v>674.04859999999906</v>
      </c>
      <c r="P102">
        <v>2019.12255859375</v>
      </c>
      <c r="Q102">
        <v>674.048095703125</v>
      </c>
      <c r="R102">
        <v>3</v>
      </c>
      <c r="S102">
        <v>2</v>
      </c>
      <c r="T102">
        <v>11</v>
      </c>
      <c r="U102">
        <v>25.2842699999999</v>
      </c>
      <c r="V102">
        <v>850283.4</v>
      </c>
    </row>
    <row r="103" spans="1:22" x14ac:dyDescent="0.25">
      <c r="A103" t="s">
        <v>166</v>
      </c>
      <c r="B103" t="s">
        <v>167</v>
      </c>
      <c r="C103">
        <v>219</v>
      </c>
      <c r="D103">
        <v>98.7</v>
      </c>
      <c r="E103">
        <v>98.67</v>
      </c>
      <c r="F103" t="s">
        <v>2355</v>
      </c>
      <c r="G103" t="s">
        <v>2355</v>
      </c>
      <c r="H103">
        <f t="shared" si="4"/>
        <v>16</v>
      </c>
      <c r="M103" s="1">
        <v>4.8516099923290301E-4</v>
      </c>
      <c r="N103">
        <v>2019.123046875</v>
      </c>
      <c r="O103">
        <v>674.04830000000004</v>
      </c>
      <c r="P103">
        <v>2019.12255859375</v>
      </c>
      <c r="Q103">
        <v>674.048095703125</v>
      </c>
      <c r="R103">
        <v>3</v>
      </c>
      <c r="S103">
        <v>2</v>
      </c>
      <c r="T103">
        <v>13</v>
      </c>
      <c r="U103">
        <v>25.35435</v>
      </c>
      <c r="V103">
        <v>1275742</v>
      </c>
    </row>
    <row r="104" spans="1:22" x14ac:dyDescent="0.25">
      <c r="A104" t="s">
        <v>166</v>
      </c>
      <c r="B104" t="s">
        <v>167</v>
      </c>
      <c r="C104">
        <v>19</v>
      </c>
      <c r="D104">
        <v>99</v>
      </c>
      <c r="E104">
        <v>99</v>
      </c>
      <c r="F104" t="s">
        <v>2356</v>
      </c>
      <c r="G104" t="s">
        <v>2356</v>
      </c>
      <c r="H104">
        <f t="shared" si="4"/>
        <v>10</v>
      </c>
      <c r="M104" s="1">
        <v>1.1175399646163001E-2</v>
      </c>
      <c r="N104">
        <v>1593.73828125</v>
      </c>
      <c r="O104">
        <v>797.87639999999897</v>
      </c>
      <c r="P104">
        <v>1593.72705078125</v>
      </c>
      <c r="Q104">
        <v>797.87078857421795</v>
      </c>
      <c r="R104">
        <v>2</v>
      </c>
      <c r="S104">
        <v>1</v>
      </c>
      <c r="T104">
        <v>11</v>
      </c>
      <c r="U104">
        <v>36.878270000000001</v>
      </c>
      <c r="V104">
        <v>72304.91</v>
      </c>
    </row>
    <row r="105" spans="1:22" x14ac:dyDescent="0.25">
      <c r="A105" t="s">
        <v>166</v>
      </c>
      <c r="B105" t="s">
        <v>167</v>
      </c>
      <c r="C105">
        <v>222</v>
      </c>
      <c r="D105">
        <v>99</v>
      </c>
      <c r="E105">
        <v>99</v>
      </c>
      <c r="F105" t="s">
        <v>2357</v>
      </c>
      <c r="G105" t="s">
        <v>2357</v>
      </c>
      <c r="H105">
        <f t="shared" si="4"/>
        <v>15</v>
      </c>
      <c r="M105" s="1">
        <v>2.52378010191023E-3</v>
      </c>
      <c r="N105">
        <v>2056.00390625</v>
      </c>
      <c r="O105">
        <v>686.34190000000001</v>
      </c>
      <c r="P105">
        <v>2056.00146484375</v>
      </c>
      <c r="Q105">
        <v>686.341064453125</v>
      </c>
      <c r="R105">
        <v>3</v>
      </c>
      <c r="S105">
        <v>1</v>
      </c>
      <c r="T105">
        <v>9</v>
      </c>
      <c r="U105">
        <v>35.482080000000003</v>
      </c>
      <c r="V105">
        <v>246317.3</v>
      </c>
    </row>
    <row r="106" spans="1:22" x14ac:dyDescent="0.25">
      <c r="A106" t="s">
        <v>166</v>
      </c>
      <c r="B106" t="s">
        <v>167</v>
      </c>
      <c r="C106">
        <v>292</v>
      </c>
      <c r="D106">
        <v>99</v>
      </c>
      <c r="E106">
        <v>99</v>
      </c>
      <c r="F106" t="s">
        <v>601</v>
      </c>
      <c r="G106" t="s">
        <v>601</v>
      </c>
      <c r="H106">
        <f t="shared" si="4"/>
        <v>21</v>
      </c>
      <c r="M106" s="1">
        <v>8.2000503316521506E-3</v>
      </c>
      <c r="N106">
        <v>2056.00952148438</v>
      </c>
      <c r="O106">
        <v>686.34379999999896</v>
      </c>
      <c r="P106">
        <v>2056.00146484375</v>
      </c>
      <c r="Q106">
        <v>686.341064453125</v>
      </c>
      <c r="R106">
        <v>3</v>
      </c>
      <c r="S106">
        <v>1</v>
      </c>
      <c r="T106">
        <v>8</v>
      </c>
      <c r="U106">
        <v>35.537730000000003</v>
      </c>
      <c r="V106">
        <v>164612.299999999</v>
      </c>
    </row>
    <row r="107" spans="1:22" x14ac:dyDescent="0.25">
      <c r="A107" t="s">
        <v>166</v>
      </c>
      <c r="B107" t="s">
        <v>167</v>
      </c>
      <c r="C107">
        <v>316</v>
      </c>
      <c r="D107">
        <v>99</v>
      </c>
      <c r="E107">
        <v>99</v>
      </c>
      <c r="F107" t="s">
        <v>2358</v>
      </c>
      <c r="G107" t="s">
        <v>2358</v>
      </c>
      <c r="H107">
        <f t="shared" si="4"/>
        <v>11</v>
      </c>
      <c r="M107" s="1">
        <v>-4.92650025989859E-4</v>
      </c>
      <c r="N107">
        <v>1067.60827636719</v>
      </c>
      <c r="O107">
        <v>534.81140000000005</v>
      </c>
      <c r="P107">
        <v>1067.60876464844</v>
      </c>
      <c r="Q107">
        <v>534.81164550781205</v>
      </c>
      <c r="R107">
        <v>2</v>
      </c>
      <c r="S107">
        <v>1</v>
      </c>
      <c r="T107">
        <v>11</v>
      </c>
      <c r="U107">
        <v>32.003</v>
      </c>
      <c r="V107">
        <v>2390938</v>
      </c>
    </row>
    <row r="108" spans="1:22" x14ac:dyDescent="0.25">
      <c r="A108" t="s">
        <v>166</v>
      </c>
      <c r="B108" t="s">
        <v>167</v>
      </c>
      <c r="C108">
        <v>224</v>
      </c>
      <c r="D108">
        <v>99</v>
      </c>
      <c r="E108">
        <v>99</v>
      </c>
      <c r="F108" t="s">
        <v>2359</v>
      </c>
      <c r="G108" t="s">
        <v>2359</v>
      </c>
      <c r="H108">
        <f t="shared" si="4"/>
        <v>16</v>
      </c>
      <c r="M108" s="1">
        <v>-7.3679100023582502E-4</v>
      </c>
      <c r="N108">
        <v>1067.60803222656</v>
      </c>
      <c r="O108">
        <v>534.81129999999905</v>
      </c>
      <c r="P108">
        <v>1067.60876464844</v>
      </c>
      <c r="Q108">
        <v>534.81164550781205</v>
      </c>
      <c r="R108">
        <v>2</v>
      </c>
      <c r="S108">
        <v>1</v>
      </c>
      <c r="T108">
        <v>11</v>
      </c>
      <c r="U108">
        <v>31.9903499999999</v>
      </c>
      <c r="V108">
        <v>1209680</v>
      </c>
    </row>
    <row r="109" spans="1:22" x14ac:dyDescent="0.25">
      <c r="A109" t="s">
        <v>166</v>
      </c>
      <c r="B109" t="s">
        <v>167</v>
      </c>
      <c r="C109">
        <v>315</v>
      </c>
      <c r="D109">
        <v>97.1</v>
      </c>
      <c r="E109">
        <v>97.11</v>
      </c>
      <c r="F109" t="s">
        <v>2360</v>
      </c>
      <c r="G109" t="s">
        <v>2360</v>
      </c>
      <c r="H109">
        <f t="shared" si="4"/>
        <v>11</v>
      </c>
      <c r="M109">
        <v>2.8709999999999999E-3</v>
      </c>
      <c r="N109">
        <v>1897.9423828125</v>
      </c>
      <c r="O109">
        <v>633.65470000000005</v>
      </c>
      <c r="P109">
        <v>1897.939453125</v>
      </c>
      <c r="Q109">
        <v>633.65374755859295</v>
      </c>
      <c r="R109">
        <v>3</v>
      </c>
      <c r="S109">
        <v>1</v>
      </c>
      <c r="T109">
        <v>15</v>
      </c>
      <c r="U109">
        <v>27.003080000000001</v>
      </c>
      <c r="V109">
        <v>260814.4</v>
      </c>
    </row>
    <row r="110" spans="1:22" x14ac:dyDescent="0.25">
      <c r="A110" t="s">
        <v>166</v>
      </c>
      <c r="B110" t="s">
        <v>167</v>
      </c>
      <c r="C110">
        <v>221</v>
      </c>
      <c r="D110">
        <v>99</v>
      </c>
      <c r="E110">
        <v>99</v>
      </c>
      <c r="F110" t="s">
        <v>2361</v>
      </c>
      <c r="G110" t="s">
        <v>2361</v>
      </c>
      <c r="H110">
        <f t="shared" si="4"/>
        <v>13</v>
      </c>
      <c r="M110" s="1">
        <v>8.54710955172777E-3</v>
      </c>
      <c r="N110">
        <v>1897.94799804688</v>
      </c>
      <c r="O110">
        <v>633.65660000000003</v>
      </c>
      <c r="P110">
        <v>1897.939453125</v>
      </c>
      <c r="Q110">
        <v>633.65374755859295</v>
      </c>
      <c r="R110">
        <v>3</v>
      </c>
      <c r="S110">
        <v>1</v>
      </c>
      <c r="T110">
        <v>12</v>
      </c>
      <c r="U110">
        <v>27.014399999999899</v>
      </c>
      <c r="V110">
        <v>281994.3</v>
      </c>
    </row>
    <row r="111" spans="1:22" x14ac:dyDescent="0.25">
      <c r="A111" t="s">
        <v>166</v>
      </c>
      <c r="B111" t="s">
        <v>167</v>
      </c>
      <c r="C111">
        <v>239</v>
      </c>
      <c r="D111">
        <v>99</v>
      </c>
      <c r="E111">
        <v>99</v>
      </c>
      <c r="F111" t="s">
        <v>221</v>
      </c>
      <c r="G111" t="s">
        <v>221</v>
      </c>
      <c r="H111">
        <f t="shared" si="4"/>
        <v>16</v>
      </c>
      <c r="M111">
        <v>1.1202999999999999E-2</v>
      </c>
      <c r="N111">
        <v>1995.00341796875</v>
      </c>
      <c r="O111">
        <v>666.00840000000005</v>
      </c>
      <c r="P111">
        <v>1994.9921875</v>
      </c>
      <c r="Q111">
        <v>666.00469970703102</v>
      </c>
      <c r="R111">
        <v>3</v>
      </c>
      <c r="S111">
        <v>1</v>
      </c>
      <c r="T111">
        <v>11</v>
      </c>
      <c r="U111">
        <v>28.44265</v>
      </c>
      <c r="V111">
        <v>292575.59999999899</v>
      </c>
    </row>
    <row r="112" spans="1:22" x14ac:dyDescent="0.25">
      <c r="A112" t="s">
        <v>166</v>
      </c>
      <c r="B112" t="s">
        <v>167</v>
      </c>
      <c r="C112">
        <v>96</v>
      </c>
      <c r="D112">
        <v>99</v>
      </c>
      <c r="E112">
        <v>99</v>
      </c>
      <c r="F112" t="s">
        <v>168</v>
      </c>
      <c r="G112" t="s">
        <v>168</v>
      </c>
      <c r="H112">
        <f t="shared" si="4"/>
        <v>18</v>
      </c>
      <c r="M112" s="1">
        <v>1.08369998633861E-2</v>
      </c>
      <c r="N112">
        <v>1995.00305175781</v>
      </c>
      <c r="O112">
        <v>666.00829999999905</v>
      </c>
      <c r="P112">
        <v>1994.9921875</v>
      </c>
      <c r="Q112">
        <v>666.00469970703102</v>
      </c>
      <c r="R112">
        <v>3</v>
      </c>
      <c r="S112">
        <v>1</v>
      </c>
      <c r="T112">
        <v>13</v>
      </c>
      <c r="U112">
        <v>28.434270000000001</v>
      </c>
      <c r="V112">
        <v>255665.5</v>
      </c>
    </row>
    <row r="113" spans="1:22" x14ac:dyDescent="0.25">
      <c r="A113" t="s">
        <v>166</v>
      </c>
      <c r="B113" t="s">
        <v>167</v>
      </c>
      <c r="C113">
        <v>316</v>
      </c>
      <c r="D113">
        <v>97.8</v>
      </c>
      <c r="E113">
        <v>97.77</v>
      </c>
      <c r="F113" t="s">
        <v>2358</v>
      </c>
      <c r="G113" t="s">
        <v>2358</v>
      </c>
      <c r="H113">
        <f t="shared" si="4"/>
        <v>11</v>
      </c>
      <c r="L113" t="s">
        <v>563</v>
      </c>
      <c r="M113" s="1">
        <v>4.2197299189865502E-3</v>
      </c>
      <c r="N113">
        <v>1216.59191894531</v>
      </c>
      <c r="O113">
        <v>609.30319999999904</v>
      </c>
      <c r="P113">
        <v>1216.58764648438</v>
      </c>
      <c r="Q113">
        <v>609.30108642578102</v>
      </c>
      <c r="R113">
        <v>2</v>
      </c>
      <c r="S113">
        <v>7</v>
      </c>
      <c r="T113">
        <v>13</v>
      </c>
      <c r="U113">
        <v>45.527430000000003</v>
      </c>
      <c r="V113">
        <v>1065355</v>
      </c>
    </row>
    <row r="114" spans="1:22" x14ac:dyDescent="0.25">
      <c r="A114" t="s">
        <v>166</v>
      </c>
      <c r="B114" t="s">
        <v>167</v>
      </c>
      <c r="C114">
        <v>309</v>
      </c>
      <c r="D114">
        <v>99</v>
      </c>
      <c r="E114">
        <v>99</v>
      </c>
      <c r="F114" t="s">
        <v>2362</v>
      </c>
      <c r="G114" t="s">
        <v>2362</v>
      </c>
      <c r="H114">
        <f t="shared" si="4"/>
        <v>20</v>
      </c>
      <c r="L114" t="s">
        <v>232</v>
      </c>
      <c r="M114" s="1">
        <v>5.6660901755094502E-3</v>
      </c>
      <c r="N114">
        <v>1816.91381835938</v>
      </c>
      <c r="O114">
        <v>606.64520000000005</v>
      </c>
      <c r="P114">
        <v>1816.90808105469</v>
      </c>
      <c r="Q114">
        <v>606.643310546875</v>
      </c>
      <c r="R114">
        <v>3</v>
      </c>
      <c r="S114">
        <v>1</v>
      </c>
      <c r="T114">
        <v>14</v>
      </c>
      <c r="U114">
        <v>24.763829999999899</v>
      </c>
      <c r="V114">
        <v>373751.1</v>
      </c>
    </row>
    <row r="115" spans="1:22" x14ac:dyDescent="0.25">
      <c r="A115" t="s">
        <v>166</v>
      </c>
      <c r="B115" t="s">
        <v>167</v>
      </c>
      <c r="C115">
        <v>221</v>
      </c>
      <c r="D115">
        <v>99</v>
      </c>
      <c r="E115">
        <v>99</v>
      </c>
      <c r="F115" t="s">
        <v>2363</v>
      </c>
      <c r="G115" t="s">
        <v>2363</v>
      </c>
      <c r="H115">
        <f t="shared" si="4"/>
        <v>15</v>
      </c>
      <c r="L115" t="s">
        <v>1408</v>
      </c>
      <c r="M115" s="1">
        <v>5.4817800410091903E-3</v>
      </c>
      <c r="N115">
        <v>2231.20776367188</v>
      </c>
      <c r="O115">
        <v>558.80920000000003</v>
      </c>
      <c r="P115">
        <v>2231.2021484375</v>
      </c>
      <c r="Q115">
        <v>558.807861328125</v>
      </c>
      <c r="R115">
        <v>4</v>
      </c>
      <c r="S115">
        <v>1</v>
      </c>
      <c r="T115">
        <v>13</v>
      </c>
      <c r="U115">
        <v>43.9004499999999</v>
      </c>
      <c r="V115">
        <v>147626.4</v>
      </c>
    </row>
    <row r="116" spans="1:22" x14ac:dyDescent="0.25">
      <c r="A116" t="s">
        <v>166</v>
      </c>
      <c r="B116" t="s">
        <v>167</v>
      </c>
      <c r="C116">
        <v>221</v>
      </c>
      <c r="D116">
        <v>97.4</v>
      </c>
      <c r="E116">
        <v>97.37</v>
      </c>
      <c r="F116" t="s">
        <v>2364</v>
      </c>
      <c r="G116" t="s">
        <v>2364</v>
      </c>
      <c r="H116">
        <f t="shared" si="4"/>
        <v>19</v>
      </c>
      <c r="L116" t="s">
        <v>104</v>
      </c>
      <c r="M116" s="1">
        <v>9.2790799681097302E-4</v>
      </c>
      <c r="N116">
        <v>1053.60144042969</v>
      </c>
      <c r="O116">
        <v>527.80799999999897</v>
      </c>
      <c r="P116">
        <v>1053.60046386719</v>
      </c>
      <c r="Q116">
        <v>527.80749511718705</v>
      </c>
      <c r="R116">
        <v>2</v>
      </c>
      <c r="S116">
        <v>4</v>
      </c>
      <c r="T116">
        <v>14</v>
      </c>
      <c r="U116">
        <v>40.4530999999999</v>
      </c>
      <c r="V116">
        <v>1263519</v>
      </c>
    </row>
    <row r="117" spans="1:22" x14ac:dyDescent="0.25">
      <c r="A117" t="s">
        <v>599</v>
      </c>
      <c r="B117" t="s">
        <v>600</v>
      </c>
      <c r="C117">
        <v>64</v>
      </c>
      <c r="D117">
        <v>99</v>
      </c>
      <c r="E117">
        <v>99</v>
      </c>
      <c r="F117" t="s">
        <v>2275</v>
      </c>
      <c r="G117" t="s">
        <v>2275</v>
      </c>
      <c r="H117">
        <f t="shared" si="4"/>
        <v>9</v>
      </c>
      <c r="M117" s="1">
        <v>4.3223798274993801E-3</v>
      </c>
      <c r="N117">
        <v>1997.09887695313</v>
      </c>
      <c r="O117">
        <v>666.70690000000002</v>
      </c>
      <c r="P117">
        <v>1997.09460449219</v>
      </c>
      <c r="Q117">
        <v>666.70544433593705</v>
      </c>
      <c r="R117">
        <v>3</v>
      </c>
      <c r="S117">
        <v>5</v>
      </c>
      <c r="T117">
        <v>20</v>
      </c>
      <c r="U117">
        <v>42.440350000000002</v>
      </c>
      <c r="V117">
        <v>2589442</v>
      </c>
    </row>
    <row r="118" spans="1:22" x14ac:dyDescent="0.25">
      <c r="A118" t="s">
        <v>3468</v>
      </c>
      <c r="B118" t="s">
        <v>3469</v>
      </c>
      <c r="C118">
        <v>1023</v>
      </c>
      <c r="D118">
        <v>97.2</v>
      </c>
      <c r="E118">
        <v>97.24</v>
      </c>
      <c r="F118" t="s">
        <v>3470</v>
      </c>
      <c r="G118" t="s">
        <v>3470</v>
      </c>
      <c r="H118">
        <f t="shared" si="4"/>
        <v>9</v>
      </c>
      <c r="L118" t="s">
        <v>295</v>
      </c>
      <c r="M118" s="1">
        <v>5.3563402034342202E-3</v>
      </c>
      <c r="N118">
        <v>1492.73193359375</v>
      </c>
      <c r="O118">
        <v>747.3732</v>
      </c>
      <c r="P118">
        <v>1492.7265625</v>
      </c>
      <c r="Q118">
        <v>747.37054443359295</v>
      </c>
      <c r="R118">
        <v>2</v>
      </c>
      <c r="S118">
        <v>1</v>
      </c>
      <c r="T118">
        <v>10</v>
      </c>
      <c r="U118">
        <v>38.904380000000003</v>
      </c>
      <c r="V118">
        <v>110985.7</v>
      </c>
    </row>
    <row r="119" spans="1:22" x14ac:dyDescent="0.25">
      <c r="A119" t="s">
        <v>724</v>
      </c>
      <c r="B119" t="s">
        <v>725</v>
      </c>
      <c r="C119">
        <v>144</v>
      </c>
      <c r="D119">
        <v>98.1</v>
      </c>
      <c r="E119">
        <v>98.14</v>
      </c>
      <c r="F119" t="s">
        <v>726</v>
      </c>
      <c r="G119" t="s">
        <v>726</v>
      </c>
      <c r="H119">
        <f t="shared" si="4"/>
        <v>13</v>
      </c>
      <c r="M119" s="1">
        <v>5.4210098460316701E-3</v>
      </c>
      <c r="N119">
        <v>1997.09997558594</v>
      </c>
      <c r="O119">
        <v>666.70730000000003</v>
      </c>
      <c r="P119">
        <v>1997.09460449219</v>
      </c>
      <c r="Q119">
        <v>666.70544433593705</v>
      </c>
      <c r="R119">
        <v>3</v>
      </c>
      <c r="S119">
        <v>7</v>
      </c>
      <c r="T119">
        <v>20</v>
      </c>
      <c r="U119">
        <v>42.412680000000002</v>
      </c>
      <c r="V119">
        <v>3931064</v>
      </c>
    </row>
    <row r="120" spans="1:22" x14ac:dyDescent="0.25">
      <c r="A120" t="s">
        <v>951</v>
      </c>
      <c r="B120" t="s">
        <v>952</v>
      </c>
      <c r="C120">
        <v>44</v>
      </c>
      <c r="D120">
        <v>99</v>
      </c>
      <c r="E120">
        <v>99</v>
      </c>
      <c r="F120" t="s">
        <v>434</v>
      </c>
      <c r="G120" t="s">
        <v>434</v>
      </c>
      <c r="H120">
        <f t="shared" si="4"/>
        <v>9</v>
      </c>
      <c r="M120" s="1">
        <v>3.7072699051350299E-3</v>
      </c>
      <c r="N120">
        <v>1251.68603515625</v>
      </c>
      <c r="O120">
        <v>626.85029999999904</v>
      </c>
      <c r="P120">
        <v>1251.68225097656</v>
      </c>
      <c r="Q120">
        <v>626.84844970703102</v>
      </c>
      <c r="R120">
        <v>2</v>
      </c>
      <c r="S120">
        <v>1</v>
      </c>
      <c r="T120">
        <v>10</v>
      </c>
      <c r="U120">
        <v>32.097679999999897</v>
      </c>
      <c r="V120">
        <v>158901.9</v>
      </c>
    </row>
    <row r="121" spans="1:22" x14ac:dyDescent="0.25">
      <c r="A121" t="s">
        <v>1052</v>
      </c>
      <c r="B121" t="s">
        <v>1053</v>
      </c>
      <c r="C121">
        <v>47</v>
      </c>
      <c r="D121">
        <v>97.5</v>
      </c>
      <c r="E121">
        <v>97.48</v>
      </c>
      <c r="F121" t="s">
        <v>1054</v>
      </c>
      <c r="G121" t="s">
        <v>1054</v>
      </c>
      <c r="H121">
        <f t="shared" si="4"/>
        <v>9</v>
      </c>
      <c r="M121" s="1">
        <v>1.04443999007344E-2</v>
      </c>
      <c r="N121">
        <v>1670.73510742188</v>
      </c>
      <c r="O121">
        <v>836.37480000000005</v>
      </c>
      <c r="P121">
        <v>1670.724609375</v>
      </c>
      <c r="Q121">
        <v>836.36956787109295</v>
      </c>
      <c r="R121">
        <v>2</v>
      </c>
      <c r="S121">
        <v>1</v>
      </c>
      <c r="T121">
        <v>8</v>
      </c>
      <c r="U121">
        <v>33.011650000000003</v>
      </c>
      <c r="V121">
        <v>60056.49</v>
      </c>
    </row>
    <row r="122" spans="1:22" x14ac:dyDescent="0.25">
      <c r="A122" t="s">
        <v>1557</v>
      </c>
      <c r="B122" t="s">
        <v>1558</v>
      </c>
      <c r="C122">
        <v>546</v>
      </c>
      <c r="D122">
        <v>99</v>
      </c>
      <c r="E122">
        <v>99</v>
      </c>
      <c r="F122" t="s">
        <v>1559</v>
      </c>
      <c r="G122" t="s">
        <v>1559</v>
      </c>
      <c r="H122">
        <f t="shared" si="4"/>
        <v>13</v>
      </c>
      <c r="M122" s="1">
        <v>4.4833198189735404E-3</v>
      </c>
      <c r="N122">
        <v>1711.87609863281</v>
      </c>
      <c r="O122">
        <v>571.63260000000002</v>
      </c>
      <c r="P122">
        <v>1711.87158203125</v>
      </c>
      <c r="Q122">
        <v>571.63116455078102</v>
      </c>
      <c r="R122">
        <v>3</v>
      </c>
      <c r="S122">
        <v>2</v>
      </c>
      <c r="T122">
        <v>12</v>
      </c>
      <c r="U122">
        <v>42.004770000000001</v>
      </c>
      <c r="V122">
        <v>170931.4</v>
      </c>
    </row>
    <row r="123" spans="1:22" x14ac:dyDescent="0.25">
      <c r="A123" t="s">
        <v>348</v>
      </c>
      <c r="B123" t="s">
        <v>349</v>
      </c>
      <c r="C123">
        <v>26</v>
      </c>
      <c r="D123">
        <v>99</v>
      </c>
      <c r="E123">
        <v>99</v>
      </c>
      <c r="F123" t="s">
        <v>350</v>
      </c>
      <c r="G123" t="s">
        <v>350</v>
      </c>
      <c r="H123">
        <f t="shared" si="4"/>
        <v>9</v>
      </c>
      <c r="M123" s="1">
        <v>5.9481598436832402E-3</v>
      </c>
      <c r="N123">
        <v>1711.87756347656</v>
      </c>
      <c r="O123">
        <v>571.63310000000001</v>
      </c>
      <c r="P123">
        <v>1711.87158203125</v>
      </c>
      <c r="Q123">
        <v>571.63116455078102</v>
      </c>
      <c r="R123">
        <v>3</v>
      </c>
      <c r="S123">
        <v>2</v>
      </c>
      <c r="T123">
        <v>13</v>
      </c>
      <c r="U123">
        <v>42.0839</v>
      </c>
      <c r="V123">
        <v>192380.9</v>
      </c>
    </row>
    <row r="124" spans="1:22" x14ac:dyDescent="0.25">
      <c r="A124" t="s">
        <v>348</v>
      </c>
      <c r="B124" t="s">
        <v>349</v>
      </c>
      <c r="C124">
        <v>26</v>
      </c>
      <c r="D124">
        <v>97.6</v>
      </c>
      <c r="E124">
        <v>97.59</v>
      </c>
      <c r="F124" t="s">
        <v>350</v>
      </c>
      <c r="G124" t="s">
        <v>350</v>
      </c>
      <c r="H124">
        <f t="shared" si="4"/>
        <v>9</v>
      </c>
      <c r="L124" t="s">
        <v>47</v>
      </c>
      <c r="M124" s="1">
        <v>2.6546099688857698E-3</v>
      </c>
      <c r="N124">
        <v>1715.94189453125</v>
      </c>
      <c r="O124">
        <v>572.98789999999894</v>
      </c>
      <c r="P124">
        <v>1715.93920898438</v>
      </c>
      <c r="Q124">
        <v>572.987060546875</v>
      </c>
      <c r="R124">
        <v>3</v>
      </c>
      <c r="S124">
        <v>1</v>
      </c>
      <c r="T124">
        <v>8</v>
      </c>
      <c r="U124">
        <v>24.451049999999899</v>
      </c>
      <c r="V124">
        <v>44717.11</v>
      </c>
    </row>
    <row r="125" spans="1:22" x14ac:dyDescent="0.25">
      <c r="A125" t="s">
        <v>786</v>
      </c>
      <c r="B125" t="s">
        <v>787</v>
      </c>
      <c r="C125">
        <v>127</v>
      </c>
      <c r="D125">
        <v>99</v>
      </c>
      <c r="E125">
        <v>99</v>
      </c>
      <c r="F125" t="s">
        <v>788</v>
      </c>
      <c r="G125" t="s">
        <v>788</v>
      </c>
      <c r="H125">
        <f t="shared" si="4"/>
        <v>15</v>
      </c>
      <c r="M125" s="1">
        <v>2.6103699929080801E-4</v>
      </c>
      <c r="N125">
        <v>1896.95190429688</v>
      </c>
      <c r="O125">
        <v>949.48320000000001</v>
      </c>
      <c r="P125">
        <v>1896.95166015625</v>
      </c>
      <c r="Q125">
        <v>949.48309326171795</v>
      </c>
      <c r="R125">
        <v>2</v>
      </c>
      <c r="S125">
        <v>3</v>
      </c>
      <c r="T125">
        <v>18</v>
      </c>
      <c r="U125">
        <v>43.0226299999999</v>
      </c>
      <c r="V125">
        <v>210620</v>
      </c>
    </row>
    <row r="126" spans="1:22" x14ac:dyDescent="0.25">
      <c r="A126" t="s">
        <v>1121</v>
      </c>
      <c r="B126" t="s">
        <v>1122</v>
      </c>
      <c r="C126">
        <v>127</v>
      </c>
      <c r="D126">
        <v>99</v>
      </c>
      <c r="E126">
        <v>99</v>
      </c>
      <c r="F126" t="s">
        <v>1123</v>
      </c>
      <c r="G126" t="s">
        <v>1123</v>
      </c>
      <c r="H126">
        <f t="shared" si="4"/>
        <v>16</v>
      </c>
      <c r="M126" s="1">
        <v>-2.0715999417007E-3</v>
      </c>
      <c r="N126">
        <v>1896.94958496094</v>
      </c>
      <c r="O126">
        <v>633.32380000000001</v>
      </c>
      <c r="P126">
        <v>1896.95166015625</v>
      </c>
      <c r="Q126">
        <v>633.324462890625</v>
      </c>
      <c r="R126">
        <v>3</v>
      </c>
      <c r="S126">
        <v>2</v>
      </c>
      <c r="T126">
        <v>16</v>
      </c>
      <c r="U126">
        <v>43.068579999999898</v>
      </c>
      <c r="V126">
        <v>373193.5</v>
      </c>
    </row>
    <row r="127" spans="1:22" x14ac:dyDescent="0.25">
      <c r="A127" t="s">
        <v>1773</v>
      </c>
      <c r="B127" t="s">
        <v>1774</v>
      </c>
      <c r="C127">
        <v>279</v>
      </c>
      <c r="D127">
        <v>99</v>
      </c>
      <c r="E127">
        <v>99</v>
      </c>
      <c r="F127" t="s">
        <v>1775</v>
      </c>
      <c r="G127" t="s">
        <v>1775</v>
      </c>
      <c r="H127">
        <f t="shared" si="4"/>
        <v>16</v>
      </c>
      <c r="L127" t="s">
        <v>419</v>
      </c>
      <c r="M127" s="1">
        <v>2.77967005968094E-3</v>
      </c>
      <c r="N127">
        <v>1022.60131835938</v>
      </c>
      <c r="O127">
        <v>512.30790000000002</v>
      </c>
      <c r="P127">
        <v>1022.59851074219</v>
      </c>
      <c r="Q127">
        <v>512.30651855468705</v>
      </c>
      <c r="R127">
        <v>2</v>
      </c>
      <c r="S127">
        <v>3</v>
      </c>
      <c r="T127">
        <v>12</v>
      </c>
      <c r="U127">
        <v>32.7529299999999</v>
      </c>
      <c r="V127">
        <v>1085263</v>
      </c>
    </row>
    <row r="128" spans="1:22" x14ac:dyDescent="0.25">
      <c r="A128" t="s">
        <v>855</v>
      </c>
      <c r="B128" t="s">
        <v>856</v>
      </c>
      <c r="C128">
        <v>313</v>
      </c>
      <c r="D128">
        <v>97.2</v>
      </c>
      <c r="E128">
        <v>97.17</v>
      </c>
      <c r="F128" t="s">
        <v>857</v>
      </c>
      <c r="G128" t="s">
        <v>857</v>
      </c>
      <c r="H128">
        <f t="shared" si="4"/>
        <v>10</v>
      </c>
      <c r="M128" s="1">
        <v>2.0016999915242101E-2</v>
      </c>
      <c r="N128">
        <v>2045.07824707031</v>
      </c>
      <c r="O128">
        <v>682.7</v>
      </c>
      <c r="P128">
        <v>2045.05822753906</v>
      </c>
      <c r="Q128">
        <v>682.693359375</v>
      </c>
      <c r="R128">
        <v>3</v>
      </c>
      <c r="S128">
        <v>2</v>
      </c>
      <c r="T128">
        <v>12</v>
      </c>
      <c r="U128">
        <v>36.324620000000003</v>
      </c>
      <c r="V128">
        <v>365123</v>
      </c>
    </row>
    <row r="129" spans="1:22" x14ac:dyDescent="0.25">
      <c r="A129" t="s">
        <v>1253</v>
      </c>
      <c r="B129" t="s">
        <v>1254</v>
      </c>
      <c r="C129">
        <v>59</v>
      </c>
      <c r="D129">
        <v>99</v>
      </c>
      <c r="E129">
        <v>99</v>
      </c>
      <c r="F129" t="s">
        <v>1255</v>
      </c>
      <c r="G129" t="s">
        <v>1255</v>
      </c>
      <c r="H129">
        <f t="shared" si="4"/>
        <v>9</v>
      </c>
      <c r="M129">
        <v>4.5739999999999999E-3</v>
      </c>
      <c r="N129">
        <v>1813.99841308594</v>
      </c>
      <c r="O129">
        <v>605.67340000000002</v>
      </c>
      <c r="P129">
        <v>1813.99377441406</v>
      </c>
      <c r="Q129">
        <v>605.671875</v>
      </c>
      <c r="R129">
        <v>3</v>
      </c>
      <c r="S129">
        <v>4</v>
      </c>
      <c r="T129">
        <v>14</v>
      </c>
      <c r="U129">
        <v>39.722099999999898</v>
      </c>
      <c r="V129">
        <v>3523218</v>
      </c>
    </row>
    <row r="130" spans="1:22" x14ac:dyDescent="0.25">
      <c r="A130" t="s">
        <v>1253</v>
      </c>
      <c r="B130" t="s">
        <v>1254</v>
      </c>
      <c r="C130">
        <v>291</v>
      </c>
      <c r="D130">
        <v>99</v>
      </c>
      <c r="E130">
        <v>99</v>
      </c>
      <c r="F130" t="s">
        <v>1256</v>
      </c>
      <c r="G130" t="s">
        <v>1256</v>
      </c>
      <c r="H130">
        <f t="shared" si="4"/>
        <v>8</v>
      </c>
      <c r="M130" s="1">
        <v>5.1659401506185402E-3</v>
      </c>
      <c r="N130">
        <v>1927.0830078125</v>
      </c>
      <c r="O130">
        <v>643.36829999999895</v>
      </c>
      <c r="P130">
        <v>1927.07788085938</v>
      </c>
      <c r="Q130">
        <v>643.36657714843705</v>
      </c>
      <c r="R130">
        <v>3</v>
      </c>
      <c r="S130">
        <v>3</v>
      </c>
      <c r="T130">
        <v>11</v>
      </c>
      <c r="U130">
        <v>45.251269999999899</v>
      </c>
      <c r="V130">
        <v>281565.59999999899</v>
      </c>
    </row>
    <row r="131" spans="1:22" x14ac:dyDescent="0.25">
      <c r="A131" t="s">
        <v>1253</v>
      </c>
      <c r="B131" t="s">
        <v>1254</v>
      </c>
      <c r="C131">
        <v>287</v>
      </c>
      <c r="D131">
        <v>97.8</v>
      </c>
      <c r="E131">
        <v>97.83</v>
      </c>
      <c r="F131" t="s">
        <v>1257</v>
      </c>
      <c r="G131" t="s">
        <v>1257</v>
      </c>
      <c r="H131">
        <f t="shared" ref="H131:H194" si="5">LEN(G131)</f>
        <v>12</v>
      </c>
      <c r="M131">
        <v>1.4400000000000001E-3</v>
      </c>
      <c r="N131">
        <v>1887.94152832031</v>
      </c>
      <c r="O131">
        <v>630.3211</v>
      </c>
      <c r="P131">
        <v>1887.94006347656</v>
      </c>
      <c r="Q131">
        <v>630.32061767578102</v>
      </c>
      <c r="R131">
        <v>3</v>
      </c>
      <c r="S131">
        <v>1</v>
      </c>
      <c r="T131">
        <v>12</v>
      </c>
      <c r="U131">
        <v>26.563600000000001</v>
      </c>
      <c r="V131">
        <v>273598.3</v>
      </c>
    </row>
    <row r="132" spans="1:22" x14ac:dyDescent="0.25">
      <c r="A132" t="s">
        <v>1253</v>
      </c>
      <c r="B132" t="s">
        <v>1254</v>
      </c>
      <c r="C132">
        <v>2</v>
      </c>
      <c r="D132">
        <v>97.8</v>
      </c>
      <c r="E132">
        <v>97.76</v>
      </c>
      <c r="F132" t="s">
        <v>1258</v>
      </c>
      <c r="G132" t="s">
        <v>1258</v>
      </c>
      <c r="H132">
        <f t="shared" si="5"/>
        <v>10</v>
      </c>
      <c r="L132" t="s">
        <v>227</v>
      </c>
      <c r="M132" s="1">
        <v>4.07666992396116E-3</v>
      </c>
      <c r="N132">
        <v>1139.62023925781</v>
      </c>
      <c r="O132">
        <v>570.81740000000002</v>
      </c>
      <c r="P132">
        <v>1139.61608886719</v>
      </c>
      <c r="Q132">
        <v>570.81536865234295</v>
      </c>
      <c r="R132">
        <v>2</v>
      </c>
      <c r="S132">
        <v>1</v>
      </c>
      <c r="T132">
        <v>13</v>
      </c>
      <c r="U132">
        <v>31.75393</v>
      </c>
      <c r="V132">
        <v>3578569</v>
      </c>
    </row>
    <row r="133" spans="1:22" x14ac:dyDescent="0.25">
      <c r="A133" t="s">
        <v>1253</v>
      </c>
      <c r="B133" t="s">
        <v>1254</v>
      </c>
      <c r="C133">
        <v>2</v>
      </c>
      <c r="D133">
        <v>99</v>
      </c>
      <c r="E133">
        <v>99</v>
      </c>
      <c r="F133" t="s">
        <v>1259</v>
      </c>
      <c r="G133" t="s">
        <v>1259</v>
      </c>
      <c r="H133">
        <f t="shared" si="5"/>
        <v>11</v>
      </c>
      <c r="L133" t="s">
        <v>227</v>
      </c>
      <c r="M133" s="1">
        <v>8.8430097093805703E-4</v>
      </c>
      <c r="N133">
        <v>1484.69787597656</v>
      </c>
      <c r="O133">
        <v>743.35619999999903</v>
      </c>
      <c r="P133">
        <v>1484.69702148438</v>
      </c>
      <c r="Q133">
        <v>743.35577392578102</v>
      </c>
      <c r="R133">
        <v>2</v>
      </c>
      <c r="S133">
        <v>1</v>
      </c>
      <c r="T133">
        <v>13</v>
      </c>
      <c r="U133">
        <v>43.0196299999999</v>
      </c>
      <c r="V133">
        <v>680967.1</v>
      </c>
    </row>
    <row r="134" spans="1:22" x14ac:dyDescent="0.25">
      <c r="A134" t="s">
        <v>2220</v>
      </c>
      <c r="B134" t="s">
        <v>2221</v>
      </c>
      <c r="C134">
        <v>852</v>
      </c>
      <c r="D134">
        <v>97</v>
      </c>
      <c r="E134">
        <v>97.03</v>
      </c>
      <c r="F134" t="s">
        <v>2222</v>
      </c>
      <c r="G134" t="s">
        <v>2222</v>
      </c>
      <c r="H134">
        <f t="shared" si="5"/>
        <v>9</v>
      </c>
      <c r="M134" s="1">
        <v>-1.49017001967877E-3</v>
      </c>
      <c r="N134">
        <v>1887.93859863281</v>
      </c>
      <c r="O134">
        <v>630.32010000000002</v>
      </c>
      <c r="P134">
        <v>1887.94006347656</v>
      </c>
      <c r="Q134">
        <v>630.32061767578102</v>
      </c>
      <c r="R134">
        <v>3</v>
      </c>
      <c r="S134">
        <v>1</v>
      </c>
      <c r="T134">
        <v>12</v>
      </c>
      <c r="U134">
        <v>26.599350000000001</v>
      </c>
      <c r="V134">
        <v>287691.90000000002</v>
      </c>
    </row>
    <row r="135" spans="1:22" x14ac:dyDescent="0.25">
      <c r="A135" t="s">
        <v>2220</v>
      </c>
      <c r="B135" t="s">
        <v>2221</v>
      </c>
      <c r="C135">
        <v>1289</v>
      </c>
      <c r="D135">
        <v>98.8</v>
      </c>
      <c r="E135">
        <v>98.78</v>
      </c>
      <c r="F135" t="s">
        <v>2223</v>
      </c>
      <c r="G135" t="s">
        <v>2223</v>
      </c>
      <c r="H135">
        <f t="shared" si="5"/>
        <v>9</v>
      </c>
      <c r="L135" t="s">
        <v>253</v>
      </c>
      <c r="M135" s="1">
        <v>-1.18534000648651E-4</v>
      </c>
      <c r="N135">
        <v>926.46429443359295</v>
      </c>
      <c r="O135">
        <v>464.23939999999902</v>
      </c>
      <c r="P135">
        <v>926.46441650390602</v>
      </c>
      <c r="Q135">
        <v>464.23947143554602</v>
      </c>
      <c r="R135">
        <v>2</v>
      </c>
      <c r="S135">
        <v>2</v>
      </c>
      <c r="T135">
        <v>12</v>
      </c>
      <c r="U135">
        <v>23.538</v>
      </c>
      <c r="V135">
        <v>374903.4</v>
      </c>
    </row>
    <row r="136" spans="1:22" x14ac:dyDescent="0.25">
      <c r="A136" t="s">
        <v>3565</v>
      </c>
      <c r="B136" t="s">
        <v>3566</v>
      </c>
      <c r="C136">
        <v>187</v>
      </c>
      <c r="D136">
        <v>98.5</v>
      </c>
      <c r="E136">
        <v>98.51</v>
      </c>
      <c r="F136" t="s">
        <v>3567</v>
      </c>
      <c r="G136" t="s">
        <v>3567</v>
      </c>
      <c r="H136">
        <f t="shared" si="5"/>
        <v>9</v>
      </c>
      <c r="M136" s="1">
        <v>6.37335004284978E-3</v>
      </c>
      <c r="N136">
        <v>1988.994140625</v>
      </c>
      <c r="O136">
        <v>664.00530000000003</v>
      </c>
      <c r="P136">
        <v>1988.98767089844</v>
      </c>
      <c r="Q136">
        <v>664.003173828125</v>
      </c>
      <c r="R136">
        <v>3</v>
      </c>
      <c r="S136">
        <v>1</v>
      </c>
      <c r="T136">
        <v>10</v>
      </c>
      <c r="U136">
        <v>27.039919999999899</v>
      </c>
      <c r="V136">
        <v>274269.90000000002</v>
      </c>
    </row>
    <row r="137" spans="1:22" x14ac:dyDescent="0.25">
      <c r="A137" t="s">
        <v>3991</v>
      </c>
      <c r="B137" t="s">
        <v>3992</v>
      </c>
      <c r="C137">
        <v>192</v>
      </c>
      <c r="D137">
        <v>97.8</v>
      </c>
      <c r="E137">
        <v>97.76</v>
      </c>
      <c r="F137" t="s">
        <v>470</v>
      </c>
      <c r="G137" t="s">
        <v>470</v>
      </c>
      <c r="H137">
        <f t="shared" si="5"/>
        <v>8</v>
      </c>
      <c r="M137" s="1">
        <v>9.1199297457933409E-3</v>
      </c>
      <c r="N137">
        <v>1988.99682617188</v>
      </c>
      <c r="O137">
        <v>664.00620000000004</v>
      </c>
      <c r="P137">
        <v>1988.98767089844</v>
      </c>
      <c r="Q137">
        <v>664.003173828125</v>
      </c>
      <c r="R137">
        <v>3</v>
      </c>
      <c r="S137">
        <v>1</v>
      </c>
      <c r="T137">
        <v>9</v>
      </c>
      <c r="U137">
        <v>27.0215</v>
      </c>
      <c r="V137">
        <v>140691.20000000001</v>
      </c>
    </row>
    <row r="138" spans="1:22" x14ac:dyDescent="0.25">
      <c r="A138" t="s">
        <v>2308</v>
      </c>
      <c r="B138" t="s">
        <v>2309</v>
      </c>
      <c r="C138">
        <v>102</v>
      </c>
      <c r="D138">
        <v>98.6</v>
      </c>
      <c r="E138">
        <v>98.59</v>
      </c>
      <c r="F138" t="s">
        <v>2310</v>
      </c>
      <c r="G138" t="s">
        <v>2310</v>
      </c>
      <c r="H138">
        <f t="shared" si="5"/>
        <v>9</v>
      </c>
      <c r="M138" s="1">
        <v>1.44215999171138E-3</v>
      </c>
      <c r="N138">
        <v>1044.67102050781</v>
      </c>
      <c r="O138">
        <v>523.34280000000001</v>
      </c>
      <c r="P138">
        <v>1044.66955566406</v>
      </c>
      <c r="Q138">
        <v>523.342041015625</v>
      </c>
      <c r="R138">
        <v>2</v>
      </c>
      <c r="S138">
        <v>1</v>
      </c>
      <c r="T138">
        <v>14</v>
      </c>
      <c r="U138">
        <v>30.99372</v>
      </c>
      <c r="V138">
        <v>929294.6</v>
      </c>
    </row>
    <row r="139" spans="1:22" x14ac:dyDescent="0.25">
      <c r="A139" t="s">
        <v>3090</v>
      </c>
      <c r="B139" t="s">
        <v>3091</v>
      </c>
      <c r="C139">
        <v>2</v>
      </c>
      <c r="D139">
        <v>99</v>
      </c>
      <c r="E139">
        <v>99</v>
      </c>
      <c r="F139" t="s">
        <v>3092</v>
      </c>
      <c r="G139" t="s">
        <v>3092</v>
      </c>
      <c r="H139">
        <f t="shared" si="5"/>
        <v>9</v>
      </c>
      <c r="M139" s="1">
        <v>1.93043996114284E-3</v>
      </c>
      <c r="N139">
        <v>1044.67150878906</v>
      </c>
      <c r="O139">
        <v>523.34299999999905</v>
      </c>
      <c r="P139">
        <v>1044.66955566406</v>
      </c>
      <c r="Q139">
        <v>523.342041015625</v>
      </c>
      <c r="R139">
        <v>2</v>
      </c>
      <c r="S139">
        <v>1</v>
      </c>
      <c r="T139">
        <v>14</v>
      </c>
      <c r="U139">
        <v>31.034120000000001</v>
      </c>
      <c r="V139">
        <v>1238581</v>
      </c>
    </row>
    <row r="140" spans="1:22" x14ac:dyDescent="0.25">
      <c r="A140" t="s">
        <v>4039</v>
      </c>
      <c r="B140" t="s">
        <v>4040</v>
      </c>
      <c r="C140">
        <v>133</v>
      </c>
      <c r="D140">
        <v>98</v>
      </c>
      <c r="E140">
        <v>97.98</v>
      </c>
      <c r="F140" t="s">
        <v>4041</v>
      </c>
      <c r="G140" t="s">
        <v>4041</v>
      </c>
      <c r="H140">
        <f t="shared" si="5"/>
        <v>16</v>
      </c>
      <c r="M140" s="1">
        <v>1.9891199190169499E-3</v>
      </c>
      <c r="N140">
        <v>1112.60388183594</v>
      </c>
      <c r="O140">
        <v>557.30920000000003</v>
      </c>
      <c r="P140">
        <v>1112.60180664063</v>
      </c>
      <c r="Q140">
        <v>557.30822753906205</v>
      </c>
      <c r="R140">
        <v>2</v>
      </c>
      <c r="S140">
        <v>13</v>
      </c>
      <c r="T140">
        <v>11</v>
      </c>
      <c r="U140">
        <v>48.031950000000002</v>
      </c>
      <c r="V140">
        <v>2352524</v>
      </c>
    </row>
    <row r="141" spans="1:22" x14ac:dyDescent="0.25">
      <c r="A141" t="s">
        <v>4039</v>
      </c>
      <c r="B141" t="s">
        <v>4040</v>
      </c>
      <c r="C141">
        <v>133</v>
      </c>
      <c r="D141">
        <v>99</v>
      </c>
      <c r="E141">
        <v>99</v>
      </c>
      <c r="F141" t="s">
        <v>4042</v>
      </c>
      <c r="G141" t="s">
        <v>4042</v>
      </c>
      <c r="H141">
        <f t="shared" si="5"/>
        <v>17</v>
      </c>
      <c r="M141" s="1">
        <v>4.8182900063693402E-3</v>
      </c>
      <c r="N141">
        <v>1744.85815429688</v>
      </c>
      <c r="O141">
        <v>437.22179999999901</v>
      </c>
      <c r="P141">
        <v>1744.85327148438</v>
      </c>
      <c r="Q141">
        <v>437.22061157226602</v>
      </c>
      <c r="R141">
        <v>4</v>
      </c>
      <c r="S141">
        <v>2</v>
      </c>
      <c r="T141">
        <v>10</v>
      </c>
      <c r="U141">
        <v>29.822849999999899</v>
      </c>
      <c r="V141">
        <v>189679.7</v>
      </c>
    </row>
    <row r="142" spans="1:22" x14ac:dyDescent="0.25">
      <c r="A142" t="s">
        <v>4039</v>
      </c>
      <c r="B142" t="s">
        <v>4040</v>
      </c>
      <c r="C142">
        <v>134</v>
      </c>
      <c r="D142">
        <v>99</v>
      </c>
      <c r="E142">
        <v>99</v>
      </c>
      <c r="F142" t="s">
        <v>4043</v>
      </c>
      <c r="G142" t="s">
        <v>4043</v>
      </c>
      <c r="H142">
        <f t="shared" si="5"/>
        <v>14</v>
      </c>
      <c r="M142" s="1">
        <v>7.4773598462343103E-3</v>
      </c>
      <c r="N142">
        <v>2360.22387695313</v>
      </c>
      <c r="O142">
        <v>787.74860000000001</v>
      </c>
      <c r="P142">
        <v>2360.21655273438</v>
      </c>
      <c r="Q142">
        <v>787.74609375</v>
      </c>
      <c r="R142">
        <v>3</v>
      </c>
      <c r="S142">
        <v>2</v>
      </c>
      <c r="T142">
        <v>14</v>
      </c>
      <c r="U142">
        <v>44.62932</v>
      </c>
      <c r="V142">
        <v>566392.6</v>
      </c>
    </row>
    <row r="143" spans="1:22" x14ac:dyDescent="0.25">
      <c r="A143" t="s">
        <v>4039</v>
      </c>
      <c r="B143" t="s">
        <v>4040</v>
      </c>
      <c r="C143">
        <v>134</v>
      </c>
      <c r="D143">
        <v>99</v>
      </c>
      <c r="E143">
        <v>99</v>
      </c>
      <c r="F143" t="s">
        <v>4044</v>
      </c>
      <c r="G143" t="s">
        <v>4044</v>
      </c>
      <c r="H143">
        <f t="shared" si="5"/>
        <v>16</v>
      </c>
      <c r="M143" s="1">
        <v>1.02238999679685E-2</v>
      </c>
      <c r="N143">
        <v>2360.22680664063</v>
      </c>
      <c r="O143">
        <v>787.74950000000001</v>
      </c>
      <c r="P143">
        <v>2360.21655273438</v>
      </c>
      <c r="Q143">
        <v>787.74609375</v>
      </c>
      <c r="R143">
        <v>3</v>
      </c>
      <c r="S143">
        <v>2</v>
      </c>
      <c r="T143">
        <v>14</v>
      </c>
      <c r="U143">
        <v>44.490279999999899</v>
      </c>
      <c r="V143">
        <v>493825.3</v>
      </c>
    </row>
    <row r="144" spans="1:22" x14ac:dyDescent="0.25">
      <c r="A144" t="s">
        <v>4555</v>
      </c>
      <c r="B144" t="s">
        <v>4556</v>
      </c>
      <c r="C144">
        <v>515</v>
      </c>
      <c r="D144">
        <v>97.4</v>
      </c>
      <c r="E144">
        <v>97.42</v>
      </c>
      <c r="F144" t="s">
        <v>4557</v>
      </c>
      <c r="G144" t="s">
        <v>4557</v>
      </c>
      <c r="H144">
        <f t="shared" si="5"/>
        <v>16</v>
      </c>
      <c r="M144">
        <v>2.1180000000000001E-3</v>
      </c>
      <c r="N144">
        <v>1153.57641601563</v>
      </c>
      <c r="O144">
        <v>577.79549999999904</v>
      </c>
      <c r="P144">
        <v>1153.57421875</v>
      </c>
      <c r="Q144">
        <v>577.79443359375</v>
      </c>
      <c r="R144">
        <v>2</v>
      </c>
      <c r="S144">
        <v>19</v>
      </c>
      <c r="T144">
        <v>14</v>
      </c>
      <c r="U144">
        <v>28.10942</v>
      </c>
      <c r="V144">
        <v>76795510</v>
      </c>
    </row>
    <row r="145" spans="1:22" x14ac:dyDescent="0.25">
      <c r="A145" t="s">
        <v>1124</v>
      </c>
      <c r="B145" t="s">
        <v>1125</v>
      </c>
      <c r="C145">
        <v>28</v>
      </c>
      <c r="D145">
        <v>99</v>
      </c>
      <c r="E145">
        <v>99</v>
      </c>
      <c r="F145" t="s">
        <v>1126</v>
      </c>
      <c r="G145" t="s">
        <v>1126</v>
      </c>
      <c r="H145">
        <f t="shared" si="5"/>
        <v>15</v>
      </c>
      <c r="M145" s="1">
        <v>2.60651996359229E-3</v>
      </c>
      <c r="N145">
        <v>1153.57690429688</v>
      </c>
      <c r="O145">
        <v>577.79570000000001</v>
      </c>
      <c r="P145">
        <v>1153.57421875</v>
      </c>
      <c r="Q145">
        <v>577.79443359375</v>
      </c>
      <c r="R145">
        <v>2</v>
      </c>
      <c r="S145">
        <v>15</v>
      </c>
      <c r="T145">
        <v>14</v>
      </c>
      <c r="U145">
        <v>28.275200000000002</v>
      </c>
      <c r="V145">
        <v>73199220</v>
      </c>
    </row>
    <row r="146" spans="1:22" x14ac:dyDescent="0.25">
      <c r="A146" t="s">
        <v>1124</v>
      </c>
      <c r="B146" t="s">
        <v>1125</v>
      </c>
      <c r="C146">
        <v>27</v>
      </c>
      <c r="D146">
        <v>99</v>
      </c>
      <c r="E146">
        <v>99</v>
      </c>
      <c r="F146" t="s">
        <v>1127</v>
      </c>
      <c r="G146" t="s">
        <v>1127</v>
      </c>
      <c r="H146">
        <f t="shared" si="5"/>
        <v>14</v>
      </c>
      <c r="M146" s="1">
        <v>7.73497996851801E-3</v>
      </c>
      <c r="N146">
        <v>1052.5732421875</v>
      </c>
      <c r="O146">
        <v>527.29390000000001</v>
      </c>
      <c r="P146">
        <v>1052.5654296875</v>
      </c>
      <c r="Q146">
        <v>527.2900390625</v>
      </c>
      <c r="R146">
        <v>2</v>
      </c>
      <c r="S146">
        <v>2</v>
      </c>
      <c r="T146">
        <v>12</v>
      </c>
      <c r="U146">
        <v>43.439149999999898</v>
      </c>
      <c r="V146">
        <v>8822499</v>
      </c>
    </row>
    <row r="147" spans="1:22" x14ac:dyDescent="0.25">
      <c r="A147" t="s">
        <v>820</v>
      </c>
      <c r="B147" t="s">
        <v>821</v>
      </c>
      <c r="C147">
        <v>368</v>
      </c>
      <c r="D147">
        <v>98.1</v>
      </c>
      <c r="E147">
        <v>98.06</v>
      </c>
      <c r="F147" t="s">
        <v>822</v>
      </c>
      <c r="G147" t="s">
        <v>822</v>
      </c>
      <c r="H147">
        <f t="shared" si="5"/>
        <v>17</v>
      </c>
      <c r="M147" s="1">
        <v>4.43778990302235E-4</v>
      </c>
      <c r="N147">
        <v>1060.607421875</v>
      </c>
      <c r="O147">
        <v>531.31100000000004</v>
      </c>
      <c r="P147">
        <v>1060.60693359375</v>
      </c>
      <c r="Q147">
        <v>531.31072998046795</v>
      </c>
      <c r="R147">
        <v>2</v>
      </c>
      <c r="S147">
        <v>2</v>
      </c>
      <c r="T147">
        <v>13</v>
      </c>
      <c r="U147">
        <v>38.650230000000001</v>
      </c>
      <c r="V147">
        <v>3395425</v>
      </c>
    </row>
    <row r="148" spans="1:22" x14ac:dyDescent="0.25">
      <c r="A148" t="s">
        <v>820</v>
      </c>
      <c r="B148" t="s">
        <v>821</v>
      </c>
      <c r="C148">
        <v>368</v>
      </c>
      <c r="D148">
        <v>98.9</v>
      </c>
      <c r="E148">
        <v>98.93</v>
      </c>
      <c r="F148" t="s">
        <v>822</v>
      </c>
      <c r="G148" t="s">
        <v>822</v>
      </c>
      <c r="H148">
        <f t="shared" si="5"/>
        <v>17</v>
      </c>
      <c r="L148" t="s">
        <v>419</v>
      </c>
      <c r="M148" s="1">
        <v>5.4569500498473601E-3</v>
      </c>
      <c r="N148">
        <v>1725.82983398438</v>
      </c>
      <c r="O148">
        <v>863.92219999999895</v>
      </c>
      <c r="P148">
        <v>1725.82434082031</v>
      </c>
      <c r="Q148">
        <v>863.91943359375</v>
      </c>
      <c r="R148">
        <v>2</v>
      </c>
      <c r="S148">
        <v>1</v>
      </c>
      <c r="T148">
        <v>16</v>
      </c>
      <c r="U148">
        <v>40.460479999999897</v>
      </c>
      <c r="V148">
        <v>276689.3</v>
      </c>
    </row>
    <row r="149" spans="1:22" x14ac:dyDescent="0.25">
      <c r="A149" t="s">
        <v>823</v>
      </c>
      <c r="B149" t="s">
        <v>824</v>
      </c>
      <c r="C149">
        <v>114</v>
      </c>
      <c r="D149">
        <v>99</v>
      </c>
      <c r="E149">
        <v>99</v>
      </c>
      <c r="F149" t="s">
        <v>825</v>
      </c>
      <c r="G149" t="s">
        <v>825</v>
      </c>
      <c r="H149">
        <f t="shared" si="5"/>
        <v>17</v>
      </c>
      <c r="M149" s="1">
        <v>-1.7411300214007399E-3</v>
      </c>
      <c r="N149">
        <v>1123.61950683594</v>
      </c>
      <c r="O149">
        <v>562.81700000000001</v>
      </c>
      <c r="P149">
        <v>1123.62121582031</v>
      </c>
      <c r="Q149">
        <v>562.81787109375</v>
      </c>
      <c r="R149">
        <v>2</v>
      </c>
      <c r="S149">
        <v>2</v>
      </c>
      <c r="T149">
        <v>12</v>
      </c>
      <c r="U149">
        <v>35.739980000000003</v>
      </c>
      <c r="V149">
        <v>2718365</v>
      </c>
    </row>
    <row r="150" spans="1:22" x14ac:dyDescent="0.25">
      <c r="A150" t="s">
        <v>89</v>
      </c>
      <c r="B150" t="s">
        <v>90</v>
      </c>
      <c r="C150">
        <v>16</v>
      </c>
      <c r="D150">
        <v>99</v>
      </c>
      <c r="E150">
        <v>99</v>
      </c>
      <c r="F150" t="s">
        <v>492</v>
      </c>
      <c r="G150" t="s">
        <v>492</v>
      </c>
      <c r="H150">
        <f t="shared" si="5"/>
        <v>13</v>
      </c>
      <c r="M150" s="1">
        <v>-2.22940999083221E-3</v>
      </c>
      <c r="N150">
        <v>1123.61901855469</v>
      </c>
      <c r="O150">
        <v>562.81679999999903</v>
      </c>
      <c r="P150">
        <v>1123.62121582031</v>
      </c>
      <c r="Q150">
        <v>562.81787109375</v>
      </c>
      <c r="R150">
        <v>2</v>
      </c>
      <c r="S150">
        <v>2</v>
      </c>
      <c r="T150">
        <v>12</v>
      </c>
      <c r="U150">
        <v>35.686149999999898</v>
      </c>
      <c r="V150">
        <v>3158231</v>
      </c>
    </row>
    <row r="151" spans="1:22" x14ac:dyDescent="0.25">
      <c r="A151" t="s">
        <v>89</v>
      </c>
      <c r="B151" t="s">
        <v>90</v>
      </c>
      <c r="C151">
        <v>220</v>
      </c>
      <c r="D151">
        <v>99</v>
      </c>
      <c r="E151">
        <v>99</v>
      </c>
      <c r="F151" t="s">
        <v>1297</v>
      </c>
      <c r="G151" t="s">
        <v>1297</v>
      </c>
      <c r="H151">
        <f t="shared" si="5"/>
        <v>16</v>
      </c>
      <c r="M151">
        <v>8.5349999999999992E-3</v>
      </c>
      <c r="N151">
        <v>1305.68029785156</v>
      </c>
      <c r="O151">
        <v>653.84739999999897</v>
      </c>
      <c r="P151">
        <v>1305.67175292969</v>
      </c>
      <c r="Q151">
        <v>653.84313964843705</v>
      </c>
      <c r="R151">
        <v>2</v>
      </c>
      <c r="S151">
        <v>1</v>
      </c>
      <c r="T151">
        <v>11</v>
      </c>
      <c r="U151">
        <v>36.11515</v>
      </c>
      <c r="V151">
        <v>197563.1</v>
      </c>
    </row>
    <row r="152" spans="1:22" x14ac:dyDescent="0.25">
      <c r="A152" t="s">
        <v>89</v>
      </c>
      <c r="B152" t="s">
        <v>90</v>
      </c>
      <c r="C152">
        <v>221</v>
      </c>
      <c r="D152">
        <v>99</v>
      </c>
      <c r="E152">
        <v>99</v>
      </c>
      <c r="F152" t="s">
        <v>1298</v>
      </c>
      <c r="G152" t="s">
        <v>1298</v>
      </c>
      <c r="H152">
        <f t="shared" si="5"/>
        <v>15</v>
      </c>
      <c r="M152" s="1">
        <v>1.71991996467113E-3</v>
      </c>
      <c r="N152">
        <v>1126.61926269531</v>
      </c>
      <c r="O152">
        <v>564.31690000000003</v>
      </c>
      <c r="P152">
        <v>1126.61755371094</v>
      </c>
      <c r="Q152">
        <v>564.31604003906205</v>
      </c>
      <c r="R152">
        <v>2</v>
      </c>
      <c r="S152">
        <v>3</v>
      </c>
      <c r="T152">
        <v>13</v>
      </c>
      <c r="U152">
        <v>34.88617</v>
      </c>
      <c r="V152">
        <v>1453864</v>
      </c>
    </row>
    <row r="153" spans="1:22" x14ac:dyDescent="0.25">
      <c r="A153" t="s">
        <v>89</v>
      </c>
      <c r="B153" t="s">
        <v>90</v>
      </c>
      <c r="C153">
        <v>27</v>
      </c>
      <c r="D153">
        <v>99</v>
      </c>
      <c r="E153">
        <v>99</v>
      </c>
      <c r="F153" t="s">
        <v>1299</v>
      </c>
      <c r="G153" t="s">
        <v>1299</v>
      </c>
      <c r="H153">
        <f t="shared" si="5"/>
        <v>14</v>
      </c>
      <c r="M153">
        <v>1.3470000000000001E-3</v>
      </c>
      <c r="N153">
        <v>1103.57373046875</v>
      </c>
      <c r="O153">
        <v>552.79409999999905</v>
      </c>
      <c r="P153">
        <v>1103.57238769531</v>
      </c>
      <c r="Q153">
        <v>552.79345703125</v>
      </c>
      <c r="R153">
        <v>2</v>
      </c>
      <c r="S153">
        <v>1</v>
      </c>
      <c r="T153">
        <v>12</v>
      </c>
      <c r="U153">
        <v>30.97833</v>
      </c>
      <c r="V153">
        <v>6702922</v>
      </c>
    </row>
    <row r="154" spans="1:22" x14ac:dyDescent="0.25">
      <c r="A154" t="s">
        <v>1300</v>
      </c>
      <c r="B154" t="s">
        <v>1301</v>
      </c>
      <c r="C154">
        <v>28</v>
      </c>
      <c r="D154">
        <v>99</v>
      </c>
      <c r="E154">
        <v>99</v>
      </c>
      <c r="F154" t="s">
        <v>1302</v>
      </c>
      <c r="G154" t="s">
        <v>1302</v>
      </c>
      <c r="H154">
        <f t="shared" si="5"/>
        <v>15</v>
      </c>
      <c r="M154" s="1">
        <v>8.5867801681160905E-4</v>
      </c>
      <c r="N154">
        <v>1103.5732421875</v>
      </c>
      <c r="O154">
        <v>552.79390000000001</v>
      </c>
      <c r="P154">
        <v>1103.57238769531</v>
      </c>
      <c r="Q154">
        <v>552.79345703125</v>
      </c>
      <c r="R154">
        <v>2</v>
      </c>
      <c r="S154">
        <v>1</v>
      </c>
      <c r="T154">
        <v>12</v>
      </c>
      <c r="U154">
        <v>30.93337</v>
      </c>
      <c r="V154">
        <v>2729414</v>
      </c>
    </row>
    <row r="155" spans="1:22" x14ac:dyDescent="0.25">
      <c r="A155" t="s">
        <v>1300</v>
      </c>
      <c r="B155" t="s">
        <v>1301</v>
      </c>
      <c r="C155">
        <v>28</v>
      </c>
      <c r="D155">
        <v>99</v>
      </c>
      <c r="E155">
        <v>99</v>
      </c>
      <c r="F155" t="s">
        <v>1303</v>
      </c>
      <c r="G155" t="s">
        <v>1303</v>
      </c>
      <c r="H155">
        <f t="shared" si="5"/>
        <v>14</v>
      </c>
      <c r="M155" s="1">
        <v>3.1188500579446602E-3</v>
      </c>
      <c r="N155">
        <v>1188.59582519531</v>
      </c>
      <c r="O155">
        <v>397.20589999999902</v>
      </c>
      <c r="P155">
        <v>1188.5927734375</v>
      </c>
      <c r="Q155">
        <v>397.20486450195301</v>
      </c>
      <c r="R155">
        <v>3</v>
      </c>
      <c r="S155">
        <v>2</v>
      </c>
      <c r="T155">
        <v>10</v>
      </c>
      <c r="U155">
        <v>32.7193299999999</v>
      </c>
      <c r="V155">
        <v>244957.7</v>
      </c>
    </row>
    <row r="156" spans="1:22" x14ac:dyDescent="0.25">
      <c r="A156" t="s">
        <v>1300</v>
      </c>
      <c r="B156" t="s">
        <v>1301</v>
      </c>
      <c r="C156">
        <v>151</v>
      </c>
      <c r="D156">
        <v>99</v>
      </c>
      <c r="E156">
        <v>99</v>
      </c>
      <c r="F156" t="s">
        <v>1304</v>
      </c>
      <c r="G156" t="s">
        <v>1304</v>
      </c>
      <c r="H156">
        <f t="shared" si="5"/>
        <v>13</v>
      </c>
      <c r="M156" s="1">
        <v>3.2629300840198898E-3</v>
      </c>
      <c r="N156">
        <v>1144.53344726563</v>
      </c>
      <c r="O156">
        <v>573.274</v>
      </c>
      <c r="P156">
        <v>1144.53015136719</v>
      </c>
      <c r="Q156">
        <v>573.27233886718705</v>
      </c>
      <c r="R156">
        <v>2</v>
      </c>
      <c r="S156">
        <v>3</v>
      </c>
      <c r="T156">
        <v>12</v>
      </c>
      <c r="U156">
        <v>38.347430000000003</v>
      </c>
      <c r="V156">
        <v>710187.6</v>
      </c>
    </row>
    <row r="157" spans="1:22" x14ac:dyDescent="0.25">
      <c r="A157" t="s">
        <v>1300</v>
      </c>
      <c r="B157" t="s">
        <v>1301</v>
      </c>
      <c r="C157">
        <v>151</v>
      </c>
      <c r="D157">
        <v>99</v>
      </c>
      <c r="E157">
        <v>99</v>
      </c>
      <c r="F157" t="s">
        <v>1305</v>
      </c>
      <c r="G157" t="s">
        <v>1305</v>
      </c>
      <c r="H157">
        <f t="shared" si="5"/>
        <v>18</v>
      </c>
      <c r="M157" s="1">
        <v>3.14086000435054E-3</v>
      </c>
      <c r="N157">
        <v>1144.53332519531</v>
      </c>
      <c r="O157">
        <v>573.27390000000003</v>
      </c>
      <c r="P157">
        <v>1144.53015136719</v>
      </c>
      <c r="Q157">
        <v>573.27233886718705</v>
      </c>
      <c r="R157">
        <v>2</v>
      </c>
      <c r="S157">
        <v>4</v>
      </c>
      <c r="T157">
        <v>12</v>
      </c>
      <c r="U157">
        <v>38.471550000000001</v>
      </c>
      <c r="V157">
        <v>532824.80000000005</v>
      </c>
    </row>
    <row r="158" spans="1:22" x14ac:dyDescent="0.25">
      <c r="A158" t="s">
        <v>3031</v>
      </c>
      <c r="B158" t="s">
        <v>3032</v>
      </c>
      <c r="C158">
        <v>264</v>
      </c>
      <c r="D158">
        <v>99</v>
      </c>
      <c r="E158">
        <v>99</v>
      </c>
      <c r="F158" t="s">
        <v>3033</v>
      </c>
      <c r="G158" t="s">
        <v>3033</v>
      </c>
      <c r="H158">
        <f t="shared" si="5"/>
        <v>20</v>
      </c>
      <c r="M158" s="1">
        <v>1.4592499937862099E-3</v>
      </c>
      <c r="N158">
        <v>1240.59252929688</v>
      </c>
      <c r="O158">
        <v>621.30349999999896</v>
      </c>
      <c r="P158">
        <v>1240.59106445313</v>
      </c>
      <c r="Q158">
        <v>621.30279541015602</v>
      </c>
      <c r="R158">
        <v>2</v>
      </c>
      <c r="S158">
        <v>1</v>
      </c>
      <c r="T158">
        <v>11</v>
      </c>
      <c r="U158">
        <v>43.176720000000003</v>
      </c>
      <c r="V158">
        <v>884673.9</v>
      </c>
    </row>
    <row r="159" spans="1:22" x14ac:dyDescent="0.25">
      <c r="A159" t="s">
        <v>2170</v>
      </c>
      <c r="B159" t="s">
        <v>2171</v>
      </c>
      <c r="C159">
        <v>528</v>
      </c>
      <c r="D159">
        <v>99</v>
      </c>
      <c r="E159">
        <v>98.96</v>
      </c>
      <c r="F159" t="s">
        <v>2172</v>
      </c>
      <c r="G159" t="s">
        <v>2172</v>
      </c>
      <c r="H159">
        <f t="shared" si="5"/>
        <v>13</v>
      </c>
      <c r="M159" s="1">
        <v>2.8020299505442299E-3</v>
      </c>
      <c r="N159">
        <v>1240.59387207031</v>
      </c>
      <c r="O159">
        <v>621.30420000000004</v>
      </c>
      <c r="P159">
        <v>1240.59106445313</v>
      </c>
      <c r="Q159">
        <v>621.30279541015602</v>
      </c>
      <c r="R159">
        <v>2</v>
      </c>
      <c r="S159">
        <v>1</v>
      </c>
      <c r="T159">
        <v>11</v>
      </c>
      <c r="U159">
        <v>43.215820000000001</v>
      </c>
      <c r="V159">
        <v>831573.3</v>
      </c>
    </row>
    <row r="160" spans="1:22" x14ac:dyDescent="0.25">
      <c r="A160" t="s">
        <v>2301</v>
      </c>
      <c r="B160" t="s">
        <v>2302</v>
      </c>
      <c r="C160">
        <v>85</v>
      </c>
      <c r="D160">
        <v>99</v>
      </c>
      <c r="E160">
        <v>99</v>
      </c>
      <c r="F160" t="s">
        <v>2303</v>
      </c>
      <c r="G160" t="s">
        <v>2303</v>
      </c>
      <c r="H160">
        <f t="shared" si="5"/>
        <v>9</v>
      </c>
      <c r="M160" s="1">
        <v>3.83373990189283E-4</v>
      </c>
      <c r="N160">
        <v>1159.6982421875</v>
      </c>
      <c r="O160">
        <v>580.85640000000001</v>
      </c>
      <c r="P160">
        <v>1159.69787597656</v>
      </c>
      <c r="Q160">
        <v>580.856201171875</v>
      </c>
      <c r="R160">
        <v>2</v>
      </c>
      <c r="S160">
        <v>13</v>
      </c>
      <c r="T160">
        <v>12</v>
      </c>
      <c r="U160">
        <v>26.704999999999899</v>
      </c>
      <c r="V160">
        <v>64984190</v>
      </c>
    </row>
    <row r="161" spans="1:22" x14ac:dyDescent="0.25">
      <c r="A161" t="s">
        <v>2301</v>
      </c>
      <c r="B161" t="s">
        <v>2302</v>
      </c>
      <c r="C161">
        <v>86</v>
      </c>
      <c r="D161">
        <v>97.5</v>
      </c>
      <c r="E161">
        <v>97.49</v>
      </c>
      <c r="F161" t="s">
        <v>2304</v>
      </c>
      <c r="G161" t="s">
        <v>2304</v>
      </c>
      <c r="H161">
        <f t="shared" si="5"/>
        <v>8</v>
      </c>
      <c r="M161" s="1">
        <v>1.60407996736466E-3</v>
      </c>
      <c r="N161">
        <v>1159.69946289063</v>
      </c>
      <c r="O161">
        <v>580.85699999999895</v>
      </c>
      <c r="P161">
        <v>1159.69787597656</v>
      </c>
      <c r="Q161">
        <v>580.856201171875</v>
      </c>
      <c r="R161">
        <v>2</v>
      </c>
      <c r="S161">
        <v>18</v>
      </c>
      <c r="T161">
        <v>12</v>
      </c>
      <c r="U161">
        <v>26.04777</v>
      </c>
      <c r="V161">
        <v>2102018</v>
      </c>
    </row>
    <row r="162" spans="1:22" x14ac:dyDescent="0.25">
      <c r="A162" t="s">
        <v>2305</v>
      </c>
      <c r="B162" t="s">
        <v>2306</v>
      </c>
      <c r="C162">
        <v>88</v>
      </c>
      <c r="D162">
        <v>99</v>
      </c>
      <c r="E162">
        <v>99</v>
      </c>
      <c r="F162" t="s">
        <v>2307</v>
      </c>
      <c r="G162" t="s">
        <v>2307</v>
      </c>
      <c r="H162">
        <f t="shared" si="5"/>
        <v>15</v>
      </c>
      <c r="M162" s="1">
        <v>-1.37926006573252E-4</v>
      </c>
      <c r="N162">
        <v>1151.65625</v>
      </c>
      <c r="O162">
        <v>576.83540000000005</v>
      </c>
      <c r="P162">
        <v>1151.65637207031</v>
      </c>
      <c r="Q162">
        <v>576.83544921875</v>
      </c>
      <c r="R162">
        <v>2</v>
      </c>
      <c r="S162">
        <v>3</v>
      </c>
      <c r="T162">
        <v>12</v>
      </c>
      <c r="U162">
        <v>24.14358</v>
      </c>
      <c r="V162">
        <v>25570680</v>
      </c>
    </row>
    <row r="163" spans="1:22" x14ac:dyDescent="0.25">
      <c r="A163" t="s">
        <v>4003</v>
      </c>
      <c r="B163" t="s">
        <v>4004</v>
      </c>
      <c r="C163">
        <v>158</v>
      </c>
      <c r="D163">
        <v>99</v>
      </c>
      <c r="E163">
        <v>99</v>
      </c>
      <c r="F163" t="s">
        <v>4005</v>
      </c>
      <c r="G163" t="s">
        <v>4005</v>
      </c>
      <c r="H163">
        <f t="shared" si="5"/>
        <v>14</v>
      </c>
      <c r="M163" s="1">
        <v>-1.37926006573252E-4</v>
      </c>
      <c r="N163">
        <v>1151.65625</v>
      </c>
      <c r="O163">
        <v>576.83540000000005</v>
      </c>
      <c r="P163">
        <v>1151.65637207031</v>
      </c>
      <c r="Q163">
        <v>576.83544921875</v>
      </c>
      <c r="R163">
        <v>2</v>
      </c>
      <c r="S163">
        <v>3</v>
      </c>
      <c r="T163">
        <v>12</v>
      </c>
      <c r="U163">
        <v>24.094650000000001</v>
      </c>
      <c r="V163">
        <v>5202713</v>
      </c>
    </row>
    <row r="164" spans="1:22" x14ac:dyDescent="0.25">
      <c r="A164" t="s">
        <v>2739</v>
      </c>
      <c r="B164" t="s">
        <v>2740</v>
      </c>
      <c r="C164">
        <v>253</v>
      </c>
      <c r="D164">
        <v>99</v>
      </c>
      <c r="E164">
        <v>99</v>
      </c>
      <c r="F164" t="s">
        <v>2741</v>
      </c>
      <c r="G164" t="s">
        <v>2741</v>
      </c>
      <c r="H164">
        <f t="shared" si="5"/>
        <v>16</v>
      </c>
      <c r="M164" s="1">
        <v>2.1987999789416699E-3</v>
      </c>
      <c r="N164">
        <v>1293.61779785156</v>
      </c>
      <c r="O164">
        <v>432.21319999999901</v>
      </c>
      <c r="P164">
        <v>1293.61560058594</v>
      </c>
      <c r="Q164">
        <v>432.21246337890602</v>
      </c>
      <c r="R164">
        <v>3</v>
      </c>
      <c r="S164">
        <v>2</v>
      </c>
      <c r="T164">
        <v>12</v>
      </c>
      <c r="U164">
        <v>25.378350000000001</v>
      </c>
      <c r="V164">
        <v>1921092</v>
      </c>
    </row>
    <row r="165" spans="1:22" x14ac:dyDescent="0.25">
      <c r="A165" t="s">
        <v>2615</v>
      </c>
      <c r="B165" t="s">
        <v>2616</v>
      </c>
      <c r="C165">
        <v>35</v>
      </c>
      <c r="D165">
        <v>99</v>
      </c>
      <c r="E165">
        <v>99</v>
      </c>
      <c r="F165" t="s">
        <v>2617</v>
      </c>
      <c r="G165" t="s">
        <v>2617</v>
      </c>
      <c r="H165">
        <f t="shared" si="5"/>
        <v>11</v>
      </c>
      <c r="M165" s="1">
        <v>1.6494799638167E-3</v>
      </c>
      <c r="N165">
        <v>1293.6171875</v>
      </c>
      <c r="O165">
        <v>432.21300000000002</v>
      </c>
      <c r="P165">
        <v>1293.61560058594</v>
      </c>
      <c r="Q165">
        <v>432.21246337890602</v>
      </c>
      <c r="R165">
        <v>3</v>
      </c>
      <c r="S165">
        <v>1</v>
      </c>
      <c r="T165">
        <v>11</v>
      </c>
      <c r="U165">
        <v>25.68777</v>
      </c>
      <c r="V165">
        <v>425174.9</v>
      </c>
    </row>
    <row r="166" spans="1:22" x14ac:dyDescent="0.25">
      <c r="A166" t="s">
        <v>3329</v>
      </c>
      <c r="B166" t="s">
        <v>3330</v>
      </c>
      <c r="C166">
        <v>174</v>
      </c>
      <c r="D166">
        <v>99</v>
      </c>
      <c r="E166">
        <v>98.97</v>
      </c>
      <c r="F166" t="s">
        <v>3331</v>
      </c>
      <c r="G166" t="s">
        <v>3331</v>
      </c>
      <c r="H166">
        <f t="shared" si="5"/>
        <v>9</v>
      </c>
      <c r="M166" s="1">
        <v>-9.0457400074228601E-4</v>
      </c>
      <c r="N166">
        <v>1108.60205078125</v>
      </c>
      <c r="O166">
        <v>555.30830000000003</v>
      </c>
      <c r="P166">
        <v>1108.60290527344</v>
      </c>
      <c r="Q166">
        <v>555.30871582031205</v>
      </c>
      <c r="R166">
        <v>2</v>
      </c>
      <c r="S166">
        <v>10</v>
      </c>
      <c r="T166">
        <v>12</v>
      </c>
      <c r="U166">
        <v>22.23638</v>
      </c>
      <c r="V166">
        <v>13112130</v>
      </c>
    </row>
    <row r="167" spans="1:22" x14ac:dyDescent="0.25">
      <c r="A167" t="s">
        <v>1239</v>
      </c>
      <c r="B167" t="s">
        <v>1240</v>
      </c>
      <c r="C167">
        <v>565</v>
      </c>
      <c r="D167">
        <v>97.9</v>
      </c>
      <c r="E167">
        <v>97.88</v>
      </c>
      <c r="F167" t="s">
        <v>1241</v>
      </c>
      <c r="G167" t="s">
        <v>1241</v>
      </c>
      <c r="H167">
        <f t="shared" si="5"/>
        <v>13</v>
      </c>
      <c r="M167">
        <v>7.2000000000000002E-5</v>
      </c>
      <c r="N167">
        <v>1108.60302734375</v>
      </c>
      <c r="O167">
        <v>555.30880000000002</v>
      </c>
      <c r="P167">
        <v>1108.60290527344</v>
      </c>
      <c r="Q167">
        <v>555.30871582031205</v>
      </c>
      <c r="R167">
        <v>2</v>
      </c>
      <c r="S167">
        <v>13</v>
      </c>
      <c r="T167">
        <v>11</v>
      </c>
      <c r="U167">
        <v>22.12942</v>
      </c>
      <c r="V167">
        <v>15587600</v>
      </c>
    </row>
    <row r="168" spans="1:22" x14ac:dyDescent="0.25">
      <c r="A168" t="s">
        <v>1239</v>
      </c>
      <c r="B168" t="s">
        <v>1240</v>
      </c>
      <c r="C168">
        <v>566</v>
      </c>
      <c r="D168">
        <v>99</v>
      </c>
      <c r="E168">
        <v>99</v>
      </c>
      <c r="F168" t="s">
        <v>1242</v>
      </c>
      <c r="G168" t="s">
        <v>1242</v>
      </c>
      <c r="H168">
        <f t="shared" si="5"/>
        <v>12</v>
      </c>
      <c r="M168" s="1">
        <v>2.0208300556987398E-3</v>
      </c>
      <c r="N168">
        <v>1161.7001953125</v>
      </c>
      <c r="O168">
        <v>388.2407</v>
      </c>
      <c r="P168">
        <v>1161.6982421875</v>
      </c>
      <c r="Q168">
        <v>388.24002075195301</v>
      </c>
      <c r="R168">
        <v>3</v>
      </c>
      <c r="S168">
        <v>2</v>
      </c>
      <c r="T168">
        <v>11</v>
      </c>
      <c r="U168">
        <v>25.472819999999899</v>
      </c>
      <c r="V168">
        <v>414821.6</v>
      </c>
    </row>
    <row r="169" spans="1:22" x14ac:dyDescent="0.25">
      <c r="A169" t="s">
        <v>2664</v>
      </c>
      <c r="B169" t="s">
        <v>2665</v>
      </c>
      <c r="C169">
        <v>191</v>
      </c>
      <c r="D169">
        <v>99</v>
      </c>
      <c r="E169">
        <v>99</v>
      </c>
      <c r="F169" t="s">
        <v>2666</v>
      </c>
      <c r="G169" t="s">
        <v>2666</v>
      </c>
      <c r="H169">
        <f t="shared" si="5"/>
        <v>15</v>
      </c>
      <c r="L169" t="s">
        <v>2667</v>
      </c>
      <c r="M169" s="1">
        <v>7.8836204484105006E-3</v>
      </c>
      <c r="N169">
        <v>1996.0595703125</v>
      </c>
      <c r="O169">
        <v>666.3605</v>
      </c>
      <c r="P169">
        <v>1996.0517578125</v>
      </c>
      <c r="Q169">
        <v>666.35784912109295</v>
      </c>
      <c r="R169">
        <v>3</v>
      </c>
      <c r="S169">
        <v>1</v>
      </c>
      <c r="T169">
        <v>11</v>
      </c>
      <c r="U169">
        <v>39.61815</v>
      </c>
      <c r="V169">
        <v>169186.5</v>
      </c>
    </row>
    <row r="170" spans="1:22" x14ac:dyDescent="0.25">
      <c r="A170" t="s">
        <v>582</v>
      </c>
      <c r="B170" t="s">
        <v>583</v>
      </c>
      <c r="C170">
        <v>231</v>
      </c>
      <c r="D170">
        <v>99</v>
      </c>
      <c r="E170">
        <v>99</v>
      </c>
      <c r="F170" t="s">
        <v>584</v>
      </c>
      <c r="G170" t="s">
        <v>584</v>
      </c>
      <c r="H170">
        <f t="shared" si="5"/>
        <v>9</v>
      </c>
      <c r="M170" s="1">
        <v>1.10530003439635E-3</v>
      </c>
      <c r="N170">
        <v>1161.69934082031</v>
      </c>
      <c r="O170">
        <v>388.24040000000002</v>
      </c>
      <c r="P170">
        <v>1161.6982421875</v>
      </c>
      <c r="Q170">
        <v>388.24002075195301</v>
      </c>
      <c r="R170">
        <v>3</v>
      </c>
      <c r="S170">
        <v>2</v>
      </c>
      <c r="T170">
        <v>12</v>
      </c>
      <c r="U170">
        <v>25.744330000000001</v>
      </c>
      <c r="V170">
        <v>670111.1</v>
      </c>
    </row>
    <row r="171" spans="1:22" x14ac:dyDescent="0.25">
      <c r="A171" t="s">
        <v>245</v>
      </c>
      <c r="B171" t="s">
        <v>246</v>
      </c>
      <c r="C171">
        <v>103</v>
      </c>
      <c r="D171">
        <v>99</v>
      </c>
      <c r="E171">
        <v>99</v>
      </c>
      <c r="F171" t="s">
        <v>247</v>
      </c>
      <c r="G171" t="s">
        <v>247</v>
      </c>
      <c r="H171">
        <f t="shared" si="5"/>
        <v>10</v>
      </c>
      <c r="M171" s="1">
        <v>6.4834798686206202E-3</v>
      </c>
      <c r="N171">
        <v>1434.673828125</v>
      </c>
      <c r="O171">
        <v>479.2319</v>
      </c>
      <c r="P171">
        <v>1434.66735839844</v>
      </c>
      <c r="Q171">
        <v>479.229736328125</v>
      </c>
      <c r="R171">
        <v>3</v>
      </c>
      <c r="S171">
        <v>1</v>
      </c>
      <c r="T171">
        <v>9</v>
      </c>
      <c r="U171">
        <v>28.6501699999999</v>
      </c>
      <c r="V171">
        <v>307779.3</v>
      </c>
    </row>
    <row r="172" spans="1:22" x14ac:dyDescent="0.25">
      <c r="A172" t="s">
        <v>4502</v>
      </c>
      <c r="B172" t="s">
        <v>4503</v>
      </c>
      <c r="C172">
        <v>854</v>
      </c>
      <c r="D172">
        <v>99</v>
      </c>
      <c r="E172">
        <v>98.97</v>
      </c>
      <c r="F172" t="s">
        <v>4504</v>
      </c>
      <c r="G172" t="s">
        <v>4504</v>
      </c>
      <c r="H172">
        <f t="shared" si="5"/>
        <v>9</v>
      </c>
      <c r="M172">
        <v>2.2720000000000001E-3</v>
      </c>
      <c r="N172">
        <v>1434.66967773438</v>
      </c>
      <c r="O172">
        <v>479.23050000000001</v>
      </c>
      <c r="P172">
        <v>1434.66735839844</v>
      </c>
      <c r="Q172">
        <v>479.229736328125</v>
      </c>
      <c r="R172">
        <v>3</v>
      </c>
      <c r="S172">
        <v>2</v>
      </c>
      <c r="T172">
        <v>9</v>
      </c>
      <c r="U172">
        <v>28.716550000000002</v>
      </c>
      <c r="V172">
        <v>455710.6</v>
      </c>
    </row>
    <row r="173" spans="1:22" x14ac:dyDescent="0.25">
      <c r="A173" t="s">
        <v>4179</v>
      </c>
      <c r="B173" t="s">
        <v>4180</v>
      </c>
      <c r="C173">
        <v>226</v>
      </c>
      <c r="D173">
        <v>98.8</v>
      </c>
      <c r="E173">
        <v>98.75</v>
      </c>
      <c r="F173" t="s">
        <v>4181</v>
      </c>
      <c r="G173" t="s">
        <v>4181</v>
      </c>
      <c r="H173">
        <f t="shared" si="5"/>
        <v>9</v>
      </c>
      <c r="L173" t="s">
        <v>116</v>
      </c>
      <c r="M173" s="1">
        <v>1.01218000054359E-2</v>
      </c>
      <c r="N173">
        <v>1127.64404296875</v>
      </c>
      <c r="O173">
        <v>564.82929999999897</v>
      </c>
      <c r="P173">
        <v>1127.63391113281</v>
      </c>
      <c r="Q173">
        <v>564.82421875</v>
      </c>
      <c r="R173">
        <v>2</v>
      </c>
      <c r="S173">
        <v>5</v>
      </c>
      <c r="T173">
        <v>12</v>
      </c>
      <c r="U173">
        <v>23.8019</v>
      </c>
      <c r="V173">
        <v>931505.4</v>
      </c>
    </row>
    <row r="174" spans="1:22" x14ac:dyDescent="0.25">
      <c r="A174" t="s">
        <v>1194</v>
      </c>
      <c r="B174" t="s">
        <v>1195</v>
      </c>
      <c r="C174">
        <v>184</v>
      </c>
      <c r="D174">
        <v>99</v>
      </c>
      <c r="E174">
        <v>99</v>
      </c>
      <c r="F174" t="s">
        <v>1196</v>
      </c>
      <c r="G174" t="s">
        <v>1196</v>
      </c>
      <c r="H174">
        <f t="shared" si="5"/>
        <v>23</v>
      </c>
      <c r="M174" s="1">
        <v>1.4929299941286299E-3</v>
      </c>
      <c r="N174">
        <v>1531.7216796875</v>
      </c>
      <c r="O174">
        <v>766.86810000000003</v>
      </c>
      <c r="P174">
        <v>1531.72021484375</v>
      </c>
      <c r="Q174">
        <v>766.86737060546795</v>
      </c>
      <c r="R174">
        <v>2</v>
      </c>
      <c r="S174">
        <v>5</v>
      </c>
      <c r="T174">
        <v>13</v>
      </c>
      <c r="U174">
        <v>30.89432</v>
      </c>
      <c r="V174">
        <v>608950.4</v>
      </c>
    </row>
    <row r="175" spans="1:22" x14ac:dyDescent="0.25">
      <c r="A175" t="s">
        <v>1194</v>
      </c>
      <c r="B175" t="s">
        <v>1195</v>
      </c>
      <c r="C175">
        <v>161</v>
      </c>
      <c r="D175">
        <v>99</v>
      </c>
      <c r="E175">
        <v>99</v>
      </c>
      <c r="F175" t="s">
        <v>1197</v>
      </c>
      <c r="G175" t="s">
        <v>1197</v>
      </c>
      <c r="H175">
        <f t="shared" si="5"/>
        <v>20</v>
      </c>
      <c r="M175" s="1">
        <v>8.4509402513503907E-3</v>
      </c>
      <c r="N175">
        <v>1531.72863769531</v>
      </c>
      <c r="O175">
        <v>766.87159999999903</v>
      </c>
      <c r="P175">
        <v>1531.72021484375</v>
      </c>
      <c r="Q175">
        <v>766.86737060546795</v>
      </c>
      <c r="R175">
        <v>2</v>
      </c>
      <c r="S175">
        <v>2</v>
      </c>
      <c r="T175">
        <v>13</v>
      </c>
      <c r="U175">
        <v>31.121970000000001</v>
      </c>
      <c r="V175">
        <v>1128852</v>
      </c>
    </row>
    <row r="176" spans="1:22" x14ac:dyDescent="0.25">
      <c r="A176" t="s">
        <v>1194</v>
      </c>
      <c r="B176" t="s">
        <v>1195</v>
      </c>
      <c r="C176">
        <v>124</v>
      </c>
      <c r="D176">
        <v>99</v>
      </c>
      <c r="E176">
        <v>99</v>
      </c>
      <c r="F176" t="s">
        <v>1198</v>
      </c>
      <c r="G176" t="s">
        <v>1198</v>
      </c>
      <c r="H176">
        <f t="shared" si="5"/>
        <v>14</v>
      </c>
      <c r="M176" s="1">
        <v>1.27618003170937E-3</v>
      </c>
      <c r="N176">
        <v>1158.58349609375</v>
      </c>
      <c r="O176">
        <v>580.29899999999895</v>
      </c>
      <c r="P176">
        <v>1158.58215332031</v>
      </c>
      <c r="Q176">
        <v>580.29840087890602</v>
      </c>
      <c r="R176">
        <v>2</v>
      </c>
      <c r="S176">
        <v>4</v>
      </c>
      <c r="T176">
        <v>12</v>
      </c>
      <c r="U176">
        <v>28.16028</v>
      </c>
      <c r="V176">
        <v>14634110</v>
      </c>
    </row>
    <row r="177" spans="1:22" x14ac:dyDescent="0.25">
      <c r="A177" t="s">
        <v>2194</v>
      </c>
      <c r="B177" t="s">
        <v>2195</v>
      </c>
      <c r="C177">
        <v>302</v>
      </c>
      <c r="D177">
        <v>99</v>
      </c>
      <c r="E177">
        <v>99</v>
      </c>
      <c r="F177" t="s">
        <v>2196</v>
      </c>
      <c r="G177" t="s">
        <v>2196</v>
      </c>
      <c r="H177">
        <f t="shared" si="5"/>
        <v>9</v>
      </c>
      <c r="M177" s="1">
        <v>4.2168999789282701E-4</v>
      </c>
      <c r="N177">
        <v>1158.58264160156</v>
      </c>
      <c r="O177">
        <v>580.29859999999906</v>
      </c>
      <c r="P177">
        <v>1158.58215332031</v>
      </c>
      <c r="Q177">
        <v>580.29840087890602</v>
      </c>
      <c r="R177">
        <v>2</v>
      </c>
      <c r="S177">
        <v>5</v>
      </c>
      <c r="T177">
        <v>13</v>
      </c>
      <c r="U177">
        <v>28.1874</v>
      </c>
      <c r="V177">
        <v>15924660</v>
      </c>
    </row>
    <row r="178" spans="1:22" x14ac:dyDescent="0.25">
      <c r="A178" t="s">
        <v>1319</v>
      </c>
      <c r="B178" t="s">
        <v>1320</v>
      </c>
      <c r="C178">
        <v>244</v>
      </c>
      <c r="D178">
        <v>99</v>
      </c>
      <c r="E178">
        <v>99</v>
      </c>
      <c r="F178" t="s">
        <v>1321</v>
      </c>
      <c r="G178" t="s">
        <v>1321</v>
      </c>
      <c r="H178">
        <f t="shared" si="5"/>
        <v>9</v>
      </c>
      <c r="M178">
        <v>1.2290000000000001E-3</v>
      </c>
      <c r="N178">
        <v>1162.64709472656</v>
      </c>
      <c r="O178">
        <v>388.55630000000002</v>
      </c>
      <c r="P178">
        <v>1162.64587402344</v>
      </c>
      <c r="Q178">
        <v>388.555908203125</v>
      </c>
      <c r="R178">
        <v>3</v>
      </c>
      <c r="S178">
        <v>2</v>
      </c>
      <c r="T178">
        <v>9</v>
      </c>
      <c r="U178">
        <v>26.58408</v>
      </c>
      <c r="V178">
        <v>315571</v>
      </c>
    </row>
    <row r="179" spans="1:22" x14ac:dyDescent="0.25">
      <c r="A179" t="s">
        <v>1319</v>
      </c>
      <c r="B179" t="s">
        <v>1320</v>
      </c>
      <c r="C179">
        <v>22</v>
      </c>
      <c r="D179">
        <v>98.1</v>
      </c>
      <c r="E179">
        <v>98.07</v>
      </c>
      <c r="F179" t="s">
        <v>266</v>
      </c>
      <c r="G179" t="s">
        <v>266</v>
      </c>
      <c r="H179">
        <f t="shared" si="5"/>
        <v>9</v>
      </c>
      <c r="M179" s="1">
        <v>1.46605004556477E-3</v>
      </c>
      <c r="N179">
        <v>1115.6142578125</v>
      </c>
      <c r="O179">
        <v>558.81439999999895</v>
      </c>
      <c r="P179">
        <v>1115.61279296875</v>
      </c>
      <c r="Q179">
        <v>558.81365966796795</v>
      </c>
      <c r="R179">
        <v>2</v>
      </c>
      <c r="S179">
        <v>9</v>
      </c>
      <c r="T179">
        <v>13</v>
      </c>
      <c r="U179">
        <v>35.780430000000003</v>
      </c>
      <c r="V179">
        <v>1769961</v>
      </c>
    </row>
    <row r="180" spans="1:22" x14ac:dyDescent="0.25">
      <c r="A180" t="s">
        <v>1319</v>
      </c>
      <c r="B180" t="s">
        <v>1320</v>
      </c>
      <c r="C180">
        <v>162</v>
      </c>
      <c r="D180">
        <v>99</v>
      </c>
      <c r="E180">
        <v>99</v>
      </c>
      <c r="F180" t="s">
        <v>1322</v>
      </c>
      <c r="G180" t="s">
        <v>1322</v>
      </c>
      <c r="H180">
        <f t="shared" si="5"/>
        <v>17</v>
      </c>
      <c r="M180" s="1">
        <v>5.4321498610079202E-3</v>
      </c>
      <c r="N180">
        <v>1050.59167480469</v>
      </c>
      <c r="O180">
        <v>526.30309999999895</v>
      </c>
      <c r="P180">
        <v>1050.58618164063</v>
      </c>
      <c r="Q180">
        <v>526.30035400390602</v>
      </c>
      <c r="R180">
        <v>2</v>
      </c>
      <c r="S180">
        <v>8</v>
      </c>
      <c r="T180">
        <v>11</v>
      </c>
      <c r="U180">
        <v>49.659770000000002</v>
      </c>
      <c r="V180">
        <v>11881360</v>
      </c>
    </row>
    <row r="181" spans="1:22" x14ac:dyDescent="0.25">
      <c r="A181" t="s">
        <v>1319</v>
      </c>
      <c r="B181" t="s">
        <v>1320</v>
      </c>
      <c r="C181">
        <v>163</v>
      </c>
      <c r="D181">
        <v>96.8</v>
      </c>
      <c r="E181">
        <v>96.84</v>
      </c>
      <c r="F181" t="s">
        <v>1323</v>
      </c>
      <c r="G181" t="s">
        <v>1323</v>
      </c>
      <c r="H181">
        <f t="shared" si="5"/>
        <v>16</v>
      </c>
      <c r="M181" s="1">
        <v>4.5776600018143602E-3</v>
      </c>
      <c r="N181">
        <v>1050.5908203125</v>
      </c>
      <c r="O181">
        <v>526.30269999999905</v>
      </c>
      <c r="P181">
        <v>1050.58618164063</v>
      </c>
      <c r="Q181">
        <v>526.30035400390602</v>
      </c>
      <c r="R181">
        <v>2</v>
      </c>
      <c r="S181">
        <v>7</v>
      </c>
      <c r="T181">
        <v>11</v>
      </c>
      <c r="U181">
        <v>49.698529999999899</v>
      </c>
      <c r="V181">
        <v>3080169</v>
      </c>
    </row>
    <row r="182" spans="1:22" x14ac:dyDescent="0.25">
      <c r="A182" t="s">
        <v>1427</v>
      </c>
      <c r="B182" t="s">
        <v>1428</v>
      </c>
      <c r="C182">
        <v>283</v>
      </c>
      <c r="D182">
        <v>99</v>
      </c>
      <c r="E182">
        <v>99</v>
      </c>
      <c r="F182" t="s">
        <v>1429</v>
      </c>
      <c r="G182" t="s">
        <v>1429</v>
      </c>
      <c r="H182">
        <f t="shared" si="5"/>
        <v>9</v>
      </c>
      <c r="M182">
        <v>3.7269999999999998E-3</v>
      </c>
      <c r="N182">
        <v>1097.59069824219</v>
      </c>
      <c r="O182">
        <v>549.80259999999896</v>
      </c>
      <c r="P182">
        <v>1097.5869140625</v>
      </c>
      <c r="Q182">
        <v>549.80072021484295</v>
      </c>
      <c r="R182">
        <v>2</v>
      </c>
      <c r="S182">
        <v>2</v>
      </c>
      <c r="T182">
        <v>14</v>
      </c>
      <c r="U182">
        <v>29.25957</v>
      </c>
      <c r="V182">
        <v>2984268</v>
      </c>
    </row>
    <row r="183" spans="1:22" x14ac:dyDescent="0.25">
      <c r="A183" t="s">
        <v>1402</v>
      </c>
      <c r="B183" t="s">
        <v>1403</v>
      </c>
      <c r="C183">
        <v>253</v>
      </c>
      <c r="D183">
        <v>98.8</v>
      </c>
      <c r="E183">
        <v>98.79</v>
      </c>
      <c r="F183" t="s">
        <v>1404</v>
      </c>
      <c r="G183" t="s">
        <v>1404</v>
      </c>
      <c r="H183">
        <f t="shared" si="5"/>
        <v>15</v>
      </c>
      <c r="M183" s="1">
        <v>2.7507499326020501E-3</v>
      </c>
      <c r="N183">
        <v>1097.58972167969</v>
      </c>
      <c r="O183">
        <v>549.8021</v>
      </c>
      <c r="P183">
        <v>1097.5869140625</v>
      </c>
      <c r="Q183">
        <v>549.80072021484295</v>
      </c>
      <c r="R183">
        <v>2</v>
      </c>
      <c r="S183">
        <v>2</v>
      </c>
      <c r="T183">
        <v>13</v>
      </c>
      <c r="U183">
        <v>29.2566799999999</v>
      </c>
      <c r="V183">
        <v>1061475</v>
      </c>
    </row>
    <row r="184" spans="1:22" x14ac:dyDescent="0.25">
      <c r="A184" t="s">
        <v>1402</v>
      </c>
      <c r="B184" t="s">
        <v>1403</v>
      </c>
      <c r="C184">
        <v>252</v>
      </c>
      <c r="D184">
        <v>98.6</v>
      </c>
      <c r="E184">
        <v>98.62</v>
      </c>
      <c r="F184" t="s">
        <v>1405</v>
      </c>
      <c r="G184" t="s">
        <v>1405</v>
      </c>
      <c r="H184">
        <f t="shared" si="5"/>
        <v>17</v>
      </c>
      <c r="M184" s="1">
        <v>-1.90592999570072E-3</v>
      </c>
      <c r="N184">
        <v>992.578857421875</v>
      </c>
      <c r="O184">
        <v>497.29669999999902</v>
      </c>
      <c r="P184">
        <v>992.58074951171795</v>
      </c>
      <c r="Q184">
        <v>497.29763793945301</v>
      </c>
      <c r="R184">
        <v>2</v>
      </c>
      <c r="S184">
        <v>1</v>
      </c>
      <c r="T184">
        <v>13</v>
      </c>
      <c r="U184">
        <v>35.635399999999898</v>
      </c>
      <c r="V184">
        <v>1984153</v>
      </c>
    </row>
    <row r="185" spans="1:22" x14ac:dyDescent="0.25">
      <c r="A185" t="s">
        <v>1402</v>
      </c>
      <c r="B185" t="s">
        <v>1403</v>
      </c>
      <c r="C185">
        <v>79</v>
      </c>
      <c r="D185">
        <v>99</v>
      </c>
      <c r="E185">
        <v>99</v>
      </c>
      <c r="F185" t="s">
        <v>1406</v>
      </c>
      <c r="G185" t="s">
        <v>1406</v>
      </c>
      <c r="H185">
        <f t="shared" si="5"/>
        <v>15</v>
      </c>
      <c r="M185" s="1">
        <v>4.1071199811995003E-3</v>
      </c>
      <c r="N185">
        <v>1554.8447265625</v>
      </c>
      <c r="O185">
        <v>778.42960000000005</v>
      </c>
      <c r="P185">
        <v>1554.84057617188</v>
      </c>
      <c r="Q185">
        <v>778.42755126953102</v>
      </c>
      <c r="R185">
        <v>2</v>
      </c>
      <c r="S185">
        <v>1</v>
      </c>
      <c r="T185">
        <v>11</v>
      </c>
      <c r="U185">
        <v>27.1355</v>
      </c>
      <c r="V185">
        <v>229195.6</v>
      </c>
    </row>
    <row r="186" spans="1:22" x14ac:dyDescent="0.25">
      <c r="A186" t="s">
        <v>1402</v>
      </c>
      <c r="B186" t="s">
        <v>1403</v>
      </c>
      <c r="C186">
        <v>251</v>
      </c>
      <c r="D186">
        <v>99</v>
      </c>
      <c r="E186">
        <v>99</v>
      </c>
      <c r="F186" t="s">
        <v>1407</v>
      </c>
      <c r="G186" t="s">
        <v>1407</v>
      </c>
      <c r="H186">
        <f t="shared" si="5"/>
        <v>17</v>
      </c>
      <c r="M186" s="1">
        <v>3.86298005469143E-3</v>
      </c>
      <c r="N186">
        <v>1554.84448242188</v>
      </c>
      <c r="O186">
        <v>778.42949999999905</v>
      </c>
      <c r="P186">
        <v>1554.84057617188</v>
      </c>
      <c r="Q186">
        <v>778.42755126953102</v>
      </c>
      <c r="R186">
        <v>2</v>
      </c>
      <c r="S186">
        <v>1</v>
      </c>
      <c r="T186">
        <v>13</v>
      </c>
      <c r="U186">
        <v>27.1127</v>
      </c>
      <c r="V186">
        <v>233080.9</v>
      </c>
    </row>
    <row r="187" spans="1:22" x14ac:dyDescent="0.25">
      <c r="A187" t="s">
        <v>1402</v>
      </c>
      <c r="B187" t="s">
        <v>1403</v>
      </c>
      <c r="C187">
        <v>79</v>
      </c>
      <c r="D187">
        <v>98.8</v>
      </c>
      <c r="E187">
        <v>98.78</v>
      </c>
      <c r="F187" t="s">
        <v>1406</v>
      </c>
      <c r="G187" t="s">
        <v>1406</v>
      </c>
      <c r="H187">
        <f t="shared" si="5"/>
        <v>15</v>
      </c>
      <c r="L187" t="s">
        <v>1408</v>
      </c>
      <c r="M187" s="1">
        <v>4.0978998877108002E-3</v>
      </c>
      <c r="N187">
        <v>1072.53112792969</v>
      </c>
      <c r="O187">
        <v>537.27279999999905</v>
      </c>
      <c r="P187">
        <v>1072.52697753906</v>
      </c>
      <c r="Q187">
        <v>537.270751953125</v>
      </c>
      <c r="R187">
        <v>2</v>
      </c>
      <c r="S187">
        <v>3</v>
      </c>
      <c r="T187">
        <v>11</v>
      </c>
      <c r="U187">
        <v>31.739899999999899</v>
      </c>
      <c r="V187">
        <v>1936334</v>
      </c>
    </row>
    <row r="188" spans="1:22" x14ac:dyDescent="0.25">
      <c r="A188" t="s">
        <v>1362</v>
      </c>
      <c r="B188" t="s">
        <v>1363</v>
      </c>
      <c r="C188">
        <v>257</v>
      </c>
      <c r="D188">
        <v>99</v>
      </c>
      <c r="E188">
        <v>99</v>
      </c>
      <c r="F188" t="s">
        <v>1364</v>
      </c>
      <c r="G188" t="s">
        <v>1364</v>
      </c>
      <c r="H188">
        <f t="shared" si="5"/>
        <v>17</v>
      </c>
      <c r="M188">
        <v>2.081E-3</v>
      </c>
      <c r="N188">
        <v>1907.0068359375</v>
      </c>
      <c r="O188">
        <v>636.67619999999897</v>
      </c>
      <c r="P188">
        <v>1907.00476074219</v>
      </c>
      <c r="Q188">
        <v>636.675537109375</v>
      </c>
      <c r="R188">
        <v>3</v>
      </c>
      <c r="S188">
        <v>1</v>
      </c>
      <c r="T188">
        <v>15</v>
      </c>
      <c r="U188">
        <v>28.465420000000002</v>
      </c>
      <c r="V188">
        <v>1164203</v>
      </c>
    </row>
    <row r="189" spans="1:22" x14ac:dyDescent="0.25">
      <c r="A189" t="s">
        <v>1362</v>
      </c>
      <c r="B189" t="s">
        <v>1363</v>
      </c>
      <c r="C189">
        <v>195</v>
      </c>
      <c r="D189">
        <v>99</v>
      </c>
      <c r="E189">
        <v>99</v>
      </c>
      <c r="F189" t="s">
        <v>1365</v>
      </c>
      <c r="G189" t="s">
        <v>1365</v>
      </c>
      <c r="H189">
        <f t="shared" si="5"/>
        <v>14</v>
      </c>
      <c r="M189">
        <v>1.286E-3</v>
      </c>
      <c r="N189">
        <v>1061.58825683594</v>
      </c>
      <c r="O189">
        <v>531.80139999999903</v>
      </c>
      <c r="P189">
        <v>1061.5869140625</v>
      </c>
      <c r="Q189">
        <v>531.80072021484295</v>
      </c>
      <c r="R189">
        <v>2</v>
      </c>
      <c r="S189">
        <v>9</v>
      </c>
      <c r="T189">
        <v>11</v>
      </c>
      <c r="U189">
        <v>43.047629999999899</v>
      </c>
      <c r="V189">
        <v>7384210</v>
      </c>
    </row>
    <row r="190" spans="1:22" x14ac:dyDescent="0.25">
      <c r="A190" t="s">
        <v>1362</v>
      </c>
      <c r="B190" t="s">
        <v>1363</v>
      </c>
      <c r="C190">
        <v>195</v>
      </c>
      <c r="D190">
        <v>99</v>
      </c>
      <c r="E190">
        <v>99</v>
      </c>
      <c r="F190" t="s">
        <v>1366</v>
      </c>
      <c r="G190" t="s">
        <v>1366</v>
      </c>
      <c r="H190">
        <f t="shared" si="5"/>
        <v>15</v>
      </c>
      <c r="M190">
        <v>1.8959999999999999E-3</v>
      </c>
      <c r="N190">
        <v>1061.5888671875</v>
      </c>
      <c r="O190">
        <v>531.80169999999896</v>
      </c>
      <c r="P190">
        <v>1061.5869140625</v>
      </c>
      <c r="Q190">
        <v>531.80072021484295</v>
      </c>
      <c r="R190">
        <v>2</v>
      </c>
      <c r="S190">
        <v>4</v>
      </c>
      <c r="T190">
        <v>10</v>
      </c>
      <c r="U190">
        <v>43.359369999999899</v>
      </c>
      <c r="V190">
        <v>562234.6</v>
      </c>
    </row>
    <row r="191" spans="1:22" x14ac:dyDescent="0.25">
      <c r="A191" t="s">
        <v>1362</v>
      </c>
      <c r="B191" t="s">
        <v>1363</v>
      </c>
      <c r="C191">
        <v>604</v>
      </c>
      <c r="D191">
        <v>99</v>
      </c>
      <c r="E191">
        <v>99</v>
      </c>
      <c r="F191" t="s">
        <v>1367</v>
      </c>
      <c r="G191" t="s">
        <v>1367</v>
      </c>
      <c r="H191">
        <f t="shared" si="5"/>
        <v>17</v>
      </c>
      <c r="M191" s="1">
        <v>6.7141099134460102E-4</v>
      </c>
      <c r="N191">
        <v>1038.5869140625</v>
      </c>
      <c r="O191">
        <v>520.30070000000001</v>
      </c>
      <c r="P191">
        <v>1038.58618164063</v>
      </c>
      <c r="Q191">
        <v>520.30035400390602</v>
      </c>
      <c r="R191">
        <v>2</v>
      </c>
      <c r="S191">
        <v>1</v>
      </c>
      <c r="T191">
        <v>12</v>
      </c>
      <c r="U191">
        <v>44.498220000000003</v>
      </c>
      <c r="V191">
        <v>1433409</v>
      </c>
    </row>
    <row r="192" spans="1:22" x14ac:dyDescent="0.25">
      <c r="A192" t="s">
        <v>1362</v>
      </c>
      <c r="B192" t="s">
        <v>1363</v>
      </c>
      <c r="C192">
        <v>604</v>
      </c>
      <c r="D192">
        <v>99</v>
      </c>
      <c r="E192">
        <v>99</v>
      </c>
      <c r="F192" t="s">
        <v>1368</v>
      </c>
      <c r="G192" t="s">
        <v>1368</v>
      </c>
      <c r="H192">
        <f t="shared" si="5"/>
        <v>18</v>
      </c>
      <c r="M192" s="1">
        <v>6.69973017647862E-3</v>
      </c>
      <c r="N192">
        <v>1068.63989257813</v>
      </c>
      <c r="O192">
        <v>535.32719999999904</v>
      </c>
      <c r="P192">
        <v>1068.63317871094</v>
      </c>
      <c r="Q192">
        <v>535.32385253906205</v>
      </c>
      <c r="R192">
        <v>2</v>
      </c>
      <c r="S192">
        <v>4</v>
      </c>
      <c r="T192">
        <v>12</v>
      </c>
      <c r="U192">
        <v>39.272550000000003</v>
      </c>
      <c r="V192">
        <v>3981301</v>
      </c>
    </row>
    <row r="193" spans="1:22" x14ac:dyDescent="0.25">
      <c r="A193" t="s">
        <v>1362</v>
      </c>
      <c r="B193" t="s">
        <v>1363</v>
      </c>
      <c r="C193">
        <v>607</v>
      </c>
      <c r="D193">
        <v>98.4</v>
      </c>
      <c r="E193">
        <v>98.44</v>
      </c>
      <c r="F193" t="s">
        <v>1369</v>
      </c>
      <c r="G193" t="s">
        <v>1369</v>
      </c>
      <c r="H193">
        <f t="shared" si="5"/>
        <v>14</v>
      </c>
      <c r="M193" s="1">
        <v>4.4467598199844404E-3</v>
      </c>
      <c r="N193">
        <v>1180.66491699219</v>
      </c>
      <c r="O193">
        <v>591.33969999999897</v>
      </c>
      <c r="P193">
        <v>1180.66040039063</v>
      </c>
      <c r="Q193">
        <v>591.33752441406205</v>
      </c>
      <c r="R193">
        <v>2</v>
      </c>
      <c r="S193">
        <v>3</v>
      </c>
      <c r="T193">
        <v>13</v>
      </c>
      <c r="U193">
        <v>30.38072</v>
      </c>
      <c r="V193">
        <v>1089985</v>
      </c>
    </row>
    <row r="194" spans="1:22" x14ac:dyDescent="0.25">
      <c r="A194" t="s">
        <v>1362</v>
      </c>
      <c r="B194" t="s">
        <v>1363</v>
      </c>
      <c r="C194">
        <v>194</v>
      </c>
      <c r="D194">
        <v>99</v>
      </c>
      <c r="E194">
        <v>99</v>
      </c>
      <c r="F194" t="s">
        <v>1370</v>
      </c>
      <c r="G194" t="s">
        <v>1370</v>
      </c>
      <c r="H194">
        <f t="shared" si="5"/>
        <v>15</v>
      </c>
      <c r="M194" s="1">
        <v>5.08185988292097E-3</v>
      </c>
      <c r="N194">
        <v>1344.71691894531</v>
      </c>
      <c r="O194">
        <v>673.36569999999904</v>
      </c>
      <c r="P194">
        <v>1344.71179199219</v>
      </c>
      <c r="Q194">
        <v>673.36315917968705</v>
      </c>
      <c r="R194">
        <v>2</v>
      </c>
      <c r="S194">
        <v>7</v>
      </c>
      <c r="T194">
        <v>13</v>
      </c>
      <c r="U194">
        <v>56.162350000000004</v>
      </c>
      <c r="V194">
        <v>385650</v>
      </c>
    </row>
    <row r="195" spans="1:22" x14ac:dyDescent="0.25">
      <c r="A195" t="s">
        <v>1362</v>
      </c>
      <c r="B195" t="s">
        <v>1363</v>
      </c>
      <c r="C195">
        <v>194</v>
      </c>
      <c r="D195">
        <v>99</v>
      </c>
      <c r="E195">
        <v>99</v>
      </c>
      <c r="F195" t="s">
        <v>1371</v>
      </c>
      <c r="G195" t="s">
        <v>1371</v>
      </c>
      <c r="H195">
        <f t="shared" ref="H195:H258" si="6">LEN(G195)</f>
        <v>16</v>
      </c>
      <c r="M195" s="1">
        <v>-1.6005799989216E-4</v>
      </c>
      <c r="N195">
        <v>1165.66064453125</v>
      </c>
      <c r="O195">
        <v>583.83759999999904</v>
      </c>
      <c r="P195">
        <v>1165.66076660156</v>
      </c>
      <c r="Q195">
        <v>583.837646484375</v>
      </c>
      <c r="R195">
        <v>2</v>
      </c>
      <c r="S195">
        <v>2</v>
      </c>
      <c r="T195">
        <v>12</v>
      </c>
      <c r="U195">
        <v>31.237300000000001</v>
      </c>
      <c r="V195">
        <v>1121461</v>
      </c>
    </row>
    <row r="196" spans="1:22" x14ac:dyDescent="0.25">
      <c r="A196" t="s">
        <v>1362</v>
      </c>
      <c r="B196" t="s">
        <v>1363</v>
      </c>
      <c r="C196">
        <v>605</v>
      </c>
      <c r="D196">
        <v>99</v>
      </c>
      <c r="E196">
        <v>99</v>
      </c>
      <c r="F196" t="s">
        <v>1372</v>
      </c>
      <c r="G196" t="s">
        <v>1372</v>
      </c>
      <c r="H196">
        <f t="shared" si="6"/>
        <v>15</v>
      </c>
      <c r="M196">
        <v>-2.8470000000000001E-3</v>
      </c>
      <c r="N196">
        <v>1112.60241699219</v>
      </c>
      <c r="O196">
        <v>557.30849999999896</v>
      </c>
      <c r="P196">
        <v>1112.60522460938</v>
      </c>
      <c r="Q196">
        <v>557.30987548828102</v>
      </c>
      <c r="R196">
        <v>2</v>
      </c>
      <c r="S196">
        <v>1</v>
      </c>
      <c r="T196">
        <v>12</v>
      </c>
      <c r="U196">
        <v>20.85943</v>
      </c>
      <c r="V196">
        <v>619410.9</v>
      </c>
    </row>
    <row r="197" spans="1:22" x14ac:dyDescent="0.25">
      <c r="A197" t="s">
        <v>1362</v>
      </c>
      <c r="B197" t="s">
        <v>1363</v>
      </c>
      <c r="C197">
        <v>605</v>
      </c>
      <c r="D197">
        <v>99</v>
      </c>
      <c r="E197">
        <v>99</v>
      </c>
      <c r="F197" t="s">
        <v>1373</v>
      </c>
      <c r="G197" t="s">
        <v>1373</v>
      </c>
      <c r="H197">
        <f t="shared" si="6"/>
        <v>16</v>
      </c>
      <c r="M197">
        <v>-3.2130000000000001E-3</v>
      </c>
      <c r="N197">
        <v>1112.60205078125</v>
      </c>
      <c r="O197">
        <v>557.30830000000003</v>
      </c>
      <c r="P197">
        <v>1112.60522460938</v>
      </c>
      <c r="Q197">
        <v>557.30987548828102</v>
      </c>
      <c r="R197">
        <v>2</v>
      </c>
      <c r="S197">
        <v>1</v>
      </c>
      <c r="T197">
        <v>13</v>
      </c>
      <c r="U197">
        <v>20.969249999999899</v>
      </c>
      <c r="V197">
        <v>3810726</v>
      </c>
    </row>
    <row r="198" spans="1:22" x14ac:dyDescent="0.25">
      <c r="A198" t="s">
        <v>1362</v>
      </c>
      <c r="B198" t="s">
        <v>1363</v>
      </c>
      <c r="C198">
        <v>257</v>
      </c>
      <c r="D198">
        <v>99</v>
      </c>
      <c r="E198">
        <v>99</v>
      </c>
      <c r="F198" t="s">
        <v>1374</v>
      </c>
      <c r="G198" t="s">
        <v>1374</v>
      </c>
      <c r="H198">
        <f t="shared" si="6"/>
        <v>16</v>
      </c>
      <c r="M198" s="1">
        <v>3.9009700994938499E-3</v>
      </c>
      <c r="N198">
        <v>980.54827880859295</v>
      </c>
      <c r="O198">
        <v>491.28140000000002</v>
      </c>
      <c r="P198">
        <v>980.54437255859295</v>
      </c>
      <c r="Q198">
        <v>491.27944946289102</v>
      </c>
      <c r="R198">
        <v>2</v>
      </c>
      <c r="S198">
        <v>5</v>
      </c>
      <c r="T198">
        <v>10</v>
      </c>
      <c r="U198">
        <v>40.655569999999898</v>
      </c>
      <c r="V198">
        <v>2900007</v>
      </c>
    </row>
    <row r="199" spans="1:22" x14ac:dyDescent="0.25">
      <c r="A199" t="s">
        <v>1362</v>
      </c>
      <c r="B199" t="s">
        <v>1363</v>
      </c>
      <c r="C199">
        <v>196</v>
      </c>
      <c r="D199">
        <v>99</v>
      </c>
      <c r="E199">
        <v>99</v>
      </c>
      <c r="F199" t="s">
        <v>1375</v>
      </c>
      <c r="G199" t="s">
        <v>1375</v>
      </c>
      <c r="H199">
        <f t="shared" si="6"/>
        <v>14</v>
      </c>
      <c r="M199" s="1">
        <v>4.51132003217936E-3</v>
      </c>
      <c r="N199">
        <v>980.54888916015602</v>
      </c>
      <c r="O199">
        <v>491.2817</v>
      </c>
      <c r="P199">
        <v>980.54437255859295</v>
      </c>
      <c r="Q199">
        <v>491.27944946289102</v>
      </c>
      <c r="R199">
        <v>2</v>
      </c>
      <c r="S199">
        <v>2</v>
      </c>
      <c r="T199">
        <v>9</v>
      </c>
      <c r="U199">
        <v>40.425629999999899</v>
      </c>
      <c r="V199">
        <v>1032552</v>
      </c>
    </row>
    <row r="200" spans="1:22" x14ac:dyDescent="0.25">
      <c r="A200" t="s">
        <v>1362</v>
      </c>
      <c r="B200" t="s">
        <v>1363</v>
      </c>
      <c r="C200">
        <v>607</v>
      </c>
      <c r="D200">
        <v>99</v>
      </c>
      <c r="E200">
        <v>99</v>
      </c>
      <c r="F200" t="s">
        <v>1376</v>
      </c>
      <c r="G200" t="s">
        <v>1376</v>
      </c>
      <c r="H200">
        <f t="shared" si="6"/>
        <v>13</v>
      </c>
      <c r="M200" s="1">
        <v>5.7798097841441501E-3</v>
      </c>
      <c r="N200">
        <v>1217.66149902344</v>
      </c>
      <c r="O200">
        <v>609.83799999999906</v>
      </c>
      <c r="P200">
        <v>1217.65563964844</v>
      </c>
      <c r="Q200">
        <v>609.83514404296795</v>
      </c>
      <c r="R200">
        <v>2</v>
      </c>
      <c r="S200">
        <v>8</v>
      </c>
      <c r="T200">
        <v>13</v>
      </c>
      <c r="U200">
        <v>37.23462</v>
      </c>
      <c r="V200">
        <v>1130387</v>
      </c>
    </row>
    <row r="201" spans="1:22" x14ac:dyDescent="0.25">
      <c r="A201" t="s">
        <v>1362</v>
      </c>
      <c r="B201" t="s">
        <v>1363</v>
      </c>
      <c r="C201">
        <v>194</v>
      </c>
      <c r="D201">
        <v>99</v>
      </c>
      <c r="E201">
        <v>99</v>
      </c>
      <c r="F201" t="s">
        <v>1377</v>
      </c>
      <c r="G201" t="s">
        <v>1377</v>
      </c>
      <c r="H201">
        <f t="shared" si="6"/>
        <v>17</v>
      </c>
      <c r="M201" s="1">
        <v>4.3149702250957402E-3</v>
      </c>
      <c r="N201">
        <v>1217.66003417969</v>
      </c>
      <c r="O201">
        <v>609.83730000000003</v>
      </c>
      <c r="P201">
        <v>1217.65563964844</v>
      </c>
      <c r="Q201">
        <v>609.83514404296795</v>
      </c>
      <c r="R201">
        <v>2</v>
      </c>
      <c r="S201">
        <v>6</v>
      </c>
      <c r="T201">
        <v>12</v>
      </c>
      <c r="U201">
        <v>37.343719999999898</v>
      </c>
      <c r="V201">
        <v>545736.6</v>
      </c>
    </row>
    <row r="202" spans="1:22" x14ac:dyDescent="0.25">
      <c r="A202" t="s">
        <v>1362</v>
      </c>
      <c r="B202" t="s">
        <v>1363</v>
      </c>
      <c r="C202">
        <v>605</v>
      </c>
      <c r="D202">
        <v>99</v>
      </c>
      <c r="E202">
        <v>99</v>
      </c>
      <c r="F202" t="s">
        <v>1373</v>
      </c>
      <c r="G202" t="s">
        <v>1373</v>
      </c>
      <c r="H202">
        <f t="shared" si="6"/>
        <v>16</v>
      </c>
      <c r="L202" t="s">
        <v>116</v>
      </c>
      <c r="M202" s="1">
        <v>4.4919201172888201E-3</v>
      </c>
      <c r="N202">
        <v>1471.74645996094</v>
      </c>
      <c r="O202">
        <v>736.88049999999896</v>
      </c>
      <c r="P202">
        <v>1471.74194335938</v>
      </c>
      <c r="Q202">
        <v>736.87823486328102</v>
      </c>
      <c r="R202">
        <v>2</v>
      </c>
      <c r="S202">
        <v>1</v>
      </c>
      <c r="T202">
        <v>12</v>
      </c>
      <c r="U202">
        <v>47.846400000000003</v>
      </c>
      <c r="V202">
        <v>38173.74</v>
      </c>
    </row>
    <row r="203" spans="1:22" x14ac:dyDescent="0.25">
      <c r="A203" t="s">
        <v>1362</v>
      </c>
      <c r="B203" t="s">
        <v>1363</v>
      </c>
      <c r="C203">
        <v>326</v>
      </c>
      <c r="D203">
        <v>98.8</v>
      </c>
      <c r="E203">
        <v>98.78</v>
      </c>
      <c r="F203" t="s">
        <v>1378</v>
      </c>
      <c r="G203" t="s">
        <v>1378</v>
      </c>
      <c r="H203">
        <f t="shared" si="6"/>
        <v>16</v>
      </c>
      <c r="L203" t="s">
        <v>1379</v>
      </c>
      <c r="M203" s="1">
        <v>2.6529800146818099E-2</v>
      </c>
      <c r="N203">
        <v>1984.00549316406</v>
      </c>
      <c r="O203">
        <v>993.01</v>
      </c>
      <c r="P203">
        <v>1983.97888183594</v>
      </c>
      <c r="Q203">
        <v>992.99676513671795</v>
      </c>
      <c r="R203">
        <v>2</v>
      </c>
      <c r="S203">
        <v>1</v>
      </c>
      <c r="T203">
        <v>12</v>
      </c>
      <c r="U203">
        <v>56.401269999999897</v>
      </c>
      <c r="V203">
        <v>351307.4</v>
      </c>
    </row>
    <row r="204" spans="1:22" x14ac:dyDescent="0.25">
      <c r="A204" t="s">
        <v>1362</v>
      </c>
      <c r="B204" t="s">
        <v>1363</v>
      </c>
      <c r="C204">
        <v>604</v>
      </c>
      <c r="D204">
        <v>99</v>
      </c>
      <c r="E204">
        <v>99</v>
      </c>
      <c r="F204" t="s">
        <v>1367</v>
      </c>
      <c r="G204" t="s">
        <v>1367</v>
      </c>
      <c r="H204">
        <f t="shared" si="6"/>
        <v>17</v>
      </c>
      <c r="L204" t="s">
        <v>47</v>
      </c>
      <c r="M204" s="1">
        <v>2.5025999173521898E-2</v>
      </c>
      <c r="N204">
        <v>2142.025390625</v>
      </c>
      <c r="O204">
        <v>1072.02</v>
      </c>
      <c r="P204">
        <v>2142.00048828125</v>
      </c>
      <c r="Q204">
        <v>1072.00744628906</v>
      </c>
      <c r="R204">
        <v>2</v>
      </c>
      <c r="S204">
        <v>1</v>
      </c>
      <c r="T204">
        <v>11</v>
      </c>
      <c r="U204">
        <v>39.00085</v>
      </c>
      <c r="V204">
        <v>135444.4</v>
      </c>
    </row>
    <row r="205" spans="1:22" x14ac:dyDescent="0.25">
      <c r="A205" t="s">
        <v>1362</v>
      </c>
      <c r="B205" t="s">
        <v>1363</v>
      </c>
      <c r="C205">
        <v>193</v>
      </c>
      <c r="D205">
        <v>97.6</v>
      </c>
      <c r="E205">
        <v>97.64</v>
      </c>
      <c r="F205" t="s">
        <v>1380</v>
      </c>
      <c r="G205" t="s">
        <v>1380</v>
      </c>
      <c r="H205">
        <f t="shared" si="6"/>
        <v>17</v>
      </c>
      <c r="L205" t="s">
        <v>403</v>
      </c>
      <c r="M205" s="1">
        <v>2.0437301136553301E-3</v>
      </c>
      <c r="N205">
        <v>1484.72802734375</v>
      </c>
      <c r="O205">
        <v>743.37130000000002</v>
      </c>
      <c r="P205">
        <v>1484.72595214844</v>
      </c>
      <c r="Q205">
        <v>743.37023925781205</v>
      </c>
      <c r="R205">
        <v>2</v>
      </c>
      <c r="S205">
        <v>1</v>
      </c>
      <c r="T205">
        <v>9</v>
      </c>
      <c r="U205">
        <v>42.578879999999899</v>
      </c>
      <c r="V205">
        <v>176212.1</v>
      </c>
    </row>
    <row r="206" spans="1:22" x14ac:dyDescent="0.25">
      <c r="A206" t="s">
        <v>1362</v>
      </c>
      <c r="B206" t="s">
        <v>1363</v>
      </c>
      <c r="C206">
        <v>127</v>
      </c>
      <c r="D206">
        <v>99</v>
      </c>
      <c r="E206">
        <v>99</v>
      </c>
      <c r="F206" t="s">
        <v>1381</v>
      </c>
      <c r="G206" t="s">
        <v>1381</v>
      </c>
      <c r="H206">
        <f t="shared" si="6"/>
        <v>17</v>
      </c>
      <c r="L206" t="s">
        <v>377</v>
      </c>
      <c r="M206" s="1">
        <v>4.2017400264739903E-3</v>
      </c>
      <c r="N206">
        <v>1622.80163574219</v>
      </c>
      <c r="O206">
        <v>812.40809999999897</v>
      </c>
      <c r="P206">
        <v>1622.79736328125</v>
      </c>
      <c r="Q206">
        <v>812.406005859375</v>
      </c>
      <c r="R206">
        <v>2</v>
      </c>
      <c r="S206">
        <v>1</v>
      </c>
      <c r="T206">
        <v>12</v>
      </c>
      <c r="U206">
        <v>45.162129999999898</v>
      </c>
      <c r="V206">
        <v>135432.9</v>
      </c>
    </row>
    <row r="207" spans="1:22" x14ac:dyDescent="0.25">
      <c r="A207" t="s">
        <v>1695</v>
      </c>
      <c r="B207" t="s">
        <v>1696</v>
      </c>
      <c r="C207">
        <v>337</v>
      </c>
      <c r="D207">
        <v>99</v>
      </c>
      <c r="E207">
        <v>99</v>
      </c>
      <c r="F207" t="s">
        <v>1697</v>
      </c>
      <c r="G207" t="s">
        <v>1697</v>
      </c>
      <c r="H207">
        <f t="shared" si="6"/>
        <v>16</v>
      </c>
      <c r="M207" s="1">
        <v>6.2009198591113004E-3</v>
      </c>
      <c r="N207">
        <v>1824.95849609375</v>
      </c>
      <c r="O207">
        <v>913.48649999999895</v>
      </c>
      <c r="P207">
        <v>1824.95227050781</v>
      </c>
      <c r="Q207">
        <v>913.4833984375</v>
      </c>
      <c r="R207">
        <v>2</v>
      </c>
      <c r="S207">
        <v>2</v>
      </c>
      <c r="T207">
        <v>9</v>
      </c>
      <c r="U207">
        <v>51.231180000000002</v>
      </c>
      <c r="V207">
        <v>86204.33</v>
      </c>
    </row>
    <row r="208" spans="1:22" x14ac:dyDescent="0.25">
      <c r="A208" t="s">
        <v>1695</v>
      </c>
      <c r="B208" t="s">
        <v>1696</v>
      </c>
      <c r="C208">
        <v>337</v>
      </c>
      <c r="D208">
        <v>99</v>
      </c>
      <c r="E208">
        <v>99</v>
      </c>
      <c r="F208" t="s">
        <v>1698</v>
      </c>
      <c r="G208" t="s">
        <v>1698</v>
      </c>
      <c r="H208">
        <f t="shared" si="6"/>
        <v>17</v>
      </c>
      <c r="M208">
        <v>9.1E-4</v>
      </c>
      <c r="N208">
        <v>950.53070068359295</v>
      </c>
      <c r="O208">
        <v>476.27260000000001</v>
      </c>
      <c r="P208">
        <v>950.52978515625</v>
      </c>
      <c r="Q208">
        <v>476.27215576171801</v>
      </c>
      <c r="R208">
        <v>2</v>
      </c>
      <c r="S208">
        <v>1</v>
      </c>
      <c r="T208">
        <v>13</v>
      </c>
      <c r="U208">
        <v>29.55575</v>
      </c>
      <c r="V208">
        <v>2752532</v>
      </c>
    </row>
    <row r="209" spans="1:22" x14ac:dyDescent="0.25">
      <c r="A209" t="s">
        <v>4031</v>
      </c>
      <c r="B209" t="s">
        <v>4032</v>
      </c>
      <c r="C209">
        <v>404</v>
      </c>
      <c r="D209">
        <v>99</v>
      </c>
      <c r="E209">
        <v>99</v>
      </c>
      <c r="F209" t="s">
        <v>338</v>
      </c>
      <c r="G209" t="s">
        <v>338</v>
      </c>
      <c r="H209">
        <f t="shared" si="6"/>
        <v>9</v>
      </c>
      <c r="M209" s="1">
        <v>1.4595800312235899E-3</v>
      </c>
      <c r="N209">
        <v>950.53125</v>
      </c>
      <c r="O209">
        <v>476.27289999999903</v>
      </c>
      <c r="P209">
        <v>950.52978515625</v>
      </c>
      <c r="Q209">
        <v>476.27215576171801</v>
      </c>
      <c r="R209">
        <v>2</v>
      </c>
      <c r="S209">
        <v>1</v>
      </c>
      <c r="T209">
        <v>13</v>
      </c>
      <c r="U209">
        <v>29.6053999999999</v>
      </c>
      <c r="V209">
        <v>1986948</v>
      </c>
    </row>
    <row r="210" spans="1:22" x14ac:dyDescent="0.25">
      <c r="A210" t="s">
        <v>1081</v>
      </c>
      <c r="B210" t="s">
        <v>1082</v>
      </c>
      <c r="C210">
        <v>104</v>
      </c>
      <c r="D210">
        <v>99</v>
      </c>
      <c r="E210">
        <v>99</v>
      </c>
      <c r="F210" t="s">
        <v>249</v>
      </c>
      <c r="G210" t="s">
        <v>249</v>
      </c>
      <c r="H210">
        <f t="shared" si="6"/>
        <v>9</v>
      </c>
      <c r="M210" s="1">
        <v>1.28487003967166E-2</v>
      </c>
      <c r="N210">
        <v>1864.94946289063</v>
      </c>
      <c r="O210">
        <v>622.65710000000001</v>
      </c>
      <c r="P210">
        <v>1864.93664550781</v>
      </c>
      <c r="Q210">
        <v>622.65283203125</v>
      </c>
      <c r="R210">
        <v>3</v>
      </c>
      <c r="S210">
        <v>2</v>
      </c>
      <c r="T210">
        <v>11</v>
      </c>
      <c r="U210">
        <v>31.6438799999999</v>
      </c>
      <c r="V210">
        <v>276459.40000000002</v>
      </c>
    </row>
    <row r="211" spans="1:22" x14ac:dyDescent="0.25">
      <c r="A211" t="s">
        <v>2493</v>
      </c>
      <c r="B211" t="s">
        <v>2494</v>
      </c>
      <c r="C211">
        <v>467</v>
      </c>
      <c r="D211">
        <v>99</v>
      </c>
      <c r="E211">
        <v>99</v>
      </c>
      <c r="F211" t="s">
        <v>2495</v>
      </c>
      <c r="G211" t="s">
        <v>2495</v>
      </c>
      <c r="H211">
        <f t="shared" si="6"/>
        <v>13</v>
      </c>
      <c r="M211" s="1">
        <v>2.96776997856796E-3</v>
      </c>
      <c r="N211">
        <v>983.48547363281205</v>
      </c>
      <c r="O211">
        <v>492.75</v>
      </c>
      <c r="P211">
        <v>983.48248291015602</v>
      </c>
      <c r="Q211">
        <v>492.74850463867102</v>
      </c>
      <c r="R211">
        <v>2</v>
      </c>
      <c r="S211">
        <v>2</v>
      </c>
      <c r="T211">
        <v>10</v>
      </c>
      <c r="U211">
        <v>27.5411</v>
      </c>
      <c r="V211">
        <v>1031550</v>
      </c>
    </row>
    <row r="212" spans="1:22" x14ac:dyDescent="0.25">
      <c r="A212" t="s">
        <v>2493</v>
      </c>
      <c r="B212" t="s">
        <v>2494</v>
      </c>
      <c r="C212">
        <v>759</v>
      </c>
      <c r="D212">
        <v>99</v>
      </c>
      <c r="E212">
        <v>99</v>
      </c>
      <c r="F212" t="s">
        <v>2496</v>
      </c>
      <c r="G212" t="s">
        <v>2496</v>
      </c>
      <c r="H212">
        <f t="shared" si="6"/>
        <v>15</v>
      </c>
      <c r="M212" s="1">
        <v>2.7846600860357302E-3</v>
      </c>
      <c r="N212">
        <v>983.48529052734295</v>
      </c>
      <c r="O212">
        <v>492.74990000000003</v>
      </c>
      <c r="P212">
        <v>983.48248291015602</v>
      </c>
      <c r="Q212">
        <v>492.74850463867102</v>
      </c>
      <c r="R212">
        <v>2</v>
      </c>
      <c r="S212">
        <v>1</v>
      </c>
      <c r="T212">
        <v>10</v>
      </c>
      <c r="U212">
        <v>27.63842</v>
      </c>
      <c r="V212">
        <v>810397.3</v>
      </c>
    </row>
    <row r="213" spans="1:22" x14ac:dyDescent="0.25">
      <c r="A213" t="s">
        <v>2493</v>
      </c>
      <c r="B213" t="s">
        <v>2494</v>
      </c>
      <c r="C213">
        <v>326</v>
      </c>
      <c r="D213">
        <v>98.3</v>
      </c>
      <c r="E213">
        <v>98.25</v>
      </c>
      <c r="F213" t="s">
        <v>2497</v>
      </c>
      <c r="G213" t="s">
        <v>2497</v>
      </c>
      <c r="H213">
        <f t="shared" si="6"/>
        <v>9</v>
      </c>
      <c r="M213" s="1">
        <v>2.40348000079393E-3</v>
      </c>
      <c r="N213">
        <v>2186.962890625</v>
      </c>
      <c r="O213">
        <v>729.99490000000003</v>
      </c>
      <c r="P213">
        <v>2186.96044921875</v>
      </c>
      <c r="Q213">
        <v>729.99407958984295</v>
      </c>
      <c r="R213">
        <v>3</v>
      </c>
      <c r="S213">
        <v>1</v>
      </c>
      <c r="T213">
        <v>10</v>
      </c>
      <c r="U213">
        <v>43.374630000000003</v>
      </c>
      <c r="V213">
        <v>361517.8</v>
      </c>
    </row>
    <row r="214" spans="1:22" x14ac:dyDescent="0.25">
      <c r="A214" t="s">
        <v>2266</v>
      </c>
      <c r="B214" t="s">
        <v>2267</v>
      </c>
      <c r="C214">
        <v>74</v>
      </c>
      <c r="D214">
        <v>99</v>
      </c>
      <c r="E214">
        <v>99</v>
      </c>
      <c r="F214" t="s">
        <v>2268</v>
      </c>
      <c r="G214" t="s">
        <v>2268</v>
      </c>
      <c r="H214">
        <f t="shared" si="6"/>
        <v>16</v>
      </c>
      <c r="M214">
        <v>1.4121999999999999E-2</v>
      </c>
      <c r="N214">
        <v>2186.974609375</v>
      </c>
      <c r="O214">
        <v>729.99879999999905</v>
      </c>
      <c r="P214">
        <v>2186.96044921875</v>
      </c>
      <c r="Q214">
        <v>729.99407958984295</v>
      </c>
      <c r="R214">
        <v>3</v>
      </c>
      <c r="S214">
        <v>1</v>
      </c>
      <c r="T214">
        <v>11</v>
      </c>
      <c r="U214">
        <v>43.3730499999999</v>
      </c>
      <c r="V214">
        <v>352659.9</v>
      </c>
    </row>
    <row r="215" spans="1:22" x14ac:dyDescent="0.25">
      <c r="A215" t="s">
        <v>4598</v>
      </c>
      <c r="B215" t="s">
        <v>4599</v>
      </c>
      <c r="C215">
        <v>220</v>
      </c>
      <c r="D215">
        <v>99</v>
      </c>
      <c r="E215">
        <v>99</v>
      </c>
      <c r="F215" t="s">
        <v>396</v>
      </c>
      <c r="G215" t="s">
        <v>396</v>
      </c>
      <c r="H215">
        <f t="shared" si="6"/>
        <v>9</v>
      </c>
      <c r="M215" s="1">
        <v>1.78573001176119E-3</v>
      </c>
      <c r="N215">
        <v>1676.73364257813</v>
      </c>
      <c r="O215">
        <v>839.3741</v>
      </c>
      <c r="P215">
        <v>1676.73181152344</v>
      </c>
      <c r="Q215">
        <v>839.37316894531205</v>
      </c>
      <c r="R215">
        <v>2</v>
      </c>
      <c r="S215">
        <v>2</v>
      </c>
      <c r="T215">
        <v>11</v>
      </c>
      <c r="U215">
        <v>50.664549999999899</v>
      </c>
      <c r="V215">
        <v>86669.98</v>
      </c>
    </row>
    <row r="216" spans="1:22" x14ac:dyDescent="0.25">
      <c r="A216" t="s">
        <v>4598</v>
      </c>
      <c r="B216" t="s">
        <v>4599</v>
      </c>
      <c r="C216">
        <v>220</v>
      </c>
      <c r="D216">
        <v>99</v>
      </c>
      <c r="E216">
        <v>99</v>
      </c>
      <c r="F216" t="s">
        <v>396</v>
      </c>
      <c r="G216" t="s">
        <v>396</v>
      </c>
      <c r="H216">
        <f t="shared" si="6"/>
        <v>9</v>
      </c>
      <c r="L216" t="s">
        <v>397</v>
      </c>
      <c r="M216" s="1">
        <v>6.5263798460364203E-3</v>
      </c>
      <c r="N216">
        <v>1594.904296875</v>
      </c>
      <c r="O216">
        <v>532.64200000000005</v>
      </c>
      <c r="P216">
        <v>1594.89770507813</v>
      </c>
      <c r="Q216">
        <v>532.63983154296795</v>
      </c>
      <c r="R216">
        <v>3</v>
      </c>
      <c r="S216">
        <v>1</v>
      </c>
      <c r="T216">
        <v>12</v>
      </c>
      <c r="U216">
        <v>28.132580000000001</v>
      </c>
      <c r="V216">
        <v>218129.5</v>
      </c>
    </row>
    <row r="217" spans="1:22" x14ac:dyDescent="0.25">
      <c r="A217" t="s">
        <v>4539</v>
      </c>
      <c r="B217" t="s">
        <v>4540</v>
      </c>
      <c r="C217">
        <v>96</v>
      </c>
      <c r="D217">
        <v>99</v>
      </c>
      <c r="E217">
        <v>99</v>
      </c>
      <c r="F217" t="s">
        <v>575</v>
      </c>
      <c r="G217" t="s">
        <v>575</v>
      </c>
      <c r="H217">
        <f t="shared" si="6"/>
        <v>9</v>
      </c>
      <c r="M217" s="1">
        <v>6.05819979682565E-3</v>
      </c>
      <c r="N217">
        <v>1676.73791503906</v>
      </c>
      <c r="O217">
        <v>839.37620000000004</v>
      </c>
      <c r="P217">
        <v>1676.73181152344</v>
      </c>
      <c r="Q217">
        <v>839.37316894531205</v>
      </c>
      <c r="R217">
        <v>2</v>
      </c>
      <c r="S217">
        <v>1</v>
      </c>
      <c r="T217">
        <v>10</v>
      </c>
      <c r="U217">
        <v>50.587980000000002</v>
      </c>
      <c r="V217">
        <v>63908.89</v>
      </c>
    </row>
    <row r="218" spans="1:22" x14ac:dyDescent="0.25">
      <c r="A218" t="s">
        <v>3071</v>
      </c>
      <c r="B218" t="s">
        <v>3072</v>
      </c>
      <c r="C218">
        <v>699</v>
      </c>
      <c r="D218">
        <v>99</v>
      </c>
      <c r="E218">
        <v>99</v>
      </c>
      <c r="F218" t="s">
        <v>3073</v>
      </c>
      <c r="G218" t="s">
        <v>3073</v>
      </c>
      <c r="H218">
        <f t="shared" si="6"/>
        <v>16</v>
      </c>
      <c r="M218" s="1">
        <v>2.7227699756622301E-3</v>
      </c>
      <c r="N218">
        <v>1666.83825683594</v>
      </c>
      <c r="O218">
        <v>834.42639999999903</v>
      </c>
      <c r="P218">
        <v>1666.83544921875</v>
      </c>
      <c r="Q218">
        <v>834.425048828125</v>
      </c>
      <c r="R218">
        <v>2</v>
      </c>
      <c r="S218">
        <v>2</v>
      </c>
      <c r="T218">
        <v>14</v>
      </c>
      <c r="U218">
        <v>39.895049999999898</v>
      </c>
      <c r="V218">
        <v>153631.799999999</v>
      </c>
    </row>
    <row r="219" spans="1:22" x14ac:dyDescent="0.25">
      <c r="A219" t="s">
        <v>1199</v>
      </c>
      <c r="B219" t="s">
        <v>1200</v>
      </c>
      <c r="C219">
        <v>2580</v>
      </c>
      <c r="D219">
        <v>99</v>
      </c>
      <c r="E219">
        <v>99</v>
      </c>
      <c r="F219" t="s">
        <v>1201</v>
      </c>
      <c r="G219" t="s">
        <v>1201</v>
      </c>
      <c r="H219">
        <f t="shared" si="6"/>
        <v>12</v>
      </c>
      <c r="L219" t="s">
        <v>1202</v>
      </c>
      <c r="M219" s="1">
        <v>1.7255400307476501E-3</v>
      </c>
      <c r="N219">
        <v>1558.61108398438</v>
      </c>
      <c r="O219">
        <v>780.31280000000004</v>
      </c>
      <c r="P219">
        <v>1558.609375</v>
      </c>
      <c r="Q219">
        <v>780.31195068359295</v>
      </c>
      <c r="R219">
        <v>2</v>
      </c>
      <c r="S219">
        <v>1</v>
      </c>
      <c r="T219">
        <v>8</v>
      </c>
      <c r="U219">
        <v>34.143880000000003</v>
      </c>
      <c r="V219">
        <v>142524</v>
      </c>
    </row>
    <row r="220" spans="1:22" x14ac:dyDescent="0.25">
      <c r="A220" t="s">
        <v>1058</v>
      </c>
      <c r="B220" t="s">
        <v>1059</v>
      </c>
      <c r="C220">
        <v>45</v>
      </c>
      <c r="D220">
        <v>99</v>
      </c>
      <c r="E220">
        <v>99</v>
      </c>
      <c r="F220" t="s">
        <v>1060</v>
      </c>
      <c r="G220" t="s">
        <v>1060</v>
      </c>
      <c r="H220">
        <f t="shared" si="6"/>
        <v>15</v>
      </c>
      <c r="M220" s="1">
        <v>5.6739998981356603E-3</v>
      </c>
      <c r="N220">
        <v>1852.94165039063</v>
      </c>
      <c r="O220">
        <v>927.47810000000004</v>
      </c>
      <c r="P220">
        <v>1852.93591308594</v>
      </c>
      <c r="Q220">
        <v>927.47528076171795</v>
      </c>
      <c r="R220">
        <v>2</v>
      </c>
      <c r="S220">
        <v>3</v>
      </c>
      <c r="T220">
        <v>14</v>
      </c>
      <c r="U220">
        <v>42.753549999999898</v>
      </c>
      <c r="V220">
        <v>242542.5</v>
      </c>
    </row>
    <row r="221" spans="1:22" x14ac:dyDescent="0.25">
      <c r="A221" t="s">
        <v>1058</v>
      </c>
      <c r="B221" t="s">
        <v>1059</v>
      </c>
      <c r="C221">
        <v>45</v>
      </c>
      <c r="D221">
        <v>98</v>
      </c>
      <c r="E221">
        <v>97.95</v>
      </c>
      <c r="F221" t="s">
        <v>1061</v>
      </c>
      <c r="G221" t="s">
        <v>1061</v>
      </c>
      <c r="H221">
        <f t="shared" si="6"/>
        <v>13</v>
      </c>
      <c r="M221" s="1">
        <v>1.05597998481244E-3</v>
      </c>
      <c r="N221">
        <v>1909.95849609375</v>
      </c>
      <c r="O221">
        <v>955.98649999999895</v>
      </c>
      <c r="P221">
        <v>1909.95739746094</v>
      </c>
      <c r="Q221">
        <v>955.98596191406205</v>
      </c>
      <c r="R221">
        <v>2</v>
      </c>
      <c r="S221">
        <v>3</v>
      </c>
      <c r="T221">
        <v>20</v>
      </c>
      <c r="U221">
        <v>41.863880000000002</v>
      </c>
      <c r="V221">
        <v>949582.9</v>
      </c>
    </row>
    <row r="222" spans="1:22" x14ac:dyDescent="0.25">
      <c r="A222" t="s">
        <v>58</v>
      </c>
      <c r="B222" t="s">
        <v>59</v>
      </c>
      <c r="C222">
        <v>252</v>
      </c>
      <c r="D222">
        <v>99</v>
      </c>
      <c r="E222">
        <v>99</v>
      </c>
      <c r="F222" t="s">
        <v>60</v>
      </c>
      <c r="G222" t="s">
        <v>60</v>
      </c>
      <c r="H222">
        <f t="shared" si="6"/>
        <v>9</v>
      </c>
      <c r="M222">
        <v>1.178E-3</v>
      </c>
      <c r="N222">
        <v>1909.95861816406</v>
      </c>
      <c r="O222">
        <v>955.98659999999904</v>
      </c>
      <c r="P222">
        <v>1909.95739746094</v>
      </c>
      <c r="Q222">
        <v>955.98596191406205</v>
      </c>
      <c r="R222">
        <v>2</v>
      </c>
      <c r="S222">
        <v>1</v>
      </c>
      <c r="T222">
        <v>16</v>
      </c>
      <c r="U222">
        <v>41.813270000000003</v>
      </c>
      <c r="V222">
        <v>588237.1</v>
      </c>
    </row>
    <row r="223" spans="1:22" x14ac:dyDescent="0.25">
      <c r="A223" t="s">
        <v>738</v>
      </c>
      <c r="B223" t="s">
        <v>739</v>
      </c>
      <c r="C223">
        <v>465</v>
      </c>
      <c r="D223">
        <v>97</v>
      </c>
      <c r="E223">
        <v>97.01</v>
      </c>
      <c r="F223" t="s">
        <v>740</v>
      </c>
      <c r="G223" t="s">
        <v>740</v>
      </c>
      <c r="H223">
        <f t="shared" si="6"/>
        <v>9</v>
      </c>
      <c r="M223" s="1">
        <v>5.25736995041369E-3</v>
      </c>
      <c r="N223">
        <v>1681.80004882813</v>
      </c>
      <c r="O223">
        <v>841.90729999999905</v>
      </c>
      <c r="P223">
        <v>1681.79479980469</v>
      </c>
      <c r="Q223">
        <v>841.90466308593705</v>
      </c>
      <c r="R223">
        <v>2</v>
      </c>
      <c r="S223">
        <v>3</v>
      </c>
      <c r="T223">
        <v>16</v>
      </c>
      <c r="U223">
        <v>43.2476699999999</v>
      </c>
      <c r="V223">
        <v>565678.80000000005</v>
      </c>
    </row>
    <row r="224" spans="1:22" x14ac:dyDescent="0.25">
      <c r="A224" t="s">
        <v>3370</v>
      </c>
      <c r="B224" t="s">
        <v>3371</v>
      </c>
      <c r="C224">
        <v>213</v>
      </c>
      <c r="D224">
        <v>98.6</v>
      </c>
      <c r="E224">
        <v>98.58</v>
      </c>
      <c r="F224" t="s">
        <v>3372</v>
      </c>
      <c r="G224" t="s">
        <v>3372</v>
      </c>
      <c r="H224">
        <f t="shared" si="6"/>
        <v>9</v>
      </c>
      <c r="M224">
        <v>6.8760000000000002E-3</v>
      </c>
      <c r="N224">
        <v>1878.90686035156</v>
      </c>
      <c r="O224">
        <v>940.46069999999895</v>
      </c>
      <c r="P224">
        <v>1878.89990234375</v>
      </c>
      <c r="Q224">
        <v>940.457275390625</v>
      </c>
      <c r="R224">
        <v>2</v>
      </c>
      <c r="S224">
        <v>2</v>
      </c>
      <c r="T224">
        <v>11</v>
      </c>
      <c r="U224">
        <v>53.875509999999899</v>
      </c>
      <c r="V224">
        <v>67371.64</v>
      </c>
    </row>
    <row r="225" spans="1:22" x14ac:dyDescent="0.25">
      <c r="A225" t="s">
        <v>3903</v>
      </c>
      <c r="B225" t="s">
        <v>3904</v>
      </c>
      <c r="C225">
        <v>937</v>
      </c>
      <c r="D225">
        <v>99</v>
      </c>
      <c r="E225">
        <v>99</v>
      </c>
      <c r="F225" t="s">
        <v>3905</v>
      </c>
      <c r="G225" t="s">
        <v>3905</v>
      </c>
      <c r="H225">
        <f t="shared" si="6"/>
        <v>9</v>
      </c>
      <c r="M225" s="1">
        <v>6.2651899643242403E-3</v>
      </c>
      <c r="N225">
        <v>1878.90625</v>
      </c>
      <c r="O225">
        <v>940.46040000000005</v>
      </c>
      <c r="P225">
        <v>1878.89990234375</v>
      </c>
      <c r="Q225">
        <v>940.457275390625</v>
      </c>
      <c r="R225">
        <v>2</v>
      </c>
      <c r="S225">
        <v>1</v>
      </c>
      <c r="T225">
        <v>13</v>
      </c>
      <c r="U225">
        <v>53.876910000000002</v>
      </c>
      <c r="V225">
        <v>85221.37</v>
      </c>
    </row>
    <row r="226" spans="1:22" x14ac:dyDescent="0.25">
      <c r="A226" t="s">
        <v>2257</v>
      </c>
      <c r="B226" t="s">
        <v>2258</v>
      </c>
      <c r="C226">
        <v>178</v>
      </c>
      <c r="D226">
        <v>98.9</v>
      </c>
      <c r="E226">
        <v>98.87</v>
      </c>
      <c r="F226" t="s">
        <v>2259</v>
      </c>
      <c r="G226" t="s">
        <v>2259</v>
      </c>
      <c r="H226">
        <f t="shared" si="6"/>
        <v>17</v>
      </c>
      <c r="M226" s="1">
        <v>1.3436700217425801E-2</v>
      </c>
      <c r="N226">
        <v>1659.71472167969</v>
      </c>
      <c r="O226">
        <v>830.8646</v>
      </c>
      <c r="P226">
        <v>1659.70129394531</v>
      </c>
      <c r="Q226">
        <v>830.85791015625</v>
      </c>
      <c r="R226">
        <v>2</v>
      </c>
      <c r="S226">
        <v>2</v>
      </c>
      <c r="T226">
        <v>17</v>
      </c>
      <c r="U226">
        <v>34.6967</v>
      </c>
      <c r="V226">
        <v>127380.6</v>
      </c>
    </row>
    <row r="227" spans="1:22" x14ac:dyDescent="0.25">
      <c r="A227" t="s">
        <v>1511</v>
      </c>
      <c r="B227" t="s">
        <v>1512</v>
      </c>
      <c r="C227">
        <v>153</v>
      </c>
      <c r="D227">
        <v>99</v>
      </c>
      <c r="E227">
        <v>99</v>
      </c>
      <c r="F227" t="s">
        <v>1513</v>
      </c>
      <c r="G227" t="s">
        <v>1513</v>
      </c>
      <c r="H227">
        <f t="shared" si="6"/>
        <v>9</v>
      </c>
      <c r="M227" s="1">
        <v>9.0421503409743205E-3</v>
      </c>
      <c r="N227">
        <v>1659.71032714844</v>
      </c>
      <c r="O227">
        <v>830.86239999999896</v>
      </c>
      <c r="P227">
        <v>1659.70129394531</v>
      </c>
      <c r="Q227">
        <v>830.85791015625</v>
      </c>
      <c r="R227">
        <v>2</v>
      </c>
      <c r="S227">
        <v>2</v>
      </c>
      <c r="T227">
        <v>19</v>
      </c>
      <c r="U227">
        <v>34.714329999999897</v>
      </c>
      <c r="V227">
        <v>402314</v>
      </c>
    </row>
    <row r="228" spans="1:22" x14ac:dyDescent="0.25">
      <c r="A228" t="s">
        <v>1396</v>
      </c>
      <c r="B228" t="s">
        <v>1397</v>
      </c>
      <c r="C228">
        <v>32</v>
      </c>
      <c r="D228">
        <v>99</v>
      </c>
      <c r="E228">
        <v>99</v>
      </c>
      <c r="F228" t="s">
        <v>1398</v>
      </c>
      <c r="G228" t="s">
        <v>1398</v>
      </c>
      <c r="H228">
        <f t="shared" si="6"/>
        <v>9</v>
      </c>
      <c r="M228" s="1">
        <v>4.5638498850166702E-3</v>
      </c>
      <c r="N228">
        <v>1158.56750488281</v>
      </c>
      <c r="O228">
        <v>580.29100000000005</v>
      </c>
      <c r="P228">
        <v>1158.56286621094</v>
      </c>
      <c r="Q228">
        <v>580.28875732421795</v>
      </c>
      <c r="R228">
        <v>2</v>
      </c>
      <c r="S228">
        <v>3</v>
      </c>
      <c r="T228">
        <v>18</v>
      </c>
      <c r="U228">
        <v>27.4068299999999</v>
      </c>
      <c r="V228">
        <v>5172878</v>
      </c>
    </row>
    <row r="229" spans="1:22" x14ac:dyDescent="0.25">
      <c r="A229" t="s">
        <v>1396</v>
      </c>
      <c r="B229" t="s">
        <v>1397</v>
      </c>
      <c r="C229">
        <v>233</v>
      </c>
      <c r="D229">
        <v>99</v>
      </c>
      <c r="E229">
        <v>99</v>
      </c>
      <c r="F229" t="s">
        <v>1399</v>
      </c>
      <c r="G229" t="s">
        <v>1399</v>
      </c>
      <c r="H229">
        <f t="shared" si="6"/>
        <v>13</v>
      </c>
      <c r="M229" s="1">
        <v>-2.0400700159370799E-3</v>
      </c>
      <c r="N229">
        <v>869.50628662109295</v>
      </c>
      <c r="O229">
        <v>435.7604</v>
      </c>
      <c r="P229">
        <v>869.50830078125</v>
      </c>
      <c r="Q229">
        <v>435.76141357421801</v>
      </c>
      <c r="R229">
        <v>2</v>
      </c>
      <c r="S229">
        <v>2</v>
      </c>
      <c r="T229">
        <v>11</v>
      </c>
      <c r="U229">
        <v>20.51858</v>
      </c>
      <c r="V229">
        <v>220745.9</v>
      </c>
    </row>
    <row r="230" spans="1:22" x14ac:dyDescent="0.25">
      <c r="A230" t="s">
        <v>3205</v>
      </c>
      <c r="B230" t="s">
        <v>3206</v>
      </c>
      <c r="C230">
        <v>268</v>
      </c>
      <c r="D230">
        <v>99</v>
      </c>
      <c r="E230">
        <v>99</v>
      </c>
      <c r="F230" t="s">
        <v>3207</v>
      </c>
      <c r="G230" t="s">
        <v>3207</v>
      </c>
      <c r="H230">
        <f t="shared" si="6"/>
        <v>9</v>
      </c>
      <c r="M230">
        <v>3.9259999999999998E-3</v>
      </c>
      <c r="N230">
        <v>1479.76623535156</v>
      </c>
      <c r="O230">
        <v>740.8904</v>
      </c>
      <c r="P230">
        <v>1479.76232910156</v>
      </c>
      <c r="Q230">
        <v>740.888427734375</v>
      </c>
      <c r="R230">
        <v>2</v>
      </c>
      <c r="S230">
        <v>2</v>
      </c>
      <c r="T230">
        <v>13</v>
      </c>
      <c r="U230">
        <v>41.107779999999899</v>
      </c>
      <c r="V230">
        <v>169326.8</v>
      </c>
    </row>
    <row r="231" spans="1:22" x14ac:dyDescent="0.25">
      <c r="A231" t="s">
        <v>3412</v>
      </c>
      <c r="B231" t="s">
        <v>3413</v>
      </c>
      <c r="C231">
        <v>119</v>
      </c>
      <c r="D231">
        <v>98.9</v>
      </c>
      <c r="E231">
        <v>98.87</v>
      </c>
      <c r="F231" t="s">
        <v>3414</v>
      </c>
      <c r="G231" t="s">
        <v>3414</v>
      </c>
      <c r="H231">
        <f t="shared" si="6"/>
        <v>9</v>
      </c>
      <c r="M231" s="1">
        <v>-4.4457600452005802E-3</v>
      </c>
      <c r="N231">
        <v>1544.77905273438</v>
      </c>
      <c r="O231">
        <v>773.39679999999896</v>
      </c>
      <c r="P231">
        <v>1544.78344726563</v>
      </c>
      <c r="Q231">
        <v>773.39898681640602</v>
      </c>
      <c r="R231">
        <v>2</v>
      </c>
      <c r="S231">
        <v>2</v>
      </c>
      <c r="T231">
        <v>11</v>
      </c>
      <c r="U231">
        <v>32.5015199999999</v>
      </c>
      <c r="V231">
        <v>233313.1</v>
      </c>
    </row>
    <row r="232" spans="1:22" x14ac:dyDescent="0.25">
      <c r="A232" t="s">
        <v>4397</v>
      </c>
      <c r="B232" t="s">
        <v>4398</v>
      </c>
      <c r="C232">
        <v>370</v>
      </c>
      <c r="D232">
        <v>98.5</v>
      </c>
      <c r="E232">
        <v>98.52</v>
      </c>
      <c r="F232" t="s">
        <v>568</v>
      </c>
      <c r="G232" t="s">
        <v>568</v>
      </c>
      <c r="H232">
        <f t="shared" si="6"/>
        <v>9</v>
      </c>
      <c r="M232">
        <v>-6.7650000000000002E-3</v>
      </c>
      <c r="N232">
        <v>1544.77673339844</v>
      </c>
      <c r="O232">
        <v>773.39559999999904</v>
      </c>
      <c r="P232">
        <v>1544.78344726563</v>
      </c>
      <c r="Q232">
        <v>773.39898681640602</v>
      </c>
      <c r="R232">
        <v>2</v>
      </c>
      <c r="S232">
        <v>2</v>
      </c>
      <c r="T232">
        <v>11</v>
      </c>
      <c r="U232">
        <v>32.76567</v>
      </c>
      <c r="V232">
        <v>222339.1</v>
      </c>
    </row>
    <row r="233" spans="1:22" x14ac:dyDescent="0.25">
      <c r="A233" t="s">
        <v>4397</v>
      </c>
      <c r="B233" t="s">
        <v>4398</v>
      </c>
      <c r="C233">
        <v>332</v>
      </c>
      <c r="D233">
        <v>99</v>
      </c>
      <c r="E233">
        <v>99</v>
      </c>
      <c r="F233" t="s">
        <v>4399</v>
      </c>
      <c r="G233" t="s">
        <v>4399</v>
      </c>
      <c r="H233">
        <f t="shared" si="6"/>
        <v>9</v>
      </c>
      <c r="M233" s="1">
        <v>-7.0237000472843604E-3</v>
      </c>
      <c r="N233">
        <v>1345.66552734375</v>
      </c>
      <c r="O233">
        <v>673.84</v>
      </c>
      <c r="P233">
        <v>1345.67248535156</v>
      </c>
      <c r="Q233">
        <v>673.84356689453102</v>
      </c>
      <c r="R233">
        <v>2</v>
      </c>
      <c r="S233">
        <v>1</v>
      </c>
      <c r="T233">
        <v>12</v>
      </c>
      <c r="U233">
        <v>32.138500000000001</v>
      </c>
      <c r="V233">
        <v>291815.8</v>
      </c>
    </row>
    <row r="234" spans="1:22" x14ac:dyDescent="0.25">
      <c r="A234" t="s">
        <v>1283</v>
      </c>
      <c r="B234" t="s">
        <v>1284</v>
      </c>
      <c r="C234">
        <v>517</v>
      </c>
      <c r="D234">
        <v>99</v>
      </c>
      <c r="E234">
        <v>99</v>
      </c>
      <c r="F234" t="s">
        <v>1285</v>
      </c>
      <c r="G234" t="s">
        <v>1285</v>
      </c>
      <c r="H234">
        <f t="shared" si="6"/>
        <v>13</v>
      </c>
      <c r="M234" s="1">
        <v>4.57298010587692E-3</v>
      </c>
      <c r="N234">
        <v>1345.67712402344</v>
      </c>
      <c r="O234">
        <v>673.84580000000005</v>
      </c>
      <c r="P234">
        <v>1345.67248535156</v>
      </c>
      <c r="Q234">
        <v>673.84356689453102</v>
      </c>
      <c r="R234">
        <v>2</v>
      </c>
      <c r="S234">
        <v>1</v>
      </c>
      <c r="T234">
        <v>13</v>
      </c>
      <c r="U234">
        <v>32.068950000000001</v>
      </c>
      <c r="V234">
        <v>142631.6</v>
      </c>
    </row>
    <row r="235" spans="1:22" x14ac:dyDescent="0.25">
      <c r="A235" t="s">
        <v>2332</v>
      </c>
      <c r="B235" t="s">
        <v>2333</v>
      </c>
      <c r="C235">
        <v>41</v>
      </c>
      <c r="D235">
        <v>99</v>
      </c>
      <c r="E235">
        <v>99</v>
      </c>
      <c r="F235" t="s">
        <v>2334</v>
      </c>
      <c r="G235" t="s">
        <v>2334</v>
      </c>
      <c r="H235">
        <f t="shared" si="6"/>
        <v>11</v>
      </c>
      <c r="M235" s="1">
        <v>5.0471499562263402E-3</v>
      </c>
      <c r="N235">
        <v>1791.76513671875</v>
      </c>
      <c r="O235">
        <v>598.26229999999896</v>
      </c>
      <c r="P235">
        <v>1791.76013183594</v>
      </c>
      <c r="Q235">
        <v>598.26062011718705</v>
      </c>
      <c r="R235">
        <v>3</v>
      </c>
      <c r="S235">
        <v>1</v>
      </c>
      <c r="T235">
        <v>12</v>
      </c>
      <c r="U235">
        <v>29.045480000000001</v>
      </c>
      <c r="V235">
        <v>479403</v>
      </c>
    </row>
    <row r="236" spans="1:22" x14ac:dyDescent="0.25">
      <c r="A236" t="s">
        <v>986</v>
      </c>
      <c r="B236" t="s">
        <v>987</v>
      </c>
      <c r="C236">
        <v>2</v>
      </c>
      <c r="D236">
        <v>99</v>
      </c>
      <c r="E236">
        <v>99</v>
      </c>
      <c r="F236" t="s">
        <v>988</v>
      </c>
      <c r="G236" t="s">
        <v>988</v>
      </c>
      <c r="H236">
        <f t="shared" si="6"/>
        <v>17</v>
      </c>
      <c r="L236" t="s">
        <v>227</v>
      </c>
      <c r="M236">
        <v>5.9569999999999996E-3</v>
      </c>
      <c r="N236">
        <v>1816.94909667969</v>
      </c>
      <c r="O236">
        <v>606.65700000000004</v>
      </c>
      <c r="P236">
        <v>1816.94311523438</v>
      </c>
      <c r="Q236">
        <v>606.65496826171795</v>
      </c>
      <c r="R236">
        <v>3</v>
      </c>
      <c r="S236">
        <v>2</v>
      </c>
      <c r="T236">
        <v>15</v>
      </c>
      <c r="U236">
        <v>29.584530000000001</v>
      </c>
      <c r="V236">
        <v>430089.4</v>
      </c>
    </row>
    <row r="237" spans="1:22" x14ac:dyDescent="0.25">
      <c r="A237" t="s">
        <v>1659</v>
      </c>
      <c r="B237" t="s">
        <v>1660</v>
      </c>
      <c r="C237">
        <v>33</v>
      </c>
      <c r="D237">
        <v>97.7</v>
      </c>
      <c r="E237">
        <v>97.73</v>
      </c>
      <c r="F237" t="s">
        <v>1661</v>
      </c>
      <c r="G237" t="s">
        <v>1661</v>
      </c>
      <c r="H237">
        <f t="shared" si="6"/>
        <v>11</v>
      </c>
      <c r="M237" s="1">
        <v>6.0980501584708604E-3</v>
      </c>
      <c r="N237">
        <v>1791.76623535156</v>
      </c>
      <c r="O237">
        <v>896.8904</v>
      </c>
      <c r="P237">
        <v>1791.76013183594</v>
      </c>
      <c r="Q237">
        <v>896.88732910156205</v>
      </c>
      <c r="R237">
        <v>2</v>
      </c>
      <c r="S237">
        <v>2</v>
      </c>
      <c r="T237">
        <v>9</v>
      </c>
      <c r="U237">
        <v>29.0518199999999</v>
      </c>
      <c r="V237">
        <v>103709.8</v>
      </c>
    </row>
    <row r="238" spans="1:22" x14ac:dyDescent="0.25">
      <c r="A238" t="s">
        <v>1957</v>
      </c>
      <c r="B238" t="s">
        <v>1958</v>
      </c>
      <c r="C238">
        <v>279</v>
      </c>
      <c r="D238">
        <v>99</v>
      </c>
      <c r="E238">
        <v>99</v>
      </c>
      <c r="F238" t="s">
        <v>1959</v>
      </c>
      <c r="G238" t="s">
        <v>1959</v>
      </c>
      <c r="H238">
        <f t="shared" si="6"/>
        <v>9</v>
      </c>
      <c r="M238" s="1">
        <v>7.8064301051199401E-3</v>
      </c>
      <c r="N238">
        <v>1657.86145019531</v>
      </c>
      <c r="O238">
        <v>829.93799999999896</v>
      </c>
      <c r="P238">
        <v>1657.85363769531</v>
      </c>
      <c r="Q238">
        <v>829.93408203125</v>
      </c>
      <c r="R238">
        <v>2</v>
      </c>
      <c r="S238">
        <v>2</v>
      </c>
      <c r="T238">
        <v>11</v>
      </c>
      <c r="U238">
        <v>27.649149999999899</v>
      </c>
      <c r="V238">
        <v>68842.95</v>
      </c>
    </row>
    <row r="239" spans="1:22" x14ac:dyDescent="0.25">
      <c r="A239" t="s">
        <v>499</v>
      </c>
      <c r="B239" t="s">
        <v>500</v>
      </c>
      <c r="C239">
        <v>146</v>
      </c>
      <c r="D239">
        <v>98</v>
      </c>
      <c r="E239">
        <v>97.95</v>
      </c>
      <c r="F239" t="s">
        <v>517</v>
      </c>
      <c r="G239" t="s">
        <v>517</v>
      </c>
      <c r="H239">
        <f t="shared" si="6"/>
        <v>9</v>
      </c>
      <c r="M239">
        <v>1.0004000000000001E-2</v>
      </c>
      <c r="N239">
        <v>1657.86364746094</v>
      </c>
      <c r="O239">
        <v>829.93910000000005</v>
      </c>
      <c r="P239">
        <v>1657.85363769531</v>
      </c>
      <c r="Q239">
        <v>829.93408203125</v>
      </c>
      <c r="R239">
        <v>2</v>
      </c>
      <c r="S239">
        <v>2</v>
      </c>
      <c r="T239">
        <v>9</v>
      </c>
      <c r="U239">
        <v>27.668479999999899</v>
      </c>
      <c r="V239">
        <v>110159</v>
      </c>
    </row>
    <row r="240" spans="1:22" x14ac:dyDescent="0.25">
      <c r="A240" t="s">
        <v>499</v>
      </c>
      <c r="B240" t="s">
        <v>500</v>
      </c>
      <c r="C240">
        <v>540</v>
      </c>
      <c r="D240">
        <v>99</v>
      </c>
      <c r="E240">
        <v>99</v>
      </c>
      <c r="F240" t="s">
        <v>501</v>
      </c>
      <c r="G240" t="s">
        <v>501</v>
      </c>
      <c r="H240">
        <f t="shared" si="6"/>
        <v>9</v>
      </c>
      <c r="M240" s="1">
        <v>4.6670897863805303E-3</v>
      </c>
      <c r="N240">
        <v>1882.96960449219</v>
      </c>
      <c r="O240">
        <v>628.66380000000004</v>
      </c>
      <c r="P240">
        <v>1882.96496582031</v>
      </c>
      <c r="Q240">
        <v>628.66229248046795</v>
      </c>
      <c r="R240">
        <v>3</v>
      </c>
      <c r="S240">
        <v>2</v>
      </c>
      <c r="T240">
        <v>15</v>
      </c>
      <c r="U240">
        <v>29.22653</v>
      </c>
      <c r="V240">
        <v>752161.3</v>
      </c>
    </row>
    <row r="241" spans="1:22" x14ac:dyDescent="0.25">
      <c r="A241" t="s">
        <v>499</v>
      </c>
      <c r="B241" t="s">
        <v>500</v>
      </c>
      <c r="C241">
        <v>540</v>
      </c>
      <c r="D241">
        <v>98.1</v>
      </c>
      <c r="E241">
        <v>98.1</v>
      </c>
      <c r="F241" t="s">
        <v>501</v>
      </c>
      <c r="G241" t="s">
        <v>501</v>
      </c>
      <c r="H241">
        <f t="shared" si="6"/>
        <v>9</v>
      </c>
      <c r="L241" t="s">
        <v>47</v>
      </c>
      <c r="M241" s="1">
        <v>1.60700995475054E-2</v>
      </c>
      <c r="N241">
        <v>2601.33813476563</v>
      </c>
      <c r="O241">
        <v>868.12</v>
      </c>
      <c r="P241">
        <v>2601.32202148438</v>
      </c>
      <c r="Q241">
        <v>868.11462402343705</v>
      </c>
      <c r="R241">
        <v>3</v>
      </c>
      <c r="S241">
        <v>1</v>
      </c>
      <c r="T241">
        <v>13</v>
      </c>
      <c r="U241">
        <v>39.7110699999999</v>
      </c>
      <c r="V241">
        <v>193316.8</v>
      </c>
    </row>
    <row r="242" spans="1:22" x14ac:dyDescent="0.25">
      <c r="A242" t="s">
        <v>619</v>
      </c>
      <c r="B242" t="s">
        <v>620</v>
      </c>
      <c r="C242">
        <v>287</v>
      </c>
      <c r="D242">
        <v>99</v>
      </c>
      <c r="E242">
        <v>99</v>
      </c>
      <c r="F242" t="s">
        <v>4405</v>
      </c>
      <c r="G242" t="s">
        <v>4405</v>
      </c>
      <c r="H242">
        <f t="shared" si="6"/>
        <v>9</v>
      </c>
      <c r="M242" s="1">
        <v>6.4504100009799004E-3</v>
      </c>
      <c r="N242">
        <v>1882.97143554688</v>
      </c>
      <c r="O242">
        <v>942.49300000000005</v>
      </c>
      <c r="P242">
        <v>1882.96496582031</v>
      </c>
      <c r="Q242">
        <v>942.48974609375</v>
      </c>
      <c r="R242">
        <v>2</v>
      </c>
      <c r="S242">
        <v>2</v>
      </c>
      <c r="T242">
        <v>16</v>
      </c>
      <c r="U242">
        <v>29.26615</v>
      </c>
      <c r="V242">
        <v>217728.6</v>
      </c>
    </row>
    <row r="243" spans="1:22" x14ac:dyDescent="0.25">
      <c r="A243" t="s">
        <v>1850</v>
      </c>
      <c r="B243" t="s">
        <v>1851</v>
      </c>
      <c r="C243">
        <v>265</v>
      </c>
      <c r="D243">
        <v>99</v>
      </c>
      <c r="E243">
        <v>99</v>
      </c>
      <c r="F243" t="s">
        <v>1852</v>
      </c>
      <c r="G243" t="s">
        <v>1852</v>
      </c>
      <c r="H243">
        <f t="shared" si="6"/>
        <v>9</v>
      </c>
      <c r="M243" s="1">
        <v>7.49411014840007E-3</v>
      </c>
      <c r="N243">
        <v>1405.71643066406</v>
      </c>
      <c r="O243">
        <v>703.8655</v>
      </c>
      <c r="P243">
        <v>1405.70886230469</v>
      </c>
      <c r="Q243">
        <v>703.86175537109295</v>
      </c>
      <c r="R243">
        <v>2</v>
      </c>
      <c r="S243">
        <v>1</v>
      </c>
      <c r="T243">
        <v>9</v>
      </c>
      <c r="U243">
        <v>43.649900000000002</v>
      </c>
      <c r="V243">
        <v>117450.6</v>
      </c>
    </row>
    <row r="244" spans="1:22" x14ac:dyDescent="0.25">
      <c r="A244" t="s">
        <v>61</v>
      </c>
      <c r="B244" t="s">
        <v>62</v>
      </c>
      <c r="C244">
        <v>426</v>
      </c>
      <c r="D244">
        <v>98.2</v>
      </c>
      <c r="E244">
        <v>98.21</v>
      </c>
      <c r="F244" t="s">
        <v>1631</v>
      </c>
      <c r="G244" t="s">
        <v>1631</v>
      </c>
      <c r="H244">
        <f t="shared" si="6"/>
        <v>9</v>
      </c>
      <c r="M244">
        <v>1.513E-3</v>
      </c>
      <c r="N244">
        <v>1405.71044921875</v>
      </c>
      <c r="O244">
        <v>703.86249999999905</v>
      </c>
      <c r="P244">
        <v>1405.70886230469</v>
      </c>
      <c r="Q244">
        <v>703.86175537109295</v>
      </c>
      <c r="R244">
        <v>2</v>
      </c>
      <c r="S244">
        <v>1</v>
      </c>
      <c r="T244">
        <v>10</v>
      </c>
      <c r="U244">
        <v>43.644579999999898</v>
      </c>
      <c r="V244">
        <v>60965.19</v>
      </c>
    </row>
    <row r="245" spans="1:22" x14ac:dyDescent="0.25">
      <c r="A245" t="s">
        <v>1386</v>
      </c>
      <c r="B245" t="s">
        <v>1387</v>
      </c>
      <c r="C245">
        <v>473</v>
      </c>
      <c r="D245">
        <v>99</v>
      </c>
      <c r="E245">
        <v>99</v>
      </c>
      <c r="F245" t="s">
        <v>1388</v>
      </c>
      <c r="G245" t="s">
        <v>1388</v>
      </c>
      <c r="H245">
        <f t="shared" si="6"/>
        <v>15</v>
      </c>
      <c r="M245" s="1">
        <v>6.4267897978425E-3</v>
      </c>
      <c r="N245">
        <v>1992.00170898438</v>
      </c>
      <c r="O245">
        <v>997.00810000000001</v>
      </c>
      <c r="P245">
        <v>1991.99523925781</v>
      </c>
      <c r="Q245">
        <v>997.0048828125</v>
      </c>
      <c r="R245">
        <v>2</v>
      </c>
      <c r="S245">
        <v>2</v>
      </c>
      <c r="T245">
        <v>14</v>
      </c>
      <c r="U245">
        <v>51.058950000000003</v>
      </c>
      <c r="V245">
        <v>1299857</v>
      </c>
    </row>
    <row r="246" spans="1:22" x14ac:dyDescent="0.25">
      <c r="A246" t="s">
        <v>1386</v>
      </c>
      <c r="B246" t="s">
        <v>1387</v>
      </c>
      <c r="C246">
        <v>473</v>
      </c>
      <c r="D246">
        <v>98.2</v>
      </c>
      <c r="E246">
        <v>98.17</v>
      </c>
      <c r="F246" t="s">
        <v>1389</v>
      </c>
      <c r="G246" t="s">
        <v>1389</v>
      </c>
      <c r="H246">
        <f t="shared" si="6"/>
        <v>17</v>
      </c>
      <c r="M246">
        <v>-6.7000000000000002E-5</v>
      </c>
      <c r="N246">
        <v>1617.83032226563</v>
      </c>
      <c r="O246">
        <v>809.92240000000004</v>
      </c>
      <c r="P246">
        <v>1617.83032226563</v>
      </c>
      <c r="Q246">
        <v>809.92248535156205</v>
      </c>
      <c r="R246">
        <v>2</v>
      </c>
      <c r="S246">
        <v>3</v>
      </c>
      <c r="T246">
        <v>20</v>
      </c>
      <c r="U246">
        <v>50.905880000000003</v>
      </c>
      <c r="V246">
        <v>761880.9</v>
      </c>
    </row>
    <row r="247" spans="1:22" x14ac:dyDescent="0.25">
      <c r="A247" t="s">
        <v>292</v>
      </c>
      <c r="B247" t="s">
        <v>293</v>
      </c>
      <c r="C247">
        <v>1036</v>
      </c>
      <c r="D247">
        <v>99</v>
      </c>
      <c r="E247">
        <v>99</v>
      </c>
      <c r="F247" t="s">
        <v>2682</v>
      </c>
      <c r="G247" t="s">
        <v>2682</v>
      </c>
      <c r="H247">
        <f t="shared" si="6"/>
        <v>9</v>
      </c>
      <c r="M247" s="1">
        <v>1.88627000898123E-3</v>
      </c>
      <c r="N247">
        <v>1617.83227539063</v>
      </c>
      <c r="O247">
        <v>809.92340000000002</v>
      </c>
      <c r="P247">
        <v>1617.83032226563</v>
      </c>
      <c r="Q247">
        <v>809.92248535156205</v>
      </c>
      <c r="R247">
        <v>2</v>
      </c>
      <c r="S247">
        <v>2</v>
      </c>
      <c r="T247">
        <v>20</v>
      </c>
      <c r="U247">
        <v>50.962350000000001</v>
      </c>
      <c r="V247">
        <v>548492.5</v>
      </c>
    </row>
    <row r="248" spans="1:22" x14ac:dyDescent="0.25">
      <c r="A248" t="s">
        <v>3642</v>
      </c>
      <c r="B248" t="s">
        <v>3643</v>
      </c>
      <c r="C248">
        <v>311</v>
      </c>
      <c r="D248">
        <v>99</v>
      </c>
      <c r="E248">
        <v>99</v>
      </c>
      <c r="F248" t="s">
        <v>3644</v>
      </c>
      <c r="G248" t="s">
        <v>3644</v>
      </c>
      <c r="H248">
        <f t="shared" si="6"/>
        <v>11</v>
      </c>
      <c r="M248" s="1">
        <v>6.2713702209293704E-3</v>
      </c>
      <c r="N248">
        <v>1666.80541992188</v>
      </c>
      <c r="O248">
        <v>834.41</v>
      </c>
      <c r="P248">
        <v>1666.79907226563</v>
      </c>
      <c r="Q248">
        <v>834.40686035156205</v>
      </c>
      <c r="R248">
        <v>2</v>
      </c>
      <c r="S248">
        <v>1</v>
      </c>
      <c r="T248">
        <v>11</v>
      </c>
      <c r="U248">
        <v>46.038200000000003</v>
      </c>
      <c r="V248">
        <v>125622.1</v>
      </c>
    </row>
    <row r="249" spans="1:22" x14ac:dyDescent="0.25">
      <c r="A249" t="s">
        <v>4510</v>
      </c>
      <c r="B249" t="s">
        <v>4511</v>
      </c>
      <c r="C249">
        <v>83</v>
      </c>
      <c r="D249">
        <v>99</v>
      </c>
      <c r="E249">
        <v>99</v>
      </c>
      <c r="F249" t="s">
        <v>4512</v>
      </c>
      <c r="G249" t="s">
        <v>4512</v>
      </c>
      <c r="H249">
        <f t="shared" si="6"/>
        <v>16</v>
      </c>
      <c r="M249" s="1">
        <v>2.2901999764144299E-3</v>
      </c>
      <c r="N249">
        <v>969.57427978515602</v>
      </c>
      <c r="O249">
        <v>485.7944</v>
      </c>
      <c r="P249">
        <v>969.57196044921795</v>
      </c>
      <c r="Q249">
        <v>485.79324340820301</v>
      </c>
      <c r="R249">
        <v>2</v>
      </c>
      <c r="S249">
        <v>2</v>
      </c>
      <c r="T249">
        <v>11</v>
      </c>
      <c r="U249">
        <v>30.398129999999899</v>
      </c>
      <c r="V249">
        <v>526821.19999999902</v>
      </c>
    </row>
    <row r="250" spans="1:22" x14ac:dyDescent="0.25">
      <c r="A250" t="s">
        <v>716</v>
      </c>
      <c r="B250" t="s">
        <v>717</v>
      </c>
      <c r="C250">
        <v>213</v>
      </c>
      <c r="D250">
        <v>97.7</v>
      </c>
      <c r="E250">
        <v>97.66</v>
      </c>
      <c r="F250" t="s">
        <v>718</v>
      </c>
      <c r="G250" t="s">
        <v>718</v>
      </c>
      <c r="H250">
        <f t="shared" si="6"/>
        <v>9</v>
      </c>
      <c r="M250" s="1">
        <v>1.67985004372895E-3</v>
      </c>
      <c r="N250">
        <v>969.57366943359295</v>
      </c>
      <c r="O250">
        <v>485.79410000000001</v>
      </c>
      <c r="P250">
        <v>969.57196044921795</v>
      </c>
      <c r="Q250">
        <v>485.79324340820301</v>
      </c>
      <c r="R250">
        <v>2</v>
      </c>
      <c r="S250">
        <v>4</v>
      </c>
      <c r="T250">
        <v>11</v>
      </c>
      <c r="U250">
        <v>30.401630000000001</v>
      </c>
      <c r="V250">
        <v>1125397</v>
      </c>
    </row>
    <row r="251" spans="1:22" x14ac:dyDescent="0.25">
      <c r="A251" t="s">
        <v>3387</v>
      </c>
      <c r="B251" t="s">
        <v>3388</v>
      </c>
      <c r="C251">
        <v>609</v>
      </c>
      <c r="D251">
        <v>99</v>
      </c>
      <c r="E251">
        <v>99</v>
      </c>
      <c r="F251" t="s">
        <v>3389</v>
      </c>
      <c r="G251" t="s">
        <v>3389</v>
      </c>
      <c r="H251">
        <f t="shared" si="6"/>
        <v>9</v>
      </c>
      <c r="M251" s="1">
        <v>1.7700899625197101E-3</v>
      </c>
      <c r="N251">
        <v>1062.55883789063</v>
      </c>
      <c r="O251">
        <v>532.2867</v>
      </c>
      <c r="P251">
        <v>1062.55700683594</v>
      </c>
      <c r="Q251">
        <v>532.28576660156205</v>
      </c>
      <c r="R251">
        <v>2</v>
      </c>
      <c r="S251">
        <v>1</v>
      </c>
      <c r="T251">
        <v>12</v>
      </c>
      <c r="U251">
        <v>28.274470000000001</v>
      </c>
      <c r="V251">
        <v>3063773</v>
      </c>
    </row>
    <row r="252" spans="1:22" x14ac:dyDescent="0.25">
      <c r="A252" t="s">
        <v>3893</v>
      </c>
      <c r="B252" t="s">
        <v>3894</v>
      </c>
      <c r="C252">
        <v>511</v>
      </c>
      <c r="D252">
        <v>98.4</v>
      </c>
      <c r="E252">
        <v>98.36</v>
      </c>
      <c r="F252" t="s">
        <v>3895</v>
      </c>
      <c r="G252" t="s">
        <v>3895</v>
      </c>
      <c r="H252">
        <f t="shared" si="6"/>
        <v>9</v>
      </c>
      <c r="M252" s="1">
        <v>1.8317300418857501E-4</v>
      </c>
      <c r="N252">
        <v>1062.55725097656</v>
      </c>
      <c r="O252">
        <v>532.28589999999895</v>
      </c>
      <c r="P252">
        <v>1062.55700683594</v>
      </c>
      <c r="Q252">
        <v>532.28576660156205</v>
      </c>
      <c r="R252">
        <v>2</v>
      </c>
      <c r="S252">
        <v>1</v>
      </c>
      <c r="T252">
        <v>13</v>
      </c>
      <c r="U252">
        <v>28.250599999999899</v>
      </c>
      <c r="V252">
        <v>2028466</v>
      </c>
    </row>
    <row r="253" spans="1:22" x14ac:dyDescent="0.25">
      <c r="A253" t="s">
        <v>224</v>
      </c>
      <c r="B253" t="s">
        <v>225</v>
      </c>
      <c r="C253">
        <v>147</v>
      </c>
      <c r="D253">
        <v>99</v>
      </c>
      <c r="E253">
        <v>99</v>
      </c>
      <c r="F253" t="s">
        <v>223</v>
      </c>
      <c r="G253" t="s">
        <v>223</v>
      </c>
      <c r="H253">
        <f t="shared" si="6"/>
        <v>9</v>
      </c>
      <c r="L253" t="s">
        <v>87</v>
      </c>
      <c r="M253" s="1">
        <v>-4.9980599433183601E-3</v>
      </c>
      <c r="N253">
        <v>1191.57690429688</v>
      </c>
      <c r="O253">
        <v>596.79570000000001</v>
      </c>
      <c r="P253">
        <v>1191.58190917969</v>
      </c>
      <c r="Q253">
        <v>596.79821777343705</v>
      </c>
      <c r="R253">
        <v>2</v>
      </c>
      <c r="S253">
        <v>6</v>
      </c>
      <c r="T253">
        <v>13</v>
      </c>
      <c r="U253">
        <v>19.81485</v>
      </c>
      <c r="V253">
        <v>1849395</v>
      </c>
    </row>
    <row r="254" spans="1:22" x14ac:dyDescent="0.25">
      <c r="A254" t="s">
        <v>2283</v>
      </c>
      <c r="B254" t="s">
        <v>2284</v>
      </c>
      <c r="C254">
        <v>1054</v>
      </c>
      <c r="D254">
        <v>97.8</v>
      </c>
      <c r="E254">
        <v>97.82</v>
      </c>
      <c r="F254" t="s">
        <v>2285</v>
      </c>
      <c r="G254" t="s">
        <v>2285</v>
      </c>
      <c r="H254">
        <f t="shared" si="6"/>
        <v>8</v>
      </c>
      <c r="M254">
        <v>-1.243E-3</v>
      </c>
      <c r="N254">
        <v>1034.60131835938</v>
      </c>
      <c r="O254">
        <v>518.30790000000002</v>
      </c>
      <c r="P254">
        <v>1034.6025390625</v>
      </c>
      <c r="Q254">
        <v>518.30853271484295</v>
      </c>
      <c r="R254">
        <v>2</v>
      </c>
      <c r="S254">
        <v>8</v>
      </c>
      <c r="T254">
        <v>11</v>
      </c>
      <c r="U254">
        <v>36.299630000000001</v>
      </c>
      <c r="V254">
        <v>3421354</v>
      </c>
    </row>
    <row r="255" spans="1:22" x14ac:dyDescent="0.25">
      <c r="A255" t="s">
        <v>3751</v>
      </c>
      <c r="B255" t="s">
        <v>3752</v>
      </c>
      <c r="C255">
        <v>501</v>
      </c>
      <c r="D255">
        <v>98.6</v>
      </c>
      <c r="E255">
        <v>98.62</v>
      </c>
      <c r="F255" t="s">
        <v>3753</v>
      </c>
      <c r="G255" t="s">
        <v>3753</v>
      </c>
      <c r="H255">
        <f t="shared" si="6"/>
        <v>9</v>
      </c>
      <c r="M255">
        <v>4.372E-3</v>
      </c>
      <c r="N255">
        <v>1034.60693359375</v>
      </c>
      <c r="O255">
        <v>518.3107</v>
      </c>
      <c r="P255">
        <v>1034.6025390625</v>
      </c>
      <c r="Q255">
        <v>518.30853271484295</v>
      </c>
      <c r="R255">
        <v>2</v>
      </c>
      <c r="S255">
        <v>7</v>
      </c>
      <c r="T255">
        <v>11</v>
      </c>
      <c r="U255">
        <v>36.744750000000003</v>
      </c>
      <c r="V255">
        <v>4673865</v>
      </c>
    </row>
    <row r="256" spans="1:22" x14ac:dyDescent="0.25">
      <c r="A256" t="s">
        <v>3620</v>
      </c>
      <c r="B256" t="s">
        <v>3621</v>
      </c>
      <c r="C256">
        <v>329</v>
      </c>
      <c r="D256">
        <v>98.4</v>
      </c>
      <c r="E256">
        <v>98.38</v>
      </c>
      <c r="F256" t="s">
        <v>3622</v>
      </c>
      <c r="G256" t="s">
        <v>3622</v>
      </c>
      <c r="H256">
        <f t="shared" si="6"/>
        <v>15</v>
      </c>
      <c r="M256" s="1">
        <v>-2.5976100005209299E-3</v>
      </c>
      <c r="N256">
        <v>1140.68542480469</v>
      </c>
      <c r="O256">
        <v>571.35</v>
      </c>
      <c r="P256">
        <v>1140.68798828125</v>
      </c>
      <c r="Q256">
        <v>571.35125732421795</v>
      </c>
      <c r="R256">
        <v>2</v>
      </c>
      <c r="S256">
        <v>3</v>
      </c>
      <c r="T256">
        <v>11</v>
      </c>
      <c r="U256">
        <v>21.689520000000002</v>
      </c>
      <c r="V256">
        <v>837928.2</v>
      </c>
    </row>
    <row r="257" spans="1:22" x14ac:dyDescent="0.25">
      <c r="A257" t="s">
        <v>4267</v>
      </c>
      <c r="B257" t="s">
        <v>4268</v>
      </c>
      <c r="C257">
        <v>4377</v>
      </c>
      <c r="D257">
        <v>98.3</v>
      </c>
      <c r="E257">
        <v>98.3</v>
      </c>
      <c r="F257" t="s">
        <v>4269</v>
      </c>
      <c r="G257" t="s">
        <v>4269</v>
      </c>
      <c r="H257">
        <f t="shared" si="6"/>
        <v>9</v>
      </c>
      <c r="M257" s="1">
        <v>-3.6962400190532099E-3</v>
      </c>
      <c r="N257">
        <v>1140.68432617188</v>
      </c>
      <c r="O257">
        <v>571.34939999999904</v>
      </c>
      <c r="P257">
        <v>1140.68798828125</v>
      </c>
      <c r="Q257">
        <v>571.35125732421795</v>
      </c>
      <c r="R257">
        <v>2</v>
      </c>
      <c r="S257">
        <v>4</v>
      </c>
      <c r="T257">
        <v>12</v>
      </c>
      <c r="U257">
        <v>21.750150000000001</v>
      </c>
      <c r="V257">
        <v>2927156</v>
      </c>
    </row>
    <row r="258" spans="1:22" x14ac:dyDescent="0.25">
      <c r="A258" t="s">
        <v>1086</v>
      </c>
      <c r="B258" t="s">
        <v>1087</v>
      </c>
      <c r="C258">
        <v>519</v>
      </c>
      <c r="D258">
        <v>99</v>
      </c>
      <c r="E258">
        <v>99</v>
      </c>
      <c r="F258" t="s">
        <v>1088</v>
      </c>
      <c r="G258" t="s">
        <v>1088</v>
      </c>
      <c r="H258">
        <f t="shared" si="6"/>
        <v>18</v>
      </c>
      <c r="L258" t="s">
        <v>1089</v>
      </c>
      <c r="M258" s="1">
        <v>-2.0106199663132299E-3</v>
      </c>
      <c r="N258">
        <v>1126.5322265625</v>
      </c>
      <c r="O258">
        <v>376.51799999999901</v>
      </c>
      <c r="P258">
        <v>1126.5341796875</v>
      </c>
      <c r="Q258">
        <v>376.51867675781301</v>
      </c>
      <c r="R258">
        <v>3</v>
      </c>
      <c r="S258">
        <v>2</v>
      </c>
      <c r="T258">
        <v>12</v>
      </c>
      <c r="U258">
        <v>20.0276999999999</v>
      </c>
      <c r="V258">
        <v>6701661</v>
      </c>
    </row>
    <row r="259" spans="1:22" x14ac:dyDescent="0.25">
      <c r="A259" t="s">
        <v>2627</v>
      </c>
      <c r="B259" t="s">
        <v>2628</v>
      </c>
      <c r="C259">
        <v>152</v>
      </c>
      <c r="D259">
        <v>98.4</v>
      </c>
      <c r="E259">
        <v>98.35</v>
      </c>
      <c r="F259" t="s">
        <v>2629</v>
      </c>
      <c r="G259" t="s">
        <v>2629</v>
      </c>
      <c r="H259">
        <f t="shared" ref="H259:H322" si="7">LEN(G259)</f>
        <v>12</v>
      </c>
      <c r="M259" s="1">
        <v>7.0273497840389501E-4</v>
      </c>
      <c r="N259">
        <v>1730.88464355469</v>
      </c>
      <c r="O259">
        <v>866.44960000000003</v>
      </c>
      <c r="P259">
        <v>1730.88391113281</v>
      </c>
      <c r="Q259">
        <v>866.44921875</v>
      </c>
      <c r="R259">
        <v>2</v>
      </c>
      <c r="S259">
        <v>4</v>
      </c>
      <c r="T259">
        <v>18</v>
      </c>
      <c r="U259">
        <v>51.058070000000001</v>
      </c>
      <c r="V259">
        <v>640934.19999999902</v>
      </c>
    </row>
    <row r="260" spans="1:22" x14ac:dyDescent="0.25">
      <c r="A260" t="s">
        <v>1986</v>
      </c>
      <c r="B260" t="s">
        <v>1987</v>
      </c>
      <c r="C260">
        <v>172</v>
      </c>
      <c r="D260">
        <v>98.5</v>
      </c>
      <c r="E260">
        <v>98.49</v>
      </c>
      <c r="F260" t="s">
        <v>1988</v>
      </c>
      <c r="G260" t="s">
        <v>1988</v>
      </c>
      <c r="H260">
        <f t="shared" si="7"/>
        <v>18</v>
      </c>
      <c r="M260">
        <v>2.8999999999999998E-3</v>
      </c>
      <c r="N260">
        <v>1730.88684082031</v>
      </c>
      <c r="O260">
        <v>866.45069999999896</v>
      </c>
      <c r="P260">
        <v>1730.88391113281</v>
      </c>
      <c r="Q260">
        <v>866.44921875</v>
      </c>
      <c r="R260">
        <v>2</v>
      </c>
      <c r="S260">
        <v>3</v>
      </c>
      <c r="T260">
        <v>18</v>
      </c>
      <c r="U260">
        <v>51.087429999999898</v>
      </c>
      <c r="V260">
        <v>353663.8</v>
      </c>
    </row>
    <row r="261" spans="1:22" x14ac:dyDescent="0.25">
      <c r="A261" t="s">
        <v>4229</v>
      </c>
      <c r="B261" t="s">
        <v>4230</v>
      </c>
      <c r="C261">
        <v>160</v>
      </c>
      <c r="D261">
        <v>98.5</v>
      </c>
      <c r="E261">
        <v>98.53</v>
      </c>
      <c r="F261" t="s">
        <v>4231</v>
      </c>
      <c r="G261" t="s">
        <v>4231</v>
      </c>
      <c r="H261">
        <f t="shared" si="7"/>
        <v>9</v>
      </c>
      <c r="M261" s="1">
        <v>1.71344995032996E-3</v>
      </c>
      <c r="N261">
        <v>949.53625488281205</v>
      </c>
      <c r="O261">
        <v>475.77539999999902</v>
      </c>
      <c r="P261">
        <v>949.53448486328102</v>
      </c>
      <c r="Q261">
        <v>475.77453613281301</v>
      </c>
      <c r="R261">
        <v>2</v>
      </c>
      <c r="S261">
        <v>1</v>
      </c>
      <c r="T261">
        <v>12</v>
      </c>
      <c r="U261">
        <v>25.47542</v>
      </c>
      <c r="V261">
        <v>1445930</v>
      </c>
    </row>
    <row r="262" spans="1:22" x14ac:dyDescent="0.25">
      <c r="A262" t="s">
        <v>1055</v>
      </c>
      <c r="B262" t="s">
        <v>1056</v>
      </c>
      <c r="C262">
        <v>188</v>
      </c>
      <c r="D262">
        <v>98.7</v>
      </c>
      <c r="E262">
        <v>98.71</v>
      </c>
      <c r="F262" t="s">
        <v>1057</v>
      </c>
      <c r="G262" t="s">
        <v>1057</v>
      </c>
      <c r="H262">
        <f t="shared" si="7"/>
        <v>9</v>
      </c>
      <c r="M262" s="1">
        <v>2.32379999943078E-3</v>
      </c>
      <c r="N262">
        <v>949.536865234375</v>
      </c>
      <c r="O262">
        <v>475.77569999999901</v>
      </c>
      <c r="P262">
        <v>949.53448486328102</v>
      </c>
      <c r="Q262">
        <v>475.77453613281301</v>
      </c>
      <c r="R262">
        <v>2</v>
      </c>
      <c r="S262">
        <v>1</v>
      </c>
      <c r="T262">
        <v>11</v>
      </c>
      <c r="U262">
        <v>25.503319999999899</v>
      </c>
      <c r="V262">
        <v>672848.4</v>
      </c>
    </row>
    <row r="263" spans="1:22" x14ac:dyDescent="0.25">
      <c r="A263" t="s">
        <v>2394</v>
      </c>
      <c r="B263" t="s">
        <v>2395</v>
      </c>
      <c r="C263">
        <v>21</v>
      </c>
      <c r="D263">
        <v>99</v>
      </c>
      <c r="E263">
        <v>99</v>
      </c>
      <c r="F263" t="s">
        <v>2396</v>
      </c>
      <c r="G263" t="s">
        <v>2396</v>
      </c>
      <c r="H263">
        <f t="shared" si="7"/>
        <v>15</v>
      </c>
      <c r="M263" s="1">
        <v>3.6106400657445201E-3</v>
      </c>
      <c r="N263">
        <v>1513.58544921875</v>
      </c>
      <c r="O263">
        <v>757.8</v>
      </c>
      <c r="P263">
        <v>1513.58178710938</v>
      </c>
      <c r="Q263">
        <v>757.79815673828102</v>
      </c>
      <c r="R263">
        <v>2</v>
      </c>
      <c r="S263">
        <v>3</v>
      </c>
      <c r="T263">
        <v>12</v>
      </c>
      <c r="U263">
        <v>21.723050000000001</v>
      </c>
      <c r="V263">
        <v>106733.7</v>
      </c>
    </row>
    <row r="264" spans="1:22" x14ac:dyDescent="0.25">
      <c r="A264" t="s">
        <v>2394</v>
      </c>
      <c r="B264" t="s">
        <v>2395</v>
      </c>
      <c r="C264">
        <v>27</v>
      </c>
      <c r="D264">
        <v>99</v>
      </c>
      <c r="E264">
        <v>99</v>
      </c>
      <c r="F264" t="s">
        <v>2397</v>
      </c>
      <c r="G264" t="s">
        <v>2397</v>
      </c>
      <c r="H264">
        <f t="shared" si="7"/>
        <v>14</v>
      </c>
      <c r="M264" s="1">
        <v>-1.51632004417478E-3</v>
      </c>
      <c r="N264">
        <v>1513.58032226563</v>
      </c>
      <c r="O264">
        <v>757.79740000000004</v>
      </c>
      <c r="P264">
        <v>1513.58178710938</v>
      </c>
      <c r="Q264">
        <v>757.79815673828102</v>
      </c>
      <c r="R264">
        <v>2</v>
      </c>
      <c r="S264">
        <v>2</v>
      </c>
      <c r="T264">
        <v>9</v>
      </c>
      <c r="U264">
        <v>21.668800000000001</v>
      </c>
      <c r="V264">
        <v>141718.799999999</v>
      </c>
    </row>
    <row r="265" spans="1:22" x14ac:dyDescent="0.25">
      <c r="A265" t="s">
        <v>2394</v>
      </c>
      <c r="B265" t="s">
        <v>2395</v>
      </c>
      <c r="C265">
        <v>24</v>
      </c>
      <c r="D265">
        <v>99</v>
      </c>
      <c r="E265">
        <v>99</v>
      </c>
      <c r="F265" t="s">
        <v>2398</v>
      </c>
      <c r="G265" t="s">
        <v>2398</v>
      </c>
      <c r="H265">
        <f t="shared" si="7"/>
        <v>17</v>
      </c>
      <c r="M265" s="1">
        <v>-1.05482002254575E-4</v>
      </c>
      <c r="N265">
        <v>1891.89514160156</v>
      </c>
      <c r="O265">
        <v>631.63900000000001</v>
      </c>
      <c r="P265">
        <v>1891.89526367188</v>
      </c>
      <c r="Q265">
        <v>631.63903808593705</v>
      </c>
      <c r="R265">
        <v>3</v>
      </c>
      <c r="S265">
        <v>1</v>
      </c>
      <c r="T265">
        <v>10</v>
      </c>
      <c r="U265">
        <v>36.338850000000001</v>
      </c>
      <c r="V265">
        <v>142403.4</v>
      </c>
    </row>
    <row r="266" spans="1:22" x14ac:dyDescent="0.25">
      <c r="A266" t="s">
        <v>1333</v>
      </c>
      <c r="B266" t="s">
        <v>1334</v>
      </c>
      <c r="C266">
        <v>377</v>
      </c>
      <c r="D266">
        <v>97.6</v>
      </c>
      <c r="E266">
        <v>97.55</v>
      </c>
      <c r="F266" t="s">
        <v>1335</v>
      </c>
      <c r="G266" t="s">
        <v>1335</v>
      </c>
      <c r="H266">
        <f t="shared" si="7"/>
        <v>14</v>
      </c>
      <c r="M266">
        <v>4.1060000000000003E-3</v>
      </c>
      <c r="N266">
        <v>1891.89929199219</v>
      </c>
      <c r="O266">
        <v>631.6404</v>
      </c>
      <c r="P266">
        <v>1891.89526367188</v>
      </c>
      <c r="Q266">
        <v>631.63903808593705</v>
      </c>
      <c r="R266">
        <v>3</v>
      </c>
      <c r="S266">
        <v>1</v>
      </c>
      <c r="T266">
        <v>12</v>
      </c>
      <c r="U266">
        <v>36.343170000000001</v>
      </c>
      <c r="V266">
        <v>209246.2</v>
      </c>
    </row>
    <row r="267" spans="1:22" x14ac:dyDescent="0.25">
      <c r="A267" t="s">
        <v>694</v>
      </c>
      <c r="B267" t="s">
        <v>695</v>
      </c>
      <c r="C267">
        <v>783</v>
      </c>
      <c r="D267">
        <v>97</v>
      </c>
      <c r="E267">
        <v>97</v>
      </c>
      <c r="F267" t="s">
        <v>696</v>
      </c>
      <c r="G267" t="s">
        <v>696</v>
      </c>
      <c r="H267">
        <f t="shared" si="7"/>
        <v>13</v>
      </c>
      <c r="M267" s="1">
        <v>5.1391101442277301E-3</v>
      </c>
      <c r="N267">
        <v>1596.85632324219</v>
      </c>
      <c r="O267">
        <v>799.43539999999905</v>
      </c>
      <c r="P267">
        <v>1596.85119628906</v>
      </c>
      <c r="Q267">
        <v>799.432861328125</v>
      </c>
      <c r="R267">
        <v>2</v>
      </c>
      <c r="S267">
        <v>1</v>
      </c>
      <c r="T267">
        <v>12</v>
      </c>
      <c r="U267">
        <v>28.589980000000001</v>
      </c>
      <c r="V267">
        <v>229289.1</v>
      </c>
    </row>
    <row r="268" spans="1:22" x14ac:dyDescent="0.25">
      <c r="A268" t="s">
        <v>694</v>
      </c>
      <c r="B268" t="s">
        <v>695</v>
      </c>
      <c r="C268">
        <v>521</v>
      </c>
      <c r="D268">
        <v>99</v>
      </c>
      <c r="E268">
        <v>99</v>
      </c>
      <c r="F268" t="s">
        <v>697</v>
      </c>
      <c r="G268" t="s">
        <v>697</v>
      </c>
      <c r="H268">
        <f t="shared" si="7"/>
        <v>15</v>
      </c>
      <c r="L268" t="s">
        <v>295</v>
      </c>
      <c r="M268" s="1">
        <v>7.6674600131809703E-3</v>
      </c>
      <c r="N268">
        <v>1844.01538085938</v>
      </c>
      <c r="O268">
        <v>615.67909999999904</v>
      </c>
      <c r="P268">
        <v>1844.00769042969</v>
      </c>
      <c r="Q268">
        <v>615.676513671875</v>
      </c>
      <c r="R268">
        <v>3</v>
      </c>
      <c r="S268">
        <v>1</v>
      </c>
      <c r="T268">
        <v>11</v>
      </c>
      <c r="U268">
        <v>44.322769999999899</v>
      </c>
      <c r="V268">
        <v>186612</v>
      </c>
    </row>
    <row r="269" spans="1:22" x14ac:dyDescent="0.25">
      <c r="A269" t="s">
        <v>3021</v>
      </c>
      <c r="B269" t="s">
        <v>3022</v>
      </c>
      <c r="C269">
        <v>190</v>
      </c>
      <c r="D269">
        <v>99</v>
      </c>
      <c r="E269">
        <v>99</v>
      </c>
      <c r="F269" t="s">
        <v>3023</v>
      </c>
      <c r="G269" t="s">
        <v>3023</v>
      </c>
      <c r="H269">
        <f t="shared" si="7"/>
        <v>9</v>
      </c>
      <c r="M269" s="1">
        <v>3.9184098131954601E-3</v>
      </c>
      <c r="N269">
        <v>1596.85510253906</v>
      </c>
      <c r="O269">
        <v>799.4348</v>
      </c>
      <c r="P269">
        <v>1596.85119628906</v>
      </c>
      <c r="Q269">
        <v>799.432861328125</v>
      </c>
      <c r="R269">
        <v>2</v>
      </c>
      <c r="S269">
        <v>2</v>
      </c>
      <c r="T269">
        <v>9</v>
      </c>
      <c r="U269">
        <v>28.564</v>
      </c>
      <c r="V269">
        <v>149335.20000000001</v>
      </c>
    </row>
    <row r="270" spans="1:22" x14ac:dyDescent="0.25">
      <c r="A270" t="s">
        <v>1339</v>
      </c>
      <c r="B270" t="s">
        <v>1340</v>
      </c>
      <c r="C270">
        <v>215</v>
      </c>
      <c r="D270">
        <v>99</v>
      </c>
      <c r="E270">
        <v>99</v>
      </c>
      <c r="F270" t="s">
        <v>1341</v>
      </c>
      <c r="G270" t="s">
        <v>1341</v>
      </c>
      <c r="H270">
        <f t="shared" si="7"/>
        <v>17</v>
      </c>
      <c r="M270">
        <v>4.4339999999999996E-3</v>
      </c>
      <c r="N270">
        <v>1924.99792480469</v>
      </c>
      <c r="O270">
        <v>963.50620000000004</v>
      </c>
      <c r="P270">
        <v>1924.99340820313</v>
      </c>
      <c r="Q270">
        <v>963.50402832031205</v>
      </c>
      <c r="R270">
        <v>2</v>
      </c>
      <c r="S270">
        <v>2</v>
      </c>
      <c r="T270">
        <v>16</v>
      </c>
      <c r="U270">
        <v>55.963090000000001</v>
      </c>
      <c r="V270">
        <v>512250</v>
      </c>
    </row>
    <row r="271" spans="1:22" x14ac:dyDescent="0.25">
      <c r="A271" t="s">
        <v>2240</v>
      </c>
      <c r="B271" t="s">
        <v>2241</v>
      </c>
      <c r="C271">
        <v>769</v>
      </c>
      <c r="D271">
        <v>99</v>
      </c>
      <c r="E271">
        <v>99</v>
      </c>
      <c r="F271" t="s">
        <v>2242</v>
      </c>
      <c r="G271" t="s">
        <v>2242</v>
      </c>
      <c r="H271">
        <f t="shared" si="7"/>
        <v>18</v>
      </c>
      <c r="M271" s="1">
        <v>3.8231899961829099E-3</v>
      </c>
      <c r="N271">
        <v>1924.99731445313</v>
      </c>
      <c r="O271">
        <v>963.5059</v>
      </c>
      <c r="P271">
        <v>1924.99340820313</v>
      </c>
      <c r="Q271">
        <v>963.50402832031205</v>
      </c>
      <c r="R271">
        <v>2</v>
      </c>
      <c r="S271">
        <v>2</v>
      </c>
      <c r="T271">
        <v>13</v>
      </c>
      <c r="U271">
        <v>55.99812</v>
      </c>
      <c r="V271">
        <v>131292.20000000001</v>
      </c>
    </row>
    <row r="272" spans="1:22" x14ac:dyDescent="0.25">
      <c r="A272" t="s">
        <v>1905</v>
      </c>
      <c r="B272" t="s">
        <v>1906</v>
      </c>
      <c r="C272">
        <v>483</v>
      </c>
      <c r="D272">
        <v>99</v>
      </c>
      <c r="E272">
        <v>99</v>
      </c>
      <c r="F272" t="s">
        <v>1907</v>
      </c>
      <c r="G272" t="s">
        <v>1907</v>
      </c>
      <c r="H272">
        <f t="shared" si="7"/>
        <v>11</v>
      </c>
      <c r="M272" s="1">
        <v>-2.0306499209255002E-3</v>
      </c>
      <c r="N272">
        <v>980.5634765625</v>
      </c>
      <c r="O272">
        <v>491.28899999999902</v>
      </c>
      <c r="P272">
        <v>980.56549072265602</v>
      </c>
      <c r="Q272">
        <v>491.29000854492102</v>
      </c>
      <c r="R272">
        <v>2</v>
      </c>
      <c r="S272">
        <v>2</v>
      </c>
      <c r="T272">
        <v>12</v>
      </c>
      <c r="U272">
        <v>26.438749999999899</v>
      </c>
      <c r="V272">
        <v>1716447</v>
      </c>
    </row>
    <row r="273" spans="1:22" x14ac:dyDescent="0.25">
      <c r="A273" t="s">
        <v>1905</v>
      </c>
      <c r="B273" t="s">
        <v>1906</v>
      </c>
      <c r="C273">
        <v>554</v>
      </c>
      <c r="D273">
        <v>98.6</v>
      </c>
      <c r="E273">
        <v>98.62</v>
      </c>
      <c r="F273" t="s">
        <v>1908</v>
      </c>
      <c r="G273" t="s">
        <v>1908</v>
      </c>
      <c r="H273">
        <f t="shared" si="7"/>
        <v>16</v>
      </c>
      <c r="M273" s="1">
        <v>1.20847998186946E-2</v>
      </c>
      <c r="N273">
        <v>1681.84326171875</v>
      </c>
      <c r="O273">
        <v>841.9289</v>
      </c>
      <c r="P273">
        <v>1681.83117675781</v>
      </c>
      <c r="Q273">
        <v>841.9228515625</v>
      </c>
      <c r="R273">
        <v>2</v>
      </c>
      <c r="S273">
        <v>1</v>
      </c>
      <c r="T273">
        <v>10</v>
      </c>
      <c r="U273">
        <v>43.6219299999999</v>
      </c>
      <c r="V273">
        <v>66108.13</v>
      </c>
    </row>
    <row r="274" spans="1:22" x14ac:dyDescent="0.25">
      <c r="A274" t="s">
        <v>2533</v>
      </c>
      <c r="B274" t="s">
        <v>2534</v>
      </c>
      <c r="C274">
        <v>76</v>
      </c>
      <c r="D274">
        <v>98</v>
      </c>
      <c r="E274">
        <v>97.96</v>
      </c>
      <c r="F274" t="s">
        <v>2535</v>
      </c>
      <c r="G274" t="s">
        <v>2535</v>
      </c>
      <c r="H274">
        <f t="shared" si="7"/>
        <v>9</v>
      </c>
      <c r="M274">
        <v>1.1108E-2</v>
      </c>
      <c r="N274">
        <v>1681.84228515625</v>
      </c>
      <c r="O274">
        <v>841.92840000000001</v>
      </c>
      <c r="P274">
        <v>1681.83117675781</v>
      </c>
      <c r="Q274">
        <v>841.9228515625</v>
      </c>
      <c r="R274">
        <v>2</v>
      </c>
      <c r="S274">
        <v>1</v>
      </c>
      <c r="T274">
        <v>8</v>
      </c>
      <c r="U274">
        <v>43.629950000000001</v>
      </c>
      <c r="V274">
        <v>102367.1</v>
      </c>
    </row>
    <row r="275" spans="1:22" x14ac:dyDescent="0.25">
      <c r="A275" t="s">
        <v>4483</v>
      </c>
      <c r="B275" t="s">
        <v>4484</v>
      </c>
      <c r="C275">
        <v>108</v>
      </c>
      <c r="D275">
        <v>99</v>
      </c>
      <c r="E275">
        <v>99</v>
      </c>
      <c r="F275" t="s">
        <v>4485</v>
      </c>
      <c r="G275" t="s">
        <v>4485</v>
      </c>
      <c r="H275">
        <f t="shared" si="7"/>
        <v>9</v>
      </c>
      <c r="M275" s="1">
        <v>6.2475102022290204E-3</v>
      </c>
      <c r="N275">
        <v>1987.12768554688</v>
      </c>
      <c r="O275">
        <v>663.38319999999896</v>
      </c>
      <c r="P275">
        <v>1987.12145996094</v>
      </c>
      <c r="Q275">
        <v>663.381103515625</v>
      </c>
      <c r="R275">
        <v>3</v>
      </c>
      <c r="S275">
        <v>1</v>
      </c>
      <c r="T275">
        <v>18</v>
      </c>
      <c r="U275">
        <v>38.368319999999898</v>
      </c>
      <c r="V275">
        <v>270310.2</v>
      </c>
    </row>
    <row r="276" spans="1:22" x14ac:dyDescent="0.25">
      <c r="A276" t="s">
        <v>2186</v>
      </c>
      <c r="B276" t="s">
        <v>2187</v>
      </c>
      <c r="C276">
        <v>536</v>
      </c>
      <c r="D276">
        <v>98</v>
      </c>
      <c r="E276">
        <v>98</v>
      </c>
      <c r="F276" t="s">
        <v>2188</v>
      </c>
      <c r="G276" t="s">
        <v>2188</v>
      </c>
      <c r="H276">
        <f t="shared" si="7"/>
        <v>9</v>
      </c>
      <c r="M276" s="1">
        <v>7.5292498804628702E-3</v>
      </c>
      <c r="N276">
        <v>1987.12902832031</v>
      </c>
      <c r="O276">
        <v>663.3836</v>
      </c>
      <c r="P276">
        <v>1987.12145996094</v>
      </c>
      <c r="Q276">
        <v>663.381103515625</v>
      </c>
      <c r="R276">
        <v>3</v>
      </c>
      <c r="S276">
        <v>1</v>
      </c>
      <c r="T276">
        <v>12</v>
      </c>
      <c r="U276">
        <v>38.471829999999898</v>
      </c>
      <c r="V276">
        <v>134170.4</v>
      </c>
    </row>
    <row r="277" spans="1:22" x14ac:dyDescent="0.25">
      <c r="A277" t="s">
        <v>4686</v>
      </c>
      <c r="B277" t="s">
        <v>4687</v>
      </c>
      <c r="C277">
        <v>36</v>
      </c>
      <c r="D277">
        <v>97.9</v>
      </c>
      <c r="E277">
        <v>97.85</v>
      </c>
      <c r="F277" t="s">
        <v>4688</v>
      </c>
      <c r="G277" t="s">
        <v>4688</v>
      </c>
      <c r="H277">
        <f t="shared" si="7"/>
        <v>9</v>
      </c>
      <c r="M277" s="1">
        <v>-5.3140698000788602E-3</v>
      </c>
      <c r="N277">
        <v>1938.03820800781</v>
      </c>
      <c r="O277">
        <v>647.02</v>
      </c>
      <c r="P277">
        <v>1938.04357910156</v>
      </c>
      <c r="Q277">
        <v>647.02178955078102</v>
      </c>
      <c r="R277">
        <v>3</v>
      </c>
      <c r="S277">
        <v>1</v>
      </c>
      <c r="T277">
        <v>13</v>
      </c>
      <c r="U277">
        <v>23.4894199999999</v>
      </c>
      <c r="V277">
        <v>1095138</v>
      </c>
    </row>
    <row r="278" spans="1:22" x14ac:dyDescent="0.25">
      <c r="A278" t="s">
        <v>2810</v>
      </c>
      <c r="B278" t="s">
        <v>2811</v>
      </c>
      <c r="C278">
        <v>20</v>
      </c>
      <c r="D278">
        <v>99</v>
      </c>
      <c r="E278">
        <v>99</v>
      </c>
      <c r="F278" t="s">
        <v>2812</v>
      </c>
      <c r="G278" t="s">
        <v>2812</v>
      </c>
      <c r="H278">
        <f t="shared" si="7"/>
        <v>17</v>
      </c>
      <c r="M278" s="1">
        <v>6.3407002016901901E-3</v>
      </c>
      <c r="N278">
        <v>2122.08715820313</v>
      </c>
      <c r="O278">
        <v>708.36959999999897</v>
      </c>
      <c r="P278">
        <v>2122.08081054688</v>
      </c>
      <c r="Q278">
        <v>708.36749267578102</v>
      </c>
      <c r="R278">
        <v>3</v>
      </c>
      <c r="S278">
        <v>1</v>
      </c>
      <c r="T278">
        <v>12</v>
      </c>
      <c r="U278">
        <v>34.66187</v>
      </c>
      <c r="V278">
        <v>143981.299999999</v>
      </c>
    </row>
    <row r="279" spans="1:22" x14ac:dyDescent="0.25">
      <c r="A279" t="s">
        <v>2810</v>
      </c>
      <c r="B279" t="s">
        <v>2811</v>
      </c>
      <c r="C279">
        <v>303</v>
      </c>
      <c r="D279">
        <v>97.7</v>
      </c>
      <c r="E279">
        <v>97.73</v>
      </c>
      <c r="F279" t="s">
        <v>2813</v>
      </c>
      <c r="G279" t="s">
        <v>2813</v>
      </c>
      <c r="H279">
        <f t="shared" si="7"/>
        <v>17</v>
      </c>
      <c r="L279" t="s">
        <v>295</v>
      </c>
      <c r="M279" s="1">
        <v>1.00416000932454E-2</v>
      </c>
      <c r="N279">
        <v>1105.60546875</v>
      </c>
      <c r="O279">
        <v>553.80999999999904</v>
      </c>
      <c r="P279">
        <v>1105.59545898438</v>
      </c>
      <c r="Q279">
        <v>553.80499267578102</v>
      </c>
      <c r="R279">
        <v>2</v>
      </c>
      <c r="S279">
        <v>2</v>
      </c>
      <c r="T279">
        <v>13</v>
      </c>
      <c r="U279">
        <v>43.0443199999999</v>
      </c>
      <c r="V279">
        <v>2153458</v>
      </c>
    </row>
    <row r="280" spans="1:22" x14ac:dyDescent="0.25">
      <c r="A280" t="s">
        <v>2698</v>
      </c>
      <c r="B280" t="s">
        <v>2699</v>
      </c>
      <c r="C280">
        <v>73</v>
      </c>
      <c r="D280">
        <v>99</v>
      </c>
      <c r="E280">
        <v>99</v>
      </c>
      <c r="F280" t="s">
        <v>2700</v>
      </c>
      <c r="G280" t="s">
        <v>2700</v>
      </c>
      <c r="H280">
        <f t="shared" si="7"/>
        <v>15</v>
      </c>
      <c r="M280" s="1">
        <v>1.2200100347399601E-2</v>
      </c>
      <c r="N280">
        <v>2122.09301757813</v>
      </c>
      <c r="O280">
        <v>708.37159999999903</v>
      </c>
      <c r="P280">
        <v>2122.08081054688</v>
      </c>
      <c r="Q280">
        <v>708.36749267578102</v>
      </c>
      <c r="R280">
        <v>3</v>
      </c>
      <c r="S280">
        <v>1</v>
      </c>
      <c r="T280">
        <v>12</v>
      </c>
      <c r="U280">
        <v>34.638500000000001</v>
      </c>
      <c r="V280">
        <v>157379.20000000001</v>
      </c>
    </row>
    <row r="281" spans="1:22" x14ac:dyDescent="0.25">
      <c r="A281" t="s">
        <v>2698</v>
      </c>
      <c r="B281" t="s">
        <v>2699</v>
      </c>
      <c r="C281">
        <v>99</v>
      </c>
      <c r="D281">
        <v>99</v>
      </c>
      <c r="E281">
        <v>99</v>
      </c>
      <c r="F281" t="s">
        <v>2701</v>
      </c>
      <c r="G281" t="s">
        <v>2701</v>
      </c>
      <c r="H281">
        <f t="shared" si="7"/>
        <v>13</v>
      </c>
      <c r="L281" t="s">
        <v>377</v>
      </c>
      <c r="M281" s="1">
        <v>9.37353004701436E-4</v>
      </c>
      <c r="N281">
        <v>1254.64404296875</v>
      </c>
      <c r="O281">
        <v>628.32929999999897</v>
      </c>
      <c r="P281">
        <v>1254.64306640625</v>
      </c>
      <c r="Q281">
        <v>628.32879638671795</v>
      </c>
      <c r="R281">
        <v>2</v>
      </c>
      <c r="S281">
        <v>1</v>
      </c>
      <c r="T281">
        <v>10</v>
      </c>
      <c r="U281">
        <v>35.507510000000003</v>
      </c>
      <c r="V281">
        <v>684950.4</v>
      </c>
    </row>
    <row r="282" spans="1:22" x14ac:dyDescent="0.25">
      <c r="A282" t="s">
        <v>2698</v>
      </c>
      <c r="B282" t="s">
        <v>2699</v>
      </c>
      <c r="C282">
        <v>95</v>
      </c>
      <c r="D282">
        <v>98.6</v>
      </c>
      <c r="E282">
        <v>98.62</v>
      </c>
      <c r="F282" t="s">
        <v>2702</v>
      </c>
      <c r="G282" t="s">
        <v>2702</v>
      </c>
      <c r="H282">
        <f t="shared" si="7"/>
        <v>14</v>
      </c>
      <c r="L282" t="s">
        <v>253</v>
      </c>
      <c r="M282" s="1">
        <v>-3.6461700219661002E-3</v>
      </c>
      <c r="N282">
        <v>1164.67651367188</v>
      </c>
      <c r="O282">
        <v>583.34550000000002</v>
      </c>
      <c r="P282">
        <v>1164.68017578125</v>
      </c>
      <c r="Q282">
        <v>583.34735107421795</v>
      </c>
      <c r="R282">
        <v>2</v>
      </c>
      <c r="S282">
        <v>1</v>
      </c>
      <c r="T282">
        <v>12</v>
      </c>
      <c r="U282">
        <v>18.0816699999999</v>
      </c>
      <c r="V282">
        <v>5413099</v>
      </c>
    </row>
    <row r="283" spans="1:22" x14ac:dyDescent="0.25">
      <c r="A283" t="s">
        <v>2291</v>
      </c>
      <c r="B283" t="s">
        <v>2292</v>
      </c>
      <c r="C283">
        <v>69</v>
      </c>
      <c r="D283">
        <v>99</v>
      </c>
      <c r="E283">
        <v>99</v>
      </c>
      <c r="F283" t="s">
        <v>2293</v>
      </c>
      <c r="G283" t="s">
        <v>2293</v>
      </c>
      <c r="H283">
        <f t="shared" si="7"/>
        <v>16</v>
      </c>
      <c r="M283" s="1">
        <v>3.71859001461416E-4</v>
      </c>
      <c r="N283">
        <v>1014.56146240234</v>
      </c>
      <c r="O283">
        <v>508.28800000000001</v>
      </c>
      <c r="P283">
        <v>1014.56103515625</v>
      </c>
      <c r="Q283">
        <v>508.28781127929602</v>
      </c>
      <c r="R283">
        <v>2</v>
      </c>
      <c r="S283">
        <v>1</v>
      </c>
      <c r="T283">
        <v>13</v>
      </c>
      <c r="U283">
        <v>29.6148799999999</v>
      </c>
      <c r="V283">
        <v>2197712</v>
      </c>
    </row>
    <row r="284" spans="1:22" x14ac:dyDescent="0.25">
      <c r="A284" t="s">
        <v>2291</v>
      </c>
      <c r="B284" t="s">
        <v>2292</v>
      </c>
      <c r="C284">
        <v>68</v>
      </c>
      <c r="D284">
        <v>99</v>
      </c>
      <c r="E284">
        <v>99</v>
      </c>
      <c r="F284" t="s">
        <v>2294</v>
      </c>
      <c r="G284" t="s">
        <v>2294</v>
      </c>
      <c r="H284">
        <f t="shared" si="7"/>
        <v>17</v>
      </c>
      <c r="M284" s="1">
        <v>-3.0186499934643399E-3</v>
      </c>
      <c r="N284">
        <v>1088.58093261719</v>
      </c>
      <c r="O284">
        <v>545.29769999999905</v>
      </c>
      <c r="P284">
        <v>1088.583984375</v>
      </c>
      <c r="Q284">
        <v>545.29925537109295</v>
      </c>
      <c r="R284">
        <v>2</v>
      </c>
      <c r="S284">
        <v>5</v>
      </c>
      <c r="T284">
        <v>13</v>
      </c>
      <c r="U284">
        <v>19.382069999999899</v>
      </c>
      <c r="V284">
        <v>2744826</v>
      </c>
    </row>
    <row r="285" spans="1:22" x14ac:dyDescent="0.25">
      <c r="A285" t="s">
        <v>4305</v>
      </c>
      <c r="B285" t="s">
        <v>4306</v>
      </c>
      <c r="C285">
        <v>18</v>
      </c>
      <c r="D285">
        <v>98.7</v>
      </c>
      <c r="E285">
        <v>98.7</v>
      </c>
      <c r="F285" t="s">
        <v>4307</v>
      </c>
      <c r="G285" t="s">
        <v>4307</v>
      </c>
      <c r="H285">
        <f t="shared" si="7"/>
        <v>9</v>
      </c>
      <c r="M285" s="1">
        <v>-1.6758800484240101E-3</v>
      </c>
      <c r="N285">
        <v>1088.58227539063</v>
      </c>
      <c r="O285">
        <v>545.29840000000002</v>
      </c>
      <c r="P285">
        <v>1088.583984375</v>
      </c>
      <c r="Q285">
        <v>545.29925537109295</v>
      </c>
      <c r="R285">
        <v>2</v>
      </c>
      <c r="S285">
        <v>4</v>
      </c>
      <c r="T285">
        <v>12</v>
      </c>
      <c r="U285">
        <v>19.36983</v>
      </c>
      <c r="V285">
        <v>1286185</v>
      </c>
    </row>
    <row r="286" spans="1:22" x14ac:dyDescent="0.25">
      <c r="A286" t="s">
        <v>1929</v>
      </c>
      <c r="B286" t="s">
        <v>1930</v>
      </c>
      <c r="C286">
        <v>152</v>
      </c>
      <c r="D286">
        <v>99</v>
      </c>
      <c r="E286">
        <v>99</v>
      </c>
      <c r="F286" t="s">
        <v>1931</v>
      </c>
      <c r="G286" t="s">
        <v>1931</v>
      </c>
      <c r="H286">
        <f t="shared" si="7"/>
        <v>16</v>
      </c>
      <c r="M286" s="1">
        <v>1.02348998188972E-3</v>
      </c>
      <c r="N286">
        <v>1050.61962890625</v>
      </c>
      <c r="O286">
        <v>526.31709999999896</v>
      </c>
      <c r="P286">
        <v>1050.61853027344</v>
      </c>
      <c r="Q286">
        <v>526.31658935546795</v>
      </c>
      <c r="R286">
        <v>2</v>
      </c>
      <c r="S286">
        <v>6</v>
      </c>
      <c r="T286">
        <v>13</v>
      </c>
      <c r="U286">
        <v>41.7667199999999</v>
      </c>
      <c r="V286">
        <v>2115202</v>
      </c>
    </row>
    <row r="287" spans="1:22" x14ac:dyDescent="0.25">
      <c r="A287" t="s">
        <v>1929</v>
      </c>
      <c r="B287" t="s">
        <v>1930</v>
      </c>
      <c r="C287">
        <v>333</v>
      </c>
      <c r="D287">
        <v>97.5</v>
      </c>
      <c r="E287">
        <v>97.53</v>
      </c>
      <c r="F287" t="s">
        <v>1932</v>
      </c>
      <c r="G287" t="s">
        <v>1932</v>
      </c>
      <c r="H287">
        <f t="shared" si="7"/>
        <v>9</v>
      </c>
      <c r="M287">
        <v>4.6379999999999998E-3</v>
      </c>
      <c r="N287">
        <v>1813.95556640625</v>
      </c>
      <c r="O287">
        <v>605.65909999999894</v>
      </c>
      <c r="P287">
        <v>1813.95092773438</v>
      </c>
      <c r="Q287">
        <v>605.65759277343705</v>
      </c>
      <c r="R287">
        <v>3</v>
      </c>
      <c r="S287">
        <v>1</v>
      </c>
      <c r="T287">
        <v>16</v>
      </c>
      <c r="U287">
        <v>33.4798499999999</v>
      </c>
      <c r="V287">
        <v>262575.09999999899</v>
      </c>
    </row>
    <row r="288" spans="1:22" x14ac:dyDescent="0.25">
      <c r="A288" t="s">
        <v>1929</v>
      </c>
      <c r="B288" t="s">
        <v>1930</v>
      </c>
      <c r="C288">
        <v>152</v>
      </c>
      <c r="D288">
        <v>99</v>
      </c>
      <c r="E288">
        <v>99</v>
      </c>
      <c r="F288" t="s">
        <v>1933</v>
      </c>
      <c r="G288" t="s">
        <v>1933</v>
      </c>
      <c r="H288">
        <f t="shared" si="7"/>
        <v>15</v>
      </c>
      <c r="M288" s="1">
        <v>7.9340301454067091E-3</v>
      </c>
      <c r="N288">
        <v>1813.95886230469</v>
      </c>
      <c r="O288">
        <v>605.66020000000003</v>
      </c>
      <c r="P288">
        <v>1813.95092773438</v>
      </c>
      <c r="Q288">
        <v>605.65759277343705</v>
      </c>
      <c r="R288">
        <v>3</v>
      </c>
      <c r="S288">
        <v>1</v>
      </c>
      <c r="T288">
        <v>13</v>
      </c>
      <c r="U288">
        <v>33.4848</v>
      </c>
      <c r="V288">
        <v>204104</v>
      </c>
    </row>
    <row r="289" spans="1:22" x14ac:dyDescent="0.25">
      <c r="A289" t="s">
        <v>2536</v>
      </c>
      <c r="B289" t="s">
        <v>2537</v>
      </c>
      <c r="C289">
        <v>45</v>
      </c>
      <c r="D289">
        <v>99</v>
      </c>
      <c r="E289">
        <v>98.97</v>
      </c>
      <c r="F289" t="s">
        <v>2538</v>
      </c>
      <c r="G289" t="s">
        <v>2538</v>
      </c>
      <c r="H289">
        <f t="shared" si="7"/>
        <v>9</v>
      </c>
      <c r="M289" s="1">
        <v>-2.2416699212044399E-3</v>
      </c>
      <c r="N289">
        <v>1449.75671386719</v>
      </c>
      <c r="O289">
        <v>725.88559999999904</v>
      </c>
      <c r="P289">
        <v>1449.75891113281</v>
      </c>
      <c r="Q289">
        <v>725.88671875</v>
      </c>
      <c r="R289">
        <v>2</v>
      </c>
      <c r="S289">
        <v>3</v>
      </c>
      <c r="T289">
        <v>14</v>
      </c>
      <c r="U289">
        <v>21.3371</v>
      </c>
      <c r="V289">
        <v>434952.8</v>
      </c>
    </row>
    <row r="290" spans="1:22" x14ac:dyDescent="0.25">
      <c r="A290" t="s">
        <v>2759</v>
      </c>
      <c r="B290" t="s">
        <v>2760</v>
      </c>
      <c r="C290">
        <v>22</v>
      </c>
      <c r="D290">
        <v>99</v>
      </c>
      <c r="E290">
        <v>99</v>
      </c>
      <c r="F290" t="s">
        <v>2761</v>
      </c>
      <c r="G290" t="s">
        <v>2761</v>
      </c>
      <c r="H290">
        <f t="shared" si="7"/>
        <v>9</v>
      </c>
      <c r="M290">
        <v>-2.5600000000000002E-3</v>
      </c>
      <c r="N290">
        <v>1449.75634765625</v>
      </c>
      <c r="O290">
        <v>484.25940000000003</v>
      </c>
      <c r="P290">
        <v>1449.75891113281</v>
      </c>
      <c r="Q290">
        <v>484.26025390625</v>
      </c>
      <c r="R290">
        <v>3</v>
      </c>
      <c r="S290">
        <v>2</v>
      </c>
      <c r="T290">
        <v>13</v>
      </c>
      <c r="U290">
        <v>21.344650000000001</v>
      </c>
      <c r="V290">
        <v>822530.7</v>
      </c>
    </row>
    <row r="291" spans="1:22" x14ac:dyDescent="0.25">
      <c r="A291" t="s">
        <v>3273</v>
      </c>
      <c r="B291" t="s">
        <v>3274</v>
      </c>
      <c r="C291">
        <v>319</v>
      </c>
      <c r="D291">
        <v>99</v>
      </c>
      <c r="E291">
        <v>99</v>
      </c>
      <c r="F291" t="s">
        <v>3275</v>
      </c>
      <c r="G291" t="s">
        <v>3275</v>
      </c>
      <c r="H291">
        <f t="shared" si="7"/>
        <v>14</v>
      </c>
      <c r="M291" s="1">
        <v>1.1250000447034701E-2</v>
      </c>
      <c r="N291">
        <v>2038.98950195313</v>
      </c>
      <c r="O291">
        <v>1020.502</v>
      </c>
      <c r="P291">
        <v>2038.97827148438</v>
      </c>
      <c r="Q291">
        <v>1020.49639892578</v>
      </c>
      <c r="R291">
        <v>2</v>
      </c>
      <c r="S291">
        <v>1</v>
      </c>
      <c r="T291">
        <v>10</v>
      </c>
      <c r="U291">
        <v>46.527830000000002</v>
      </c>
      <c r="V291">
        <v>179208.7</v>
      </c>
    </row>
    <row r="292" spans="1:22" x14ac:dyDescent="0.25">
      <c r="A292" t="s">
        <v>3273</v>
      </c>
      <c r="B292" t="s">
        <v>3274</v>
      </c>
      <c r="C292">
        <v>1</v>
      </c>
      <c r="D292">
        <v>98.3</v>
      </c>
      <c r="E292">
        <v>98.25</v>
      </c>
      <c r="F292" t="s">
        <v>3276</v>
      </c>
      <c r="G292" t="s">
        <v>3276</v>
      </c>
      <c r="H292">
        <f t="shared" si="7"/>
        <v>12</v>
      </c>
      <c r="L292" t="s">
        <v>227</v>
      </c>
      <c r="M292" s="1">
        <v>5.6017502211034203E-3</v>
      </c>
      <c r="N292">
        <v>1547.720703125</v>
      </c>
      <c r="O292">
        <v>774.86760000000004</v>
      </c>
      <c r="P292">
        <v>1547.71508789063</v>
      </c>
      <c r="Q292">
        <v>774.86480712890602</v>
      </c>
      <c r="R292">
        <v>2</v>
      </c>
      <c r="S292">
        <v>4</v>
      </c>
      <c r="T292">
        <v>13</v>
      </c>
      <c r="U292">
        <v>27.289470000000001</v>
      </c>
      <c r="V292">
        <v>3188680</v>
      </c>
    </row>
    <row r="293" spans="1:22" x14ac:dyDescent="0.25">
      <c r="A293" t="s">
        <v>1934</v>
      </c>
      <c r="B293" t="s">
        <v>1935</v>
      </c>
      <c r="C293">
        <v>145</v>
      </c>
      <c r="D293">
        <v>99</v>
      </c>
      <c r="E293">
        <v>99</v>
      </c>
      <c r="F293" t="s">
        <v>1936</v>
      </c>
      <c r="G293" t="s">
        <v>1936</v>
      </c>
      <c r="H293">
        <f t="shared" si="7"/>
        <v>16</v>
      </c>
      <c r="M293" s="1">
        <v>1.1250000447034701E-2</v>
      </c>
      <c r="N293">
        <v>2038.98950195313</v>
      </c>
      <c r="O293">
        <v>1020.502</v>
      </c>
      <c r="P293">
        <v>2038.97827148438</v>
      </c>
      <c r="Q293">
        <v>1020.49639892578</v>
      </c>
      <c r="R293">
        <v>2</v>
      </c>
      <c r="S293">
        <v>1</v>
      </c>
      <c r="T293">
        <v>12</v>
      </c>
      <c r="U293">
        <v>46.5197</v>
      </c>
      <c r="V293">
        <v>242017.4</v>
      </c>
    </row>
    <row r="294" spans="1:22" x14ac:dyDescent="0.25">
      <c r="A294" t="s">
        <v>1934</v>
      </c>
      <c r="B294" t="s">
        <v>1935</v>
      </c>
      <c r="C294">
        <v>145</v>
      </c>
      <c r="D294">
        <v>98.6</v>
      </c>
      <c r="E294">
        <v>98.55</v>
      </c>
      <c r="F294" t="s">
        <v>1937</v>
      </c>
      <c r="G294" t="s">
        <v>1937</v>
      </c>
      <c r="H294">
        <f t="shared" si="7"/>
        <v>17</v>
      </c>
      <c r="M294" s="1">
        <v>1.01180002093315E-2</v>
      </c>
      <c r="N294">
        <v>1741.89697265625</v>
      </c>
      <c r="O294">
        <v>581.63959999999895</v>
      </c>
      <c r="P294">
        <v>1741.88684082031</v>
      </c>
      <c r="Q294">
        <v>581.63623046875</v>
      </c>
      <c r="R294">
        <v>3</v>
      </c>
      <c r="S294">
        <v>4</v>
      </c>
      <c r="T294">
        <v>12</v>
      </c>
      <c r="U294">
        <v>55.122399999999899</v>
      </c>
      <c r="V294">
        <v>45844.15</v>
      </c>
    </row>
    <row r="295" spans="1:22" x14ac:dyDescent="0.25">
      <c r="A295" t="s">
        <v>1828</v>
      </c>
      <c r="B295" t="s">
        <v>1829</v>
      </c>
      <c r="C295">
        <v>448</v>
      </c>
      <c r="D295">
        <v>99</v>
      </c>
      <c r="E295">
        <v>99</v>
      </c>
      <c r="F295" t="s">
        <v>1830</v>
      </c>
      <c r="G295" t="s">
        <v>1830</v>
      </c>
      <c r="H295">
        <f t="shared" si="7"/>
        <v>15</v>
      </c>
      <c r="M295" s="1">
        <v>6.63900002837181E-3</v>
      </c>
      <c r="N295">
        <v>1741.89343261719</v>
      </c>
      <c r="O295">
        <v>581.63840000000005</v>
      </c>
      <c r="P295">
        <v>1741.88684082031</v>
      </c>
      <c r="Q295">
        <v>581.63623046875</v>
      </c>
      <c r="R295">
        <v>3</v>
      </c>
      <c r="S295">
        <v>1</v>
      </c>
      <c r="T295">
        <v>12</v>
      </c>
      <c r="U295">
        <v>55.114579999999897</v>
      </c>
      <c r="V295">
        <v>64919.24</v>
      </c>
    </row>
    <row r="296" spans="1:22" x14ac:dyDescent="0.25">
      <c r="A296" t="s">
        <v>1828</v>
      </c>
      <c r="B296" t="s">
        <v>1829</v>
      </c>
      <c r="C296">
        <v>1618</v>
      </c>
      <c r="D296">
        <v>99</v>
      </c>
      <c r="E296">
        <v>99</v>
      </c>
      <c r="F296" t="s">
        <v>1831</v>
      </c>
      <c r="G296" t="s">
        <v>1831</v>
      </c>
      <c r="H296">
        <f t="shared" si="7"/>
        <v>13</v>
      </c>
      <c r="M296" s="1">
        <v>1.19754998013376E-3</v>
      </c>
      <c r="N296">
        <v>1592.68811035156</v>
      </c>
      <c r="O296">
        <v>797.35130000000004</v>
      </c>
      <c r="P296">
        <v>1592.68688964844</v>
      </c>
      <c r="Q296">
        <v>797.35070800781205</v>
      </c>
      <c r="R296">
        <v>2</v>
      </c>
      <c r="S296">
        <v>2</v>
      </c>
      <c r="T296">
        <v>15</v>
      </c>
      <c r="U296">
        <v>22.8756799999999</v>
      </c>
      <c r="V296">
        <v>224008</v>
      </c>
    </row>
    <row r="297" spans="1:22" x14ac:dyDescent="0.25">
      <c r="A297" t="s">
        <v>1828</v>
      </c>
      <c r="B297" t="s">
        <v>1829</v>
      </c>
      <c r="C297">
        <v>1618</v>
      </c>
      <c r="D297">
        <v>98.5</v>
      </c>
      <c r="E297">
        <v>98.5</v>
      </c>
      <c r="F297" t="s">
        <v>1832</v>
      </c>
      <c r="G297" t="s">
        <v>1832</v>
      </c>
      <c r="H297">
        <f t="shared" si="7"/>
        <v>14</v>
      </c>
      <c r="M297" s="1">
        <v>-1.48800003807992E-3</v>
      </c>
      <c r="N297">
        <v>1592.68542480469</v>
      </c>
      <c r="O297">
        <v>797.35</v>
      </c>
      <c r="P297">
        <v>1592.68688964844</v>
      </c>
      <c r="Q297">
        <v>797.35070800781205</v>
      </c>
      <c r="R297">
        <v>2</v>
      </c>
      <c r="S297">
        <v>2</v>
      </c>
      <c r="T297">
        <v>15</v>
      </c>
      <c r="U297">
        <v>22.774529999999899</v>
      </c>
      <c r="V297">
        <v>361784.1</v>
      </c>
    </row>
    <row r="298" spans="1:22" x14ac:dyDescent="0.25">
      <c r="A298" t="s">
        <v>1828</v>
      </c>
      <c r="B298" t="s">
        <v>1829</v>
      </c>
      <c r="C298">
        <v>1617</v>
      </c>
      <c r="D298">
        <v>99</v>
      </c>
      <c r="E298">
        <v>99</v>
      </c>
      <c r="F298" t="s">
        <v>1833</v>
      </c>
      <c r="G298" t="s">
        <v>1833</v>
      </c>
      <c r="H298">
        <f t="shared" si="7"/>
        <v>15</v>
      </c>
      <c r="M298" s="1">
        <v>-1.40637997537851E-2</v>
      </c>
      <c r="N298">
        <v>1246.74816894531</v>
      </c>
      <c r="O298">
        <v>416.59</v>
      </c>
      <c r="P298">
        <v>1246.76220703125</v>
      </c>
      <c r="Q298">
        <v>416.59469604492102</v>
      </c>
      <c r="R298">
        <v>3</v>
      </c>
      <c r="S298">
        <v>1</v>
      </c>
      <c r="T298">
        <v>11</v>
      </c>
      <c r="U298">
        <v>19.211569999999899</v>
      </c>
      <c r="V298">
        <v>631106.30000000005</v>
      </c>
    </row>
    <row r="299" spans="1:22" x14ac:dyDescent="0.25">
      <c r="A299" t="s">
        <v>2498</v>
      </c>
      <c r="B299" t="s">
        <v>2499</v>
      </c>
      <c r="C299">
        <v>113</v>
      </c>
      <c r="D299">
        <v>99</v>
      </c>
      <c r="E299">
        <v>99</v>
      </c>
      <c r="F299" t="s">
        <v>2500</v>
      </c>
      <c r="G299" t="s">
        <v>2500</v>
      </c>
      <c r="H299">
        <f t="shared" si="7"/>
        <v>16</v>
      </c>
      <c r="M299" s="1">
        <v>-3.2605999149382101E-3</v>
      </c>
      <c r="N299">
        <v>1246.75891113281</v>
      </c>
      <c r="O299">
        <v>416.59359999999901</v>
      </c>
      <c r="P299">
        <v>1246.76220703125</v>
      </c>
      <c r="Q299">
        <v>416.59469604492102</v>
      </c>
      <c r="R299">
        <v>3</v>
      </c>
      <c r="S299">
        <v>1</v>
      </c>
      <c r="T299">
        <v>12</v>
      </c>
      <c r="U299">
        <v>19.018470000000001</v>
      </c>
      <c r="V299">
        <v>580312.19999999902</v>
      </c>
    </row>
    <row r="300" spans="1:22" x14ac:dyDescent="0.25">
      <c r="A300" t="s">
        <v>2498</v>
      </c>
      <c r="B300" t="s">
        <v>2499</v>
      </c>
      <c r="C300">
        <v>113</v>
      </c>
      <c r="D300">
        <v>99</v>
      </c>
      <c r="E300">
        <v>99</v>
      </c>
      <c r="F300" t="s">
        <v>2500</v>
      </c>
      <c r="G300" t="s">
        <v>2500</v>
      </c>
      <c r="H300">
        <f t="shared" si="7"/>
        <v>16</v>
      </c>
      <c r="L300" t="s">
        <v>87</v>
      </c>
      <c r="M300">
        <v>3.6619999999999999E-3</v>
      </c>
      <c r="N300">
        <v>1162.64233398438</v>
      </c>
      <c r="O300">
        <v>582.32839999999896</v>
      </c>
      <c r="P300">
        <v>1162.638671875</v>
      </c>
      <c r="Q300">
        <v>582.32659912109295</v>
      </c>
      <c r="R300">
        <v>2</v>
      </c>
      <c r="S300">
        <v>1</v>
      </c>
      <c r="T300">
        <v>11</v>
      </c>
      <c r="U300">
        <v>47.236179999999898</v>
      </c>
      <c r="V300">
        <v>172617.8</v>
      </c>
    </row>
    <row r="301" spans="1:22" x14ac:dyDescent="0.25">
      <c r="A301" t="s">
        <v>4672</v>
      </c>
      <c r="B301" t="s">
        <v>4673</v>
      </c>
      <c r="C301">
        <v>1242</v>
      </c>
      <c r="D301">
        <v>99</v>
      </c>
      <c r="E301">
        <v>99</v>
      </c>
      <c r="F301" t="s">
        <v>4674</v>
      </c>
      <c r="G301" t="s">
        <v>4674</v>
      </c>
      <c r="H301">
        <f t="shared" si="7"/>
        <v>9</v>
      </c>
      <c r="M301" s="1">
        <v>1.4728399692103199E-3</v>
      </c>
      <c r="N301">
        <v>1114.63024902344</v>
      </c>
      <c r="O301">
        <v>558.32240000000002</v>
      </c>
      <c r="P301">
        <v>1114.62878417969</v>
      </c>
      <c r="Q301">
        <v>558.32165527343705</v>
      </c>
      <c r="R301">
        <v>2</v>
      </c>
      <c r="S301">
        <v>8</v>
      </c>
      <c r="T301">
        <v>10</v>
      </c>
      <c r="U301">
        <v>42.229120000000002</v>
      </c>
      <c r="V301">
        <v>977611.9</v>
      </c>
    </row>
    <row r="302" spans="1:22" x14ac:dyDescent="0.25">
      <c r="A302" t="s">
        <v>2561</v>
      </c>
      <c r="B302" t="s">
        <v>2562</v>
      </c>
      <c r="C302">
        <v>508</v>
      </c>
      <c r="D302">
        <v>98.8</v>
      </c>
      <c r="E302">
        <v>98.78</v>
      </c>
      <c r="F302" t="s">
        <v>2563</v>
      </c>
      <c r="G302" t="s">
        <v>2563</v>
      </c>
      <c r="H302">
        <f t="shared" si="7"/>
        <v>14</v>
      </c>
      <c r="M302">
        <v>1.351E-3</v>
      </c>
      <c r="N302">
        <v>1114.63012695313</v>
      </c>
      <c r="O302">
        <v>558.32230000000004</v>
      </c>
      <c r="P302">
        <v>1114.62878417969</v>
      </c>
      <c r="Q302">
        <v>558.32165527343705</v>
      </c>
      <c r="R302">
        <v>2</v>
      </c>
      <c r="S302">
        <v>7</v>
      </c>
      <c r="T302">
        <v>11</v>
      </c>
      <c r="U302">
        <v>41.936369999999897</v>
      </c>
      <c r="V302">
        <v>3037876</v>
      </c>
    </row>
    <row r="303" spans="1:22" x14ac:dyDescent="0.25">
      <c r="A303" t="s">
        <v>2561</v>
      </c>
      <c r="B303" t="s">
        <v>2562</v>
      </c>
      <c r="C303">
        <v>481</v>
      </c>
      <c r="D303">
        <v>97.4</v>
      </c>
      <c r="E303">
        <v>97.44</v>
      </c>
      <c r="F303" t="s">
        <v>2564</v>
      </c>
      <c r="G303" t="s">
        <v>2564</v>
      </c>
      <c r="H303">
        <f t="shared" si="7"/>
        <v>9</v>
      </c>
      <c r="M303" s="1">
        <v>-2.62946006841958E-3</v>
      </c>
      <c r="N303">
        <v>1107.68505859375</v>
      </c>
      <c r="O303">
        <v>554.84979999999905</v>
      </c>
      <c r="P303">
        <v>1107.68762207031</v>
      </c>
      <c r="Q303">
        <v>554.85113525390602</v>
      </c>
      <c r="R303">
        <v>2</v>
      </c>
      <c r="S303">
        <v>5</v>
      </c>
      <c r="T303">
        <v>13</v>
      </c>
      <c r="U303">
        <v>18.61487</v>
      </c>
      <c r="V303">
        <v>960938.8</v>
      </c>
    </row>
    <row r="304" spans="1:22" x14ac:dyDescent="0.25">
      <c r="A304" t="s">
        <v>372</v>
      </c>
      <c r="B304" t="s">
        <v>373</v>
      </c>
      <c r="C304">
        <v>311</v>
      </c>
      <c r="D304">
        <v>99</v>
      </c>
      <c r="E304">
        <v>99</v>
      </c>
      <c r="F304" t="s">
        <v>371</v>
      </c>
      <c r="G304" t="s">
        <v>371</v>
      </c>
      <c r="H304">
        <f t="shared" si="7"/>
        <v>9</v>
      </c>
      <c r="M304" s="1">
        <v>-3.2398100011050701E-3</v>
      </c>
      <c r="N304">
        <v>1107.68444824219</v>
      </c>
      <c r="O304">
        <v>554.84950000000003</v>
      </c>
      <c r="P304">
        <v>1107.68762207031</v>
      </c>
      <c r="Q304">
        <v>554.85113525390602</v>
      </c>
      <c r="R304">
        <v>2</v>
      </c>
      <c r="S304">
        <v>5</v>
      </c>
      <c r="T304">
        <v>14</v>
      </c>
      <c r="U304">
        <v>18.502980000000001</v>
      </c>
      <c r="V304">
        <v>1560464</v>
      </c>
    </row>
    <row r="305" spans="1:22" x14ac:dyDescent="0.25">
      <c r="A305" t="s">
        <v>372</v>
      </c>
      <c r="B305" t="s">
        <v>373</v>
      </c>
      <c r="C305">
        <v>311</v>
      </c>
      <c r="D305">
        <v>99</v>
      </c>
      <c r="E305">
        <v>99</v>
      </c>
      <c r="F305" t="s">
        <v>371</v>
      </c>
      <c r="G305" t="s">
        <v>371</v>
      </c>
      <c r="H305">
        <f t="shared" si="7"/>
        <v>9</v>
      </c>
      <c r="L305" t="s">
        <v>47</v>
      </c>
      <c r="M305" s="1">
        <v>5.1983301527798202E-3</v>
      </c>
      <c r="N305">
        <v>1732.77136230469</v>
      </c>
      <c r="O305">
        <v>578.59770000000003</v>
      </c>
      <c r="P305">
        <v>1732.76611328125</v>
      </c>
      <c r="Q305">
        <v>578.59600830078102</v>
      </c>
      <c r="R305">
        <v>3</v>
      </c>
      <c r="S305">
        <v>1</v>
      </c>
      <c r="T305">
        <v>13</v>
      </c>
      <c r="U305">
        <v>24.83822</v>
      </c>
      <c r="V305">
        <v>356306.7</v>
      </c>
    </row>
    <row r="306" spans="1:22" x14ac:dyDescent="0.25">
      <c r="A306" t="s">
        <v>4195</v>
      </c>
      <c r="B306" t="s">
        <v>4196</v>
      </c>
      <c r="C306">
        <v>121</v>
      </c>
      <c r="D306">
        <v>99</v>
      </c>
      <c r="E306">
        <v>99</v>
      </c>
      <c r="F306" t="s">
        <v>4197</v>
      </c>
      <c r="G306" t="s">
        <v>4197</v>
      </c>
      <c r="H306">
        <f t="shared" si="7"/>
        <v>17</v>
      </c>
      <c r="M306" s="1">
        <v>-2.4926499463617802E-3</v>
      </c>
      <c r="N306">
        <v>1025.55932617188</v>
      </c>
      <c r="O306">
        <v>513.78689999999904</v>
      </c>
      <c r="P306">
        <v>1025.56176757813</v>
      </c>
      <c r="Q306">
        <v>513.78814697265602</v>
      </c>
      <c r="R306">
        <v>2</v>
      </c>
      <c r="S306">
        <v>2</v>
      </c>
      <c r="T306">
        <v>12</v>
      </c>
      <c r="U306">
        <v>19.836970000000001</v>
      </c>
      <c r="V306">
        <v>552275.1</v>
      </c>
    </row>
    <row r="307" spans="1:22" x14ac:dyDescent="0.25">
      <c r="A307" t="s">
        <v>4350</v>
      </c>
      <c r="B307" t="s">
        <v>4351</v>
      </c>
      <c r="C307">
        <v>126</v>
      </c>
      <c r="D307">
        <v>99</v>
      </c>
      <c r="E307">
        <v>99</v>
      </c>
      <c r="F307" t="s">
        <v>4352</v>
      </c>
      <c r="G307" t="s">
        <v>4352</v>
      </c>
      <c r="H307">
        <f t="shared" si="7"/>
        <v>13</v>
      </c>
      <c r="M307">
        <v>-5.9400000000000002E-4</v>
      </c>
      <c r="N307">
        <v>1138.56262207031</v>
      </c>
      <c r="O307">
        <v>570.28859999999895</v>
      </c>
      <c r="P307">
        <v>1138.56323242188</v>
      </c>
      <c r="Q307">
        <v>570.28887939453102</v>
      </c>
      <c r="R307">
        <v>2</v>
      </c>
      <c r="S307">
        <v>10</v>
      </c>
      <c r="T307">
        <v>12</v>
      </c>
      <c r="U307">
        <v>20.30142</v>
      </c>
      <c r="V307">
        <v>11292350</v>
      </c>
    </row>
    <row r="308" spans="1:22" x14ac:dyDescent="0.25">
      <c r="A308" t="s">
        <v>4350</v>
      </c>
      <c r="B308" t="s">
        <v>4351</v>
      </c>
      <c r="C308">
        <v>126</v>
      </c>
      <c r="D308">
        <v>99</v>
      </c>
      <c r="E308">
        <v>99</v>
      </c>
      <c r="F308" t="s">
        <v>4353</v>
      </c>
      <c r="G308" t="s">
        <v>4353</v>
      </c>
      <c r="H308">
        <f t="shared" si="7"/>
        <v>14</v>
      </c>
      <c r="M308" s="1">
        <v>-5.1942002028226798E-4</v>
      </c>
      <c r="N308">
        <v>1138.56262207031</v>
      </c>
      <c r="O308">
        <v>1139.57</v>
      </c>
      <c r="P308">
        <v>1138.56323242188</v>
      </c>
      <c r="Q308">
        <v>1139.57043457031</v>
      </c>
      <c r="R308">
        <v>1</v>
      </c>
      <c r="S308">
        <v>7</v>
      </c>
      <c r="T308">
        <v>12</v>
      </c>
      <c r="U308">
        <v>20.269480000000001</v>
      </c>
      <c r="V308">
        <v>2011315</v>
      </c>
    </row>
    <row r="309" spans="1:22" x14ac:dyDescent="0.25">
      <c r="A309" t="s">
        <v>4350</v>
      </c>
      <c r="B309" t="s">
        <v>4351</v>
      </c>
      <c r="C309">
        <v>121</v>
      </c>
      <c r="D309">
        <v>99</v>
      </c>
      <c r="E309">
        <v>99</v>
      </c>
      <c r="F309" t="s">
        <v>4354</v>
      </c>
      <c r="G309" t="s">
        <v>4354</v>
      </c>
      <c r="H309">
        <f t="shared" si="7"/>
        <v>18</v>
      </c>
      <c r="M309" s="1">
        <v>2.0267500076443E-3</v>
      </c>
      <c r="N309">
        <v>1181.62268066406</v>
      </c>
      <c r="O309">
        <v>394.88150000000002</v>
      </c>
      <c r="P309">
        <v>1181.62060546875</v>
      </c>
      <c r="Q309">
        <v>394.88082885742102</v>
      </c>
      <c r="R309">
        <v>3</v>
      </c>
      <c r="S309">
        <v>1</v>
      </c>
      <c r="T309">
        <v>11</v>
      </c>
      <c r="U309">
        <v>22.55283</v>
      </c>
      <c r="V309">
        <v>249062.2</v>
      </c>
    </row>
    <row r="310" spans="1:22" x14ac:dyDescent="0.25">
      <c r="A310" t="s">
        <v>4350</v>
      </c>
      <c r="B310" t="s">
        <v>4351</v>
      </c>
      <c r="C310">
        <v>121</v>
      </c>
      <c r="D310">
        <v>99</v>
      </c>
      <c r="E310">
        <v>99</v>
      </c>
      <c r="F310" t="s">
        <v>4355</v>
      </c>
      <c r="G310" t="s">
        <v>4355</v>
      </c>
      <c r="H310">
        <f t="shared" si="7"/>
        <v>19</v>
      </c>
      <c r="M310">
        <v>-7.8999999999999996E-5</v>
      </c>
      <c r="N310">
        <v>1181.62060546875</v>
      </c>
      <c r="O310">
        <v>394.88080000000002</v>
      </c>
      <c r="P310">
        <v>1181.62060546875</v>
      </c>
      <c r="Q310">
        <v>394.88082885742102</v>
      </c>
      <c r="R310">
        <v>3</v>
      </c>
      <c r="S310">
        <v>1</v>
      </c>
      <c r="T310">
        <v>11</v>
      </c>
      <c r="U310">
        <v>22.4916699999999</v>
      </c>
      <c r="V310">
        <v>838970.5</v>
      </c>
    </row>
    <row r="311" spans="1:22" x14ac:dyDescent="0.25">
      <c r="A311" t="s">
        <v>4350</v>
      </c>
      <c r="B311" t="s">
        <v>4351</v>
      </c>
      <c r="C311">
        <v>120</v>
      </c>
      <c r="D311">
        <v>99</v>
      </c>
      <c r="E311">
        <v>99</v>
      </c>
      <c r="F311" t="s">
        <v>4356</v>
      </c>
      <c r="G311" t="s">
        <v>4356</v>
      </c>
      <c r="H311">
        <f t="shared" si="7"/>
        <v>19</v>
      </c>
      <c r="M311" s="1">
        <v>8.0768298357725005E-3</v>
      </c>
      <c r="N311">
        <v>1896.9423828125</v>
      </c>
      <c r="O311">
        <v>633.32140000000004</v>
      </c>
      <c r="P311">
        <v>1896.93432617188</v>
      </c>
      <c r="Q311">
        <v>633.31872558593705</v>
      </c>
      <c r="R311">
        <v>3</v>
      </c>
      <c r="S311">
        <v>2</v>
      </c>
      <c r="T311">
        <v>10</v>
      </c>
      <c r="U311">
        <v>30.005569999999899</v>
      </c>
      <c r="V311">
        <v>300557.3</v>
      </c>
    </row>
    <row r="312" spans="1:22" x14ac:dyDescent="0.25">
      <c r="A312" t="s">
        <v>4350</v>
      </c>
      <c r="B312" t="s">
        <v>4351</v>
      </c>
      <c r="C312">
        <v>127</v>
      </c>
      <c r="D312">
        <v>99</v>
      </c>
      <c r="E312">
        <v>99</v>
      </c>
      <c r="F312" t="s">
        <v>4357</v>
      </c>
      <c r="G312" t="s">
        <v>4357</v>
      </c>
      <c r="H312">
        <f t="shared" si="7"/>
        <v>11</v>
      </c>
      <c r="M312" s="1">
        <v>9.1754598543047905E-3</v>
      </c>
      <c r="N312">
        <v>1896.94348144531</v>
      </c>
      <c r="O312">
        <v>633.32180000000005</v>
      </c>
      <c r="P312">
        <v>1896.93432617188</v>
      </c>
      <c r="Q312">
        <v>633.31872558593705</v>
      </c>
      <c r="R312">
        <v>3</v>
      </c>
      <c r="S312">
        <v>1</v>
      </c>
      <c r="T312">
        <v>9</v>
      </c>
      <c r="U312">
        <v>29.967420000000001</v>
      </c>
      <c r="V312">
        <v>154424.20000000001</v>
      </c>
    </row>
    <row r="313" spans="1:22" x14ac:dyDescent="0.25">
      <c r="A313" t="s">
        <v>4350</v>
      </c>
      <c r="B313" t="s">
        <v>4351</v>
      </c>
      <c r="C313">
        <v>127</v>
      </c>
      <c r="D313">
        <v>99</v>
      </c>
      <c r="E313">
        <v>99</v>
      </c>
      <c r="F313" t="s">
        <v>4358</v>
      </c>
      <c r="G313" t="s">
        <v>4358</v>
      </c>
      <c r="H313">
        <f t="shared" si="7"/>
        <v>12</v>
      </c>
      <c r="M313" s="1">
        <v>3.35612014168873E-4</v>
      </c>
      <c r="N313">
        <v>1238.58361816406</v>
      </c>
      <c r="O313">
        <v>620.29909999999904</v>
      </c>
      <c r="P313">
        <v>1238.58325195313</v>
      </c>
      <c r="Q313">
        <v>620.29888916015602</v>
      </c>
      <c r="R313">
        <v>2</v>
      </c>
      <c r="S313">
        <v>9</v>
      </c>
      <c r="T313">
        <v>10</v>
      </c>
      <c r="U313">
        <v>26.4960799999999</v>
      </c>
      <c r="V313">
        <v>1791466</v>
      </c>
    </row>
    <row r="314" spans="1:22" x14ac:dyDescent="0.25">
      <c r="A314" t="s">
        <v>4350</v>
      </c>
      <c r="B314" t="s">
        <v>4351</v>
      </c>
      <c r="C314">
        <v>127</v>
      </c>
      <c r="D314">
        <v>99</v>
      </c>
      <c r="E314">
        <v>99</v>
      </c>
      <c r="F314" t="s">
        <v>4359</v>
      </c>
      <c r="G314" t="s">
        <v>4359</v>
      </c>
      <c r="H314">
        <f t="shared" si="7"/>
        <v>13</v>
      </c>
      <c r="M314" s="1">
        <v>3.0211599078029299E-3</v>
      </c>
      <c r="N314">
        <v>1238.58630371094</v>
      </c>
      <c r="O314">
        <v>620.30039999999894</v>
      </c>
      <c r="P314">
        <v>1238.58325195313</v>
      </c>
      <c r="Q314">
        <v>620.29888916015602</v>
      </c>
      <c r="R314">
        <v>2</v>
      </c>
      <c r="S314">
        <v>9</v>
      </c>
      <c r="T314">
        <v>11</v>
      </c>
      <c r="U314">
        <v>26.244029999999899</v>
      </c>
      <c r="V314">
        <v>1926034</v>
      </c>
    </row>
    <row r="315" spans="1:22" x14ac:dyDescent="0.25">
      <c r="A315" t="s">
        <v>4350</v>
      </c>
      <c r="B315" t="s">
        <v>4351</v>
      </c>
      <c r="C315">
        <v>123</v>
      </c>
      <c r="D315">
        <v>99</v>
      </c>
      <c r="E315">
        <v>99</v>
      </c>
      <c r="F315" t="s">
        <v>4360</v>
      </c>
      <c r="G315" t="s">
        <v>4360</v>
      </c>
      <c r="H315">
        <f t="shared" si="7"/>
        <v>13</v>
      </c>
      <c r="M315" s="1">
        <v>-2.2210800088941999E-3</v>
      </c>
      <c r="N315">
        <v>1153.59704589844</v>
      </c>
      <c r="O315">
        <v>577.80579999999895</v>
      </c>
      <c r="P315">
        <v>1153.59924316406</v>
      </c>
      <c r="Q315">
        <v>577.806884765625</v>
      </c>
      <c r="R315">
        <v>2</v>
      </c>
      <c r="S315">
        <v>4</v>
      </c>
      <c r="T315">
        <v>13</v>
      </c>
      <c r="U315">
        <v>19.7126699999999</v>
      </c>
      <c r="V315">
        <v>1613116</v>
      </c>
    </row>
    <row r="316" spans="1:22" x14ac:dyDescent="0.25">
      <c r="A316" t="s">
        <v>4350</v>
      </c>
      <c r="B316" t="s">
        <v>4351</v>
      </c>
      <c r="C316">
        <v>123</v>
      </c>
      <c r="D316">
        <v>99</v>
      </c>
      <c r="E316">
        <v>99</v>
      </c>
      <c r="F316" t="s">
        <v>4361</v>
      </c>
      <c r="G316" t="s">
        <v>4361</v>
      </c>
      <c r="H316">
        <f t="shared" si="7"/>
        <v>15</v>
      </c>
      <c r="M316" s="1">
        <v>-3.1976399477571201E-3</v>
      </c>
      <c r="N316">
        <v>1153.59606933594</v>
      </c>
      <c r="O316">
        <v>577.80529999999897</v>
      </c>
      <c r="P316">
        <v>1153.59924316406</v>
      </c>
      <c r="Q316">
        <v>577.806884765625</v>
      </c>
      <c r="R316">
        <v>2</v>
      </c>
      <c r="S316">
        <v>3</v>
      </c>
      <c r="T316">
        <v>13</v>
      </c>
      <c r="U316">
        <v>19.702030000000001</v>
      </c>
      <c r="V316">
        <v>3596990</v>
      </c>
    </row>
    <row r="317" spans="1:22" x14ac:dyDescent="0.25">
      <c r="A317" t="s">
        <v>4350</v>
      </c>
      <c r="B317" t="s">
        <v>4351</v>
      </c>
      <c r="C317">
        <v>123</v>
      </c>
      <c r="D317">
        <v>99</v>
      </c>
      <c r="E317">
        <v>99</v>
      </c>
      <c r="F317" t="s">
        <v>4362</v>
      </c>
      <c r="G317" t="s">
        <v>4362</v>
      </c>
      <c r="H317">
        <f t="shared" si="7"/>
        <v>16</v>
      </c>
      <c r="M317" s="1">
        <v>8.4509997395798499E-4</v>
      </c>
      <c r="N317">
        <v>1165.54125976563</v>
      </c>
      <c r="O317">
        <v>583.77790000000005</v>
      </c>
      <c r="P317">
        <v>1165.54040527344</v>
      </c>
      <c r="Q317">
        <v>583.77746582031205</v>
      </c>
      <c r="R317">
        <v>2</v>
      </c>
      <c r="S317">
        <v>1</v>
      </c>
      <c r="T317">
        <v>12</v>
      </c>
      <c r="U317">
        <v>27.014579999999899</v>
      </c>
      <c r="V317">
        <v>1710820</v>
      </c>
    </row>
    <row r="318" spans="1:22" x14ac:dyDescent="0.25">
      <c r="A318" t="s">
        <v>4350</v>
      </c>
      <c r="B318" t="s">
        <v>4351</v>
      </c>
      <c r="C318">
        <v>123</v>
      </c>
      <c r="D318">
        <v>99</v>
      </c>
      <c r="E318">
        <v>99</v>
      </c>
      <c r="F318" t="s">
        <v>4363</v>
      </c>
      <c r="G318" t="s">
        <v>4363</v>
      </c>
      <c r="H318">
        <f t="shared" si="7"/>
        <v>17</v>
      </c>
      <c r="M318" s="1">
        <v>2.7982299216091498E-3</v>
      </c>
      <c r="N318">
        <v>1165.54321289063</v>
      </c>
      <c r="O318">
        <v>583.77890000000002</v>
      </c>
      <c r="P318">
        <v>1165.54040527344</v>
      </c>
      <c r="Q318">
        <v>583.77746582031205</v>
      </c>
      <c r="R318">
        <v>2</v>
      </c>
      <c r="S318">
        <v>1</v>
      </c>
      <c r="T318">
        <v>12</v>
      </c>
      <c r="U318">
        <v>26.9603</v>
      </c>
      <c r="V318">
        <v>1567992</v>
      </c>
    </row>
    <row r="319" spans="1:22" x14ac:dyDescent="0.25">
      <c r="A319" t="s">
        <v>4350</v>
      </c>
      <c r="B319" t="s">
        <v>4351</v>
      </c>
      <c r="C319">
        <v>70</v>
      </c>
      <c r="D319">
        <v>99</v>
      </c>
      <c r="E319">
        <v>99</v>
      </c>
      <c r="F319" t="s">
        <v>4364</v>
      </c>
      <c r="G319" t="s">
        <v>4364</v>
      </c>
      <c r="H319">
        <f t="shared" si="7"/>
        <v>14</v>
      </c>
      <c r="M319" s="1">
        <v>5.4180198349058602E-3</v>
      </c>
      <c r="N319">
        <v>1098.6240234375</v>
      </c>
      <c r="O319">
        <v>550.3193</v>
      </c>
      <c r="P319">
        <v>1098.61853027344</v>
      </c>
      <c r="Q319">
        <v>550.31658935546795</v>
      </c>
      <c r="R319">
        <v>2</v>
      </c>
      <c r="S319">
        <v>2</v>
      </c>
      <c r="T319">
        <v>12</v>
      </c>
      <c r="U319">
        <v>42.979819999999897</v>
      </c>
      <c r="V319">
        <v>6667970</v>
      </c>
    </row>
    <row r="320" spans="1:22" x14ac:dyDescent="0.25">
      <c r="A320" t="s">
        <v>4350</v>
      </c>
      <c r="B320" t="s">
        <v>4351</v>
      </c>
      <c r="C320">
        <v>70</v>
      </c>
      <c r="D320">
        <v>99</v>
      </c>
      <c r="E320">
        <v>99</v>
      </c>
      <c r="F320" t="s">
        <v>4365</v>
      </c>
      <c r="G320" t="s">
        <v>4365</v>
      </c>
      <c r="H320">
        <f t="shared" si="7"/>
        <v>15</v>
      </c>
      <c r="M320" s="1">
        <v>5.6621599942445703E-3</v>
      </c>
      <c r="N320">
        <v>1098.62426757813</v>
      </c>
      <c r="O320">
        <v>550.31939999999895</v>
      </c>
      <c r="P320">
        <v>1098.61853027344</v>
      </c>
      <c r="Q320">
        <v>550.31658935546795</v>
      </c>
      <c r="R320">
        <v>2</v>
      </c>
      <c r="S320">
        <v>5</v>
      </c>
      <c r="T320">
        <v>13</v>
      </c>
      <c r="U320">
        <v>42.81738</v>
      </c>
      <c r="V320">
        <v>5924337</v>
      </c>
    </row>
    <row r="321" spans="1:22" x14ac:dyDescent="0.25">
      <c r="A321" t="s">
        <v>4350</v>
      </c>
      <c r="B321" t="s">
        <v>4351</v>
      </c>
      <c r="C321">
        <v>70</v>
      </c>
      <c r="D321">
        <v>99</v>
      </c>
      <c r="E321">
        <v>99</v>
      </c>
      <c r="F321" t="s">
        <v>4366</v>
      </c>
      <c r="G321" t="s">
        <v>4366</v>
      </c>
      <c r="H321">
        <f t="shared" si="7"/>
        <v>17</v>
      </c>
      <c r="M321">
        <v>5.7000000000000003E-5</v>
      </c>
      <c r="N321">
        <v>1157.59423828125</v>
      </c>
      <c r="O321">
        <v>579.80439999999896</v>
      </c>
      <c r="P321">
        <v>1157.59411621094</v>
      </c>
      <c r="Q321">
        <v>579.80438232421795</v>
      </c>
      <c r="R321">
        <v>2</v>
      </c>
      <c r="S321">
        <v>2</v>
      </c>
      <c r="T321">
        <v>13</v>
      </c>
      <c r="U321">
        <v>25.13252</v>
      </c>
      <c r="V321">
        <v>5664876</v>
      </c>
    </row>
    <row r="322" spans="1:22" x14ac:dyDescent="0.25">
      <c r="A322" t="s">
        <v>4350</v>
      </c>
      <c r="B322" t="s">
        <v>4351</v>
      </c>
      <c r="C322">
        <v>122</v>
      </c>
      <c r="D322">
        <v>99</v>
      </c>
      <c r="E322">
        <v>99</v>
      </c>
      <c r="F322" t="s">
        <v>4367</v>
      </c>
      <c r="G322" t="s">
        <v>4367</v>
      </c>
      <c r="H322">
        <f t="shared" si="7"/>
        <v>16</v>
      </c>
      <c r="M322" s="1">
        <v>-1.65230000857264E-3</v>
      </c>
      <c r="N322">
        <v>1157.59252929688</v>
      </c>
      <c r="O322">
        <v>579.80349999999896</v>
      </c>
      <c r="P322">
        <v>1157.59411621094</v>
      </c>
      <c r="Q322">
        <v>579.80438232421795</v>
      </c>
      <c r="R322">
        <v>2</v>
      </c>
      <c r="S322">
        <v>1</v>
      </c>
      <c r="T322">
        <v>13</v>
      </c>
      <c r="U322">
        <v>25.030550000000002</v>
      </c>
      <c r="V322">
        <v>14875470</v>
      </c>
    </row>
    <row r="323" spans="1:22" x14ac:dyDescent="0.25">
      <c r="A323" t="s">
        <v>4350</v>
      </c>
      <c r="B323" t="s">
        <v>4351</v>
      </c>
      <c r="C323">
        <v>122</v>
      </c>
      <c r="D323">
        <v>99</v>
      </c>
      <c r="E323">
        <v>99</v>
      </c>
      <c r="F323" t="s">
        <v>4368</v>
      </c>
      <c r="G323" t="s">
        <v>4368</v>
      </c>
      <c r="H323">
        <f t="shared" ref="H323:H386" si="8">LEN(G323)</f>
        <v>17</v>
      </c>
      <c r="M323" s="1">
        <v>4.5178099535405601E-3</v>
      </c>
      <c r="N323">
        <v>1079.61730957031</v>
      </c>
      <c r="O323">
        <v>540.81590000000006</v>
      </c>
      <c r="P323">
        <v>1079.61279296875</v>
      </c>
      <c r="Q323">
        <v>540.81365966796795</v>
      </c>
      <c r="R323">
        <v>2</v>
      </c>
      <c r="S323">
        <v>2</v>
      </c>
      <c r="T323">
        <v>12</v>
      </c>
      <c r="U323">
        <v>29.427070000000001</v>
      </c>
      <c r="V323">
        <v>435912.8</v>
      </c>
    </row>
    <row r="324" spans="1:22" x14ac:dyDescent="0.25">
      <c r="A324" t="s">
        <v>4350</v>
      </c>
      <c r="B324" t="s">
        <v>4351</v>
      </c>
      <c r="C324">
        <v>122</v>
      </c>
      <c r="D324">
        <v>99</v>
      </c>
      <c r="E324">
        <v>99</v>
      </c>
      <c r="F324" t="s">
        <v>4369</v>
      </c>
      <c r="G324" t="s">
        <v>4369</v>
      </c>
      <c r="H324">
        <f t="shared" si="8"/>
        <v>18</v>
      </c>
      <c r="M324" s="1">
        <v>4.0295301005244203E-3</v>
      </c>
      <c r="N324">
        <v>1079.61682128906</v>
      </c>
      <c r="O324">
        <v>540.81569999999897</v>
      </c>
      <c r="P324">
        <v>1079.61279296875</v>
      </c>
      <c r="Q324">
        <v>540.81365966796795</v>
      </c>
      <c r="R324">
        <v>2</v>
      </c>
      <c r="S324">
        <v>2</v>
      </c>
      <c r="T324">
        <v>13</v>
      </c>
      <c r="U324">
        <v>29.45213</v>
      </c>
      <c r="V324">
        <v>482522.5</v>
      </c>
    </row>
    <row r="325" spans="1:22" x14ac:dyDescent="0.25">
      <c r="A325" t="s">
        <v>4350</v>
      </c>
      <c r="B325" t="s">
        <v>4351</v>
      </c>
      <c r="C325">
        <v>128</v>
      </c>
      <c r="D325">
        <v>99</v>
      </c>
      <c r="E325">
        <v>99</v>
      </c>
      <c r="F325" t="s">
        <v>4370</v>
      </c>
      <c r="G325" t="s">
        <v>4370</v>
      </c>
      <c r="H325">
        <f t="shared" si="8"/>
        <v>11</v>
      </c>
      <c r="M325" s="1">
        <v>7.7995802275836502E-3</v>
      </c>
      <c r="N325">
        <v>1734.86889648438</v>
      </c>
      <c r="O325">
        <v>868.44169999999895</v>
      </c>
      <c r="P325">
        <v>1734.86108398438</v>
      </c>
      <c r="Q325">
        <v>868.43780517578102</v>
      </c>
      <c r="R325">
        <v>2</v>
      </c>
      <c r="S325">
        <v>2</v>
      </c>
      <c r="T325">
        <v>13</v>
      </c>
      <c r="U325">
        <v>32.781820000000003</v>
      </c>
      <c r="V325">
        <v>191380.1</v>
      </c>
    </row>
    <row r="326" spans="1:22" x14ac:dyDescent="0.25">
      <c r="A326" t="s">
        <v>4350</v>
      </c>
      <c r="B326" t="s">
        <v>4351</v>
      </c>
      <c r="C326">
        <v>128</v>
      </c>
      <c r="D326">
        <v>99</v>
      </c>
      <c r="E326">
        <v>99</v>
      </c>
      <c r="F326" t="s">
        <v>4371</v>
      </c>
      <c r="G326" t="s">
        <v>4371</v>
      </c>
      <c r="H326">
        <f t="shared" si="8"/>
        <v>12</v>
      </c>
      <c r="M326" s="1">
        <v>6.21266989037394E-3</v>
      </c>
      <c r="N326">
        <v>1734.86730957031</v>
      </c>
      <c r="O326">
        <v>868.44090000000006</v>
      </c>
      <c r="P326">
        <v>1734.86108398438</v>
      </c>
      <c r="Q326">
        <v>868.43780517578102</v>
      </c>
      <c r="R326">
        <v>2</v>
      </c>
      <c r="S326">
        <v>2</v>
      </c>
      <c r="T326">
        <v>15</v>
      </c>
      <c r="U326">
        <v>32.85398</v>
      </c>
      <c r="V326">
        <v>195336.3</v>
      </c>
    </row>
    <row r="327" spans="1:22" x14ac:dyDescent="0.25">
      <c r="A327" t="s">
        <v>4350</v>
      </c>
      <c r="B327" t="s">
        <v>4351</v>
      </c>
      <c r="C327">
        <v>2</v>
      </c>
      <c r="D327">
        <v>99</v>
      </c>
      <c r="E327">
        <v>99</v>
      </c>
      <c r="F327" t="s">
        <v>4372</v>
      </c>
      <c r="G327" t="s">
        <v>4372</v>
      </c>
      <c r="H327">
        <f t="shared" si="8"/>
        <v>15</v>
      </c>
      <c r="L327" t="s">
        <v>227</v>
      </c>
      <c r="M327" s="1">
        <v>8.5220402106642706E-3</v>
      </c>
      <c r="N327">
        <v>2139.1884765625</v>
      </c>
      <c r="O327">
        <v>714.07010000000002</v>
      </c>
      <c r="P327">
        <v>2139.17993164063</v>
      </c>
      <c r="Q327">
        <v>714.06726074218705</v>
      </c>
      <c r="R327">
        <v>3</v>
      </c>
      <c r="S327">
        <v>1</v>
      </c>
      <c r="T327">
        <v>12</v>
      </c>
      <c r="U327">
        <v>47.39667</v>
      </c>
      <c r="V327">
        <v>236145.5</v>
      </c>
    </row>
    <row r="328" spans="1:22" x14ac:dyDescent="0.25">
      <c r="A328" t="s">
        <v>1835</v>
      </c>
      <c r="B328" t="s">
        <v>1836</v>
      </c>
      <c r="C328">
        <v>243</v>
      </c>
      <c r="D328">
        <v>99</v>
      </c>
      <c r="E328">
        <v>99</v>
      </c>
      <c r="F328" t="s">
        <v>1837</v>
      </c>
      <c r="G328" t="s">
        <v>1837</v>
      </c>
      <c r="H328">
        <f t="shared" si="8"/>
        <v>18</v>
      </c>
      <c r="M328" s="1">
        <v>4.4435001909732801E-3</v>
      </c>
      <c r="N328">
        <v>1362.73742675781</v>
      </c>
      <c r="O328">
        <v>682.37599999999895</v>
      </c>
      <c r="P328">
        <v>1362.73291015625</v>
      </c>
      <c r="Q328">
        <v>682.373779296875</v>
      </c>
      <c r="R328">
        <v>2</v>
      </c>
      <c r="S328">
        <v>3</v>
      </c>
      <c r="T328">
        <v>9</v>
      </c>
      <c r="U328">
        <v>28.707899999999899</v>
      </c>
      <c r="V328">
        <v>139026.6</v>
      </c>
    </row>
    <row r="329" spans="1:22" x14ac:dyDescent="0.25">
      <c r="A329" t="s">
        <v>1324</v>
      </c>
      <c r="B329" t="s">
        <v>1325</v>
      </c>
      <c r="C329">
        <v>448</v>
      </c>
      <c r="D329">
        <v>99</v>
      </c>
      <c r="E329">
        <v>99</v>
      </c>
      <c r="F329" t="s">
        <v>1326</v>
      </c>
      <c r="G329" t="s">
        <v>1326</v>
      </c>
      <c r="H329">
        <f t="shared" si="8"/>
        <v>15</v>
      </c>
      <c r="M329" s="1">
        <v>8.9016102720052004E-4</v>
      </c>
      <c r="N329">
        <v>1362.73388671875</v>
      </c>
      <c r="O329">
        <v>455.25189999999901</v>
      </c>
      <c r="P329">
        <v>1362.73291015625</v>
      </c>
      <c r="Q329">
        <v>455.25158691406301</v>
      </c>
      <c r="R329">
        <v>3</v>
      </c>
      <c r="S329">
        <v>3</v>
      </c>
      <c r="T329">
        <v>10</v>
      </c>
      <c r="U329">
        <v>28.748919999999899</v>
      </c>
      <c r="V329">
        <v>205178.6</v>
      </c>
    </row>
    <row r="330" spans="1:22" x14ac:dyDescent="0.25">
      <c r="A330" t="s">
        <v>1324</v>
      </c>
      <c r="B330" t="s">
        <v>1325</v>
      </c>
      <c r="C330">
        <v>448</v>
      </c>
      <c r="D330">
        <v>99</v>
      </c>
      <c r="E330">
        <v>99</v>
      </c>
      <c r="F330" t="s">
        <v>1327</v>
      </c>
      <c r="G330" t="s">
        <v>1327</v>
      </c>
      <c r="H330">
        <f t="shared" si="8"/>
        <v>16</v>
      </c>
      <c r="M330" s="1">
        <v>7.60752009227872E-4</v>
      </c>
      <c r="N330">
        <v>1145.71801757813</v>
      </c>
      <c r="O330">
        <v>573.86630000000002</v>
      </c>
      <c r="P330">
        <v>1145.71728515625</v>
      </c>
      <c r="Q330">
        <v>573.86590576171795</v>
      </c>
      <c r="R330">
        <v>2</v>
      </c>
      <c r="S330">
        <v>1</v>
      </c>
      <c r="T330">
        <v>14</v>
      </c>
      <c r="U330">
        <v>56.188920000000003</v>
      </c>
      <c r="V330">
        <v>395888.4</v>
      </c>
    </row>
    <row r="331" spans="1:22" x14ac:dyDescent="0.25">
      <c r="A331" t="s">
        <v>1324</v>
      </c>
      <c r="B331" t="s">
        <v>1325</v>
      </c>
      <c r="C331">
        <v>448</v>
      </c>
      <c r="D331">
        <v>99</v>
      </c>
      <c r="E331">
        <v>99</v>
      </c>
      <c r="F331" t="s">
        <v>1328</v>
      </c>
      <c r="G331" t="s">
        <v>1328</v>
      </c>
      <c r="H331">
        <f t="shared" si="8"/>
        <v>17</v>
      </c>
      <c r="M331" s="1">
        <v>4.5974799431860404E-3</v>
      </c>
      <c r="N331">
        <v>1865.0205078125</v>
      </c>
      <c r="O331">
        <v>622.68079999999895</v>
      </c>
      <c r="P331">
        <v>1865.01599121094</v>
      </c>
      <c r="Q331">
        <v>622.67926025390602</v>
      </c>
      <c r="R331">
        <v>3</v>
      </c>
      <c r="S331">
        <v>3</v>
      </c>
      <c r="T331">
        <v>13</v>
      </c>
      <c r="U331">
        <v>33.866480000000003</v>
      </c>
      <c r="V331">
        <v>321374.7</v>
      </c>
    </row>
    <row r="332" spans="1:22" x14ac:dyDescent="0.25">
      <c r="A332" t="s">
        <v>3896</v>
      </c>
      <c r="B332" t="s">
        <v>3897</v>
      </c>
      <c r="C332">
        <v>147</v>
      </c>
      <c r="D332">
        <v>99</v>
      </c>
      <c r="E332">
        <v>99</v>
      </c>
      <c r="F332" t="s">
        <v>3898</v>
      </c>
      <c r="G332" t="s">
        <v>3898</v>
      </c>
      <c r="H332">
        <f t="shared" si="8"/>
        <v>15</v>
      </c>
      <c r="L332" t="s">
        <v>48</v>
      </c>
      <c r="M332" s="1">
        <v>-2.85500008612871E-3</v>
      </c>
      <c r="N332">
        <v>1691.80212402344</v>
      </c>
      <c r="O332">
        <v>846.90830000000005</v>
      </c>
      <c r="P332">
        <v>1691.80493164063</v>
      </c>
      <c r="Q332">
        <v>846.90972900390602</v>
      </c>
      <c r="R332">
        <v>2</v>
      </c>
      <c r="S332">
        <v>1</v>
      </c>
      <c r="T332">
        <v>10</v>
      </c>
      <c r="U332">
        <v>20.799230000000001</v>
      </c>
      <c r="V332">
        <v>152077</v>
      </c>
    </row>
    <row r="333" spans="1:22" x14ac:dyDescent="0.25">
      <c r="A333" t="s">
        <v>2963</v>
      </c>
      <c r="B333" t="s">
        <v>2964</v>
      </c>
      <c r="C333">
        <v>297</v>
      </c>
      <c r="D333">
        <v>97.4</v>
      </c>
      <c r="E333">
        <v>97.44</v>
      </c>
      <c r="F333" t="s">
        <v>2965</v>
      </c>
      <c r="G333" t="s">
        <v>2965</v>
      </c>
      <c r="H333">
        <f t="shared" si="8"/>
        <v>14</v>
      </c>
      <c r="M333" s="1">
        <v>2.07144999876618E-3</v>
      </c>
      <c r="N333">
        <v>1672.73901367188</v>
      </c>
      <c r="O333">
        <v>837.3768</v>
      </c>
      <c r="P333">
        <v>1672.73693847656</v>
      </c>
      <c r="Q333">
        <v>837.375732421875</v>
      </c>
      <c r="R333">
        <v>2</v>
      </c>
      <c r="S333">
        <v>1</v>
      </c>
      <c r="T333">
        <v>8</v>
      </c>
      <c r="U333">
        <v>44.236220000000003</v>
      </c>
      <c r="V333">
        <v>94966.1</v>
      </c>
    </row>
    <row r="334" spans="1:22" x14ac:dyDescent="0.25">
      <c r="A334" t="s">
        <v>155</v>
      </c>
      <c r="B334" t="s">
        <v>156</v>
      </c>
      <c r="C334">
        <v>164</v>
      </c>
      <c r="D334">
        <v>99</v>
      </c>
      <c r="E334">
        <v>99</v>
      </c>
      <c r="F334" t="s">
        <v>1834</v>
      </c>
      <c r="G334" t="s">
        <v>1834</v>
      </c>
      <c r="H334">
        <f t="shared" si="8"/>
        <v>16</v>
      </c>
      <c r="M334" s="1">
        <v>7.93081987649202E-3</v>
      </c>
      <c r="N334">
        <v>1672.74487304688</v>
      </c>
      <c r="O334">
        <v>837.37969999999905</v>
      </c>
      <c r="P334">
        <v>1672.73693847656</v>
      </c>
      <c r="Q334">
        <v>837.375732421875</v>
      </c>
      <c r="R334">
        <v>2</v>
      </c>
      <c r="S334">
        <v>2</v>
      </c>
      <c r="T334">
        <v>9</v>
      </c>
      <c r="U334">
        <v>44.175980000000003</v>
      </c>
      <c r="V334">
        <v>54926.83</v>
      </c>
    </row>
    <row r="335" spans="1:22" x14ac:dyDescent="0.25">
      <c r="A335" t="s">
        <v>1027</v>
      </c>
      <c r="B335" t="s">
        <v>1028</v>
      </c>
      <c r="C335">
        <v>836</v>
      </c>
      <c r="D335">
        <v>99</v>
      </c>
      <c r="E335">
        <v>99</v>
      </c>
      <c r="F335" t="s">
        <v>1029</v>
      </c>
      <c r="G335" t="s">
        <v>1029</v>
      </c>
      <c r="H335">
        <f t="shared" si="8"/>
        <v>17</v>
      </c>
      <c r="M335" s="1">
        <v>4.7242701984942003E-3</v>
      </c>
      <c r="N335">
        <v>1834.0009765625</v>
      </c>
      <c r="O335">
        <v>459.50749999999903</v>
      </c>
      <c r="P335">
        <v>1833.99621582031</v>
      </c>
      <c r="Q335">
        <v>459.50631713867102</v>
      </c>
      <c r="R335">
        <v>4</v>
      </c>
      <c r="S335">
        <v>1</v>
      </c>
      <c r="T335">
        <v>15</v>
      </c>
      <c r="U335">
        <v>33.778149999999897</v>
      </c>
      <c r="V335">
        <v>546338.19999999902</v>
      </c>
    </row>
    <row r="336" spans="1:22" x14ac:dyDescent="0.25">
      <c r="A336" t="s">
        <v>841</v>
      </c>
      <c r="B336" t="s">
        <v>842</v>
      </c>
      <c r="C336">
        <v>55</v>
      </c>
      <c r="D336">
        <v>99</v>
      </c>
      <c r="E336">
        <v>99</v>
      </c>
      <c r="F336" t="s">
        <v>843</v>
      </c>
      <c r="G336" t="s">
        <v>843</v>
      </c>
      <c r="H336">
        <f t="shared" si="8"/>
        <v>18</v>
      </c>
      <c r="M336" s="1">
        <v>1.2034899555146601E-2</v>
      </c>
      <c r="N336">
        <v>1639.80749511719</v>
      </c>
      <c r="O336">
        <v>820.91099999999904</v>
      </c>
      <c r="P336">
        <v>1639.79541015625</v>
      </c>
      <c r="Q336">
        <v>820.90496826171795</v>
      </c>
      <c r="R336">
        <v>2</v>
      </c>
      <c r="S336">
        <v>1</v>
      </c>
      <c r="T336">
        <v>14</v>
      </c>
      <c r="U336">
        <v>41.6176999999999</v>
      </c>
      <c r="V336">
        <v>211984.5</v>
      </c>
    </row>
    <row r="337" spans="1:22" x14ac:dyDescent="0.25">
      <c r="A337" t="s">
        <v>841</v>
      </c>
      <c r="B337" t="s">
        <v>842</v>
      </c>
      <c r="C337">
        <v>59</v>
      </c>
      <c r="D337">
        <v>99</v>
      </c>
      <c r="E337">
        <v>99</v>
      </c>
      <c r="F337" t="s">
        <v>844</v>
      </c>
      <c r="G337" t="s">
        <v>844</v>
      </c>
      <c r="H337">
        <f t="shared" si="8"/>
        <v>13</v>
      </c>
      <c r="M337" s="1">
        <v>8.2294801250100101E-3</v>
      </c>
      <c r="N337">
        <v>1754.98608398438</v>
      </c>
      <c r="O337">
        <v>586.00260000000003</v>
      </c>
      <c r="P337">
        <v>1754.97778320313</v>
      </c>
      <c r="Q337">
        <v>585.99987792968705</v>
      </c>
      <c r="R337">
        <v>3</v>
      </c>
      <c r="S337">
        <v>1</v>
      </c>
      <c r="T337">
        <v>12</v>
      </c>
      <c r="U337">
        <v>45.548630000000003</v>
      </c>
      <c r="V337">
        <v>86786.95</v>
      </c>
    </row>
    <row r="338" spans="1:22" x14ac:dyDescent="0.25">
      <c r="A338" t="s">
        <v>3525</v>
      </c>
      <c r="B338" t="s">
        <v>3526</v>
      </c>
      <c r="C338">
        <v>60</v>
      </c>
      <c r="D338">
        <v>99</v>
      </c>
      <c r="E338">
        <v>99</v>
      </c>
      <c r="F338" t="s">
        <v>3527</v>
      </c>
      <c r="G338" t="s">
        <v>3527</v>
      </c>
      <c r="H338">
        <f t="shared" si="8"/>
        <v>18</v>
      </c>
      <c r="M338" s="1">
        <v>4.5673698186874303E-3</v>
      </c>
      <c r="N338">
        <v>1754.982421875</v>
      </c>
      <c r="O338">
        <v>586.00139999999897</v>
      </c>
      <c r="P338">
        <v>1754.97778320313</v>
      </c>
      <c r="Q338">
        <v>585.99987792968705</v>
      </c>
      <c r="R338">
        <v>3</v>
      </c>
      <c r="S338">
        <v>1</v>
      </c>
      <c r="T338">
        <v>7</v>
      </c>
      <c r="U338">
        <v>45.51435</v>
      </c>
      <c r="V338">
        <v>41926.93</v>
      </c>
    </row>
    <row r="339" spans="1:22" x14ac:dyDescent="0.25">
      <c r="A339" t="s">
        <v>3525</v>
      </c>
      <c r="B339" t="s">
        <v>3526</v>
      </c>
      <c r="C339">
        <v>62</v>
      </c>
      <c r="D339">
        <v>99</v>
      </c>
      <c r="E339">
        <v>99</v>
      </c>
      <c r="F339" t="s">
        <v>3528</v>
      </c>
      <c r="G339" t="s">
        <v>3528</v>
      </c>
      <c r="H339">
        <f t="shared" si="8"/>
        <v>15</v>
      </c>
      <c r="M339" s="1">
        <v>-2.3128199391067002E-3</v>
      </c>
      <c r="N339">
        <v>1482.85693359375</v>
      </c>
      <c r="O339">
        <v>742.4357</v>
      </c>
      <c r="P339">
        <v>1482.85925292969</v>
      </c>
      <c r="Q339">
        <v>742.43688964843705</v>
      </c>
      <c r="R339">
        <v>2</v>
      </c>
      <c r="S339">
        <v>2</v>
      </c>
      <c r="T339">
        <v>20</v>
      </c>
      <c r="U339">
        <v>24.358930000000001</v>
      </c>
      <c r="V339">
        <v>504723.3</v>
      </c>
    </row>
    <row r="340" spans="1:22" x14ac:dyDescent="0.25">
      <c r="A340" t="s">
        <v>989</v>
      </c>
      <c r="B340" t="s">
        <v>990</v>
      </c>
      <c r="C340">
        <v>1244</v>
      </c>
      <c r="D340">
        <v>99</v>
      </c>
      <c r="E340">
        <v>99</v>
      </c>
      <c r="F340" t="s">
        <v>991</v>
      </c>
      <c r="G340" t="s">
        <v>991</v>
      </c>
      <c r="H340">
        <f t="shared" si="8"/>
        <v>15</v>
      </c>
      <c r="M340" s="1">
        <v>3.0755000188946598E-3</v>
      </c>
      <c r="N340">
        <v>1482.8623046875</v>
      </c>
      <c r="O340">
        <v>495.29469999999901</v>
      </c>
      <c r="P340">
        <v>1482.85925292969</v>
      </c>
      <c r="Q340">
        <v>495.29367065429602</v>
      </c>
      <c r="R340">
        <v>3</v>
      </c>
      <c r="S340">
        <v>2</v>
      </c>
      <c r="T340">
        <v>17</v>
      </c>
      <c r="U340">
        <v>24.3376699999999</v>
      </c>
      <c r="V340">
        <v>452987.3</v>
      </c>
    </row>
    <row r="341" spans="1:22" x14ac:dyDescent="0.25">
      <c r="A341" t="s">
        <v>989</v>
      </c>
      <c r="B341" t="s">
        <v>990</v>
      </c>
      <c r="C341">
        <v>1245</v>
      </c>
      <c r="D341">
        <v>99</v>
      </c>
      <c r="E341">
        <v>99</v>
      </c>
      <c r="F341" t="s">
        <v>992</v>
      </c>
      <c r="G341" t="s">
        <v>992</v>
      </c>
      <c r="H341">
        <f t="shared" si="8"/>
        <v>14</v>
      </c>
      <c r="M341" s="1">
        <v>2.5777400005608801E-3</v>
      </c>
      <c r="N341">
        <v>1937.01452636719</v>
      </c>
      <c r="O341">
        <v>646.67880000000002</v>
      </c>
      <c r="P341">
        <v>1937.01196289063</v>
      </c>
      <c r="Q341">
        <v>646.67791748046795</v>
      </c>
      <c r="R341">
        <v>3</v>
      </c>
      <c r="S341">
        <v>1</v>
      </c>
      <c r="T341">
        <v>12</v>
      </c>
      <c r="U341">
        <v>25.2917799999999</v>
      </c>
      <c r="V341">
        <v>322534.90000000002</v>
      </c>
    </row>
    <row r="342" spans="1:22" x14ac:dyDescent="0.25">
      <c r="A342" t="s">
        <v>989</v>
      </c>
      <c r="B342" t="s">
        <v>990</v>
      </c>
      <c r="C342">
        <v>1117</v>
      </c>
      <c r="D342">
        <v>99</v>
      </c>
      <c r="E342">
        <v>99</v>
      </c>
      <c r="F342" t="s">
        <v>993</v>
      </c>
      <c r="G342" t="s">
        <v>993</v>
      </c>
      <c r="H342">
        <f t="shared" si="8"/>
        <v>16</v>
      </c>
      <c r="M342" s="1">
        <v>-3.29086999408901E-3</v>
      </c>
      <c r="N342">
        <v>1148.67724609375</v>
      </c>
      <c r="O342">
        <v>575.34590000000003</v>
      </c>
      <c r="P342">
        <v>1148.68054199219</v>
      </c>
      <c r="Q342">
        <v>575.34753417968705</v>
      </c>
      <c r="R342">
        <v>2</v>
      </c>
      <c r="S342">
        <v>22</v>
      </c>
      <c r="T342">
        <v>10</v>
      </c>
      <c r="U342">
        <v>50.90802</v>
      </c>
      <c r="V342">
        <v>6464533</v>
      </c>
    </row>
    <row r="343" spans="1:22" x14ac:dyDescent="0.25">
      <c r="A343" t="s">
        <v>989</v>
      </c>
      <c r="B343" t="s">
        <v>990</v>
      </c>
      <c r="C343">
        <v>1116</v>
      </c>
      <c r="D343">
        <v>99</v>
      </c>
      <c r="E343">
        <v>99</v>
      </c>
      <c r="F343" t="s">
        <v>994</v>
      </c>
      <c r="G343" t="s">
        <v>994</v>
      </c>
      <c r="H343">
        <f t="shared" si="8"/>
        <v>17</v>
      </c>
      <c r="M343" s="1">
        <v>2.6443200185895001E-3</v>
      </c>
      <c r="N343">
        <v>1971.02746582031</v>
      </c>
      <c r="O343">
        <v>658.01639999999895</v>
      </c>
      <c r="P343">
        <v>1971.02478027344</v>
      </c>
      <c r="Q343">
        <v>658.01556396484295</v>
      </c>
      <c r="R343">
        <v>3</v>
      </c>
      <c r="S343">
        <v>1</v>
      </c>
      <c r="T343">
        <v>10</v>
      </c>
      <c r="U343">
        <v>34.16527</v>
      </c>
      <c r="V343">
        <v>172815.7</v>
      </c>
    </row>
    <row r="344" spans="1:22" x14ac:dyDescent="0.25">
      <c r="A344" t="s">
        <v>989</v>
      </c>
      <c r="B344" t="s">
        <v>990</v>
      </c>
      <c r="C344">
        <v>629</v>
      </c>
      <c r="D344">
        <v>99</v>
      </c>
      <c r="E344">
        <v>99</v>
      </c>
      <c r="F344" t="s">
        <v>995</v>
      </c>
      <c r="G344" t="s">
        <v>995</v>
      </c>
      <c r="H344">
        <f t="shared" si="8"/>
        <v>15</v>
      </c>
      <c r="M344" s="1">
        <v>6.4417999237775803E-3</v>
      </c>
      <c r="N344">
        <v>1971.03125</v>
      </c>
      <c r="O344">
        <v>986.52290000000005</v>
      </c>
      <c r="P344">
        <v>1971.02478027344</v>
      </c>
      <c r="Q344">
        <v>986.51965332031205</v>
      </c>
      <c r="R344">
        <v>2</v>
      </c>
      <c r="S344">
        <v>2</v>
      </c>
      <c r="T344">
        <v>11</v>
      </c>
      <c r="U344">
        <v>34.238079999999897</v>
      </c>
      <c r="V344">
        <v>106105.2</v>
      </c>
    </row>
    <row r="345" spans="1:22" x14ac:dyDescent="0.25">
      <c r="A345" t="s">
        <v>989</v>
      </c>
      <c r="B345" t="s">
        <v>990</v>
      </c>
      <c r="C345">
        <v>283</v>
      </c>
      <c r="D345">
        <v>99</v>
      </c>
      <c r="E345">
        <v>99</v>
      </c>
      <c r="F345" t="s">
        <v>996</v>
      </c>
      <c r="G345" t="s">
        <v>996</v>
      </c>
      <c r="H345">
        <f t="shared" si="8"/>
        <v>17</v>
      </c>
      <c r="M345" s="1">
        <v>5.80366980284452E-3</v>
      </c>
      <c r="N345">
        <v>1060.63391113281</v>
      </c>
      <c r="O345">
        <v>531.32420000000002</v>
      </c>
      <c r="P345">
        <v>1060.62805175781</v>
      </c>
      <c r="Q345">
        <v>531.3212890625</v>
      </c>
      <c r="R345">
        <v>2</v>
      </c>
      <c r="S345">
        <v>3</v>
      </c>
      <c r="T345">
        <v>12</v>
      </c>
      <c r="U345">
        <v>51.280970000000003</v>
      </c>
      <c r="V345">
        <v>9838159</v>
      </c>
    </row>
    <row r="346" spans="1:22" x14ac:dyDescent="0.25">
      <c r="A346" t="s">
        <v>989</v>
      </c>
      <c r="B346" t="s">
        <v>990</v>
      </c>
      <c r="C346">
        <v>283</v>
      </c>
      <c r="D346">
        <v>99</v>
      </c>
      <c r="E346">
        <v>99</v>
      </c>
      <c r="F346" t="s">
        <v>997</v>
      </c>
      <c r="G346" t="s">
        <v>997</v>
      </c>
      <c r="H346">
        <f t="shared" si="8"/>
        <v>18</v>
      </c>
      <c r="M346">
        <v>3.728E-3</v>
      </c>
      <c r="N346">
        <v>1060.6318359375</v>
      </c>
      <c r="O346">
        <v>531.32320000000004</v>
      </c>
      <c r="P346">
        <v>1060.62805175781</v>
      </c>
      <c r="Q346">
        <v>531.3212890625</v>
      </c>
      <c r="R346">
        <v>2</v>
      </c>
      <c r="S346">
        <v>2</v>
      </c>
      <c r="T346">
        <v>11</v>
      </c>
      <c r="U346">
        <v>51.275370000000002</v>
      </c>
      <c r="V346">
        <v>1053574</v>
      </c>
    </row>
    <row r="347" spans="1:22" x14ac:dyDescent="0.25">
      <c r="A347" t="s">
        <v>989</v>
      </c>
      <c r="B347" t="s">
        <v>990</v>
      </c>
      <c r="C347">
        <v>1358</v>
      </c>
      <c r="D347">
        <v>97.4</v>
      </c>
      <c r="E347">
        <v>97.36</v>
      </c>
      <c r="F347" t="s">
        <v>998</v>
      </c>
      <c r="G347" t="s">
        <v>998</v>
      </c>
      <c r="H347">
        <f t="shared" si="8"/>
        <v>16</v>
      </c>
      <c r="M347" s="1">
        <v>1.03701995685697E-2</v>
      </c>
      <c r="N347">
        <v>2355.2109375</v>
      </c>
      <c r="O347">
        <v>589.80999999999904</v>
      </c>
      <c r="P347">
        <v>2355.20043945313</v>
      </c>
      <c r="Q347">
        <v>589.80743408203102</v>
      </c>
      <c r="R347">
        <v>4</v>
      </c>
      <c r="S347">
        <v>1</v>
      </c>
      <c r="T347">
        <v>13</v>
      </c>
      <c r="U347">
        <v>24.597449999999899</v>
      </c>
      <c r="V347">
        <v>1922907</v>
      </c>
    </row>
    <row r="348" spans="1:22" x14ac:dyDescent="0.25">
      <c r="A348" t="s">
        <v>989</v>
      </c>
      <c r="B348" t="s">
        <v>990</v>
      </c>
      <c r="C348">
        <v>1242</v>
      </c>
      <c r="D348">
        <v>98.9</v>
      </c>
      <c r="E348">
        <v>98.91</v>
      </c>
      <c r="F348" t="s">
        <v>999</v>
      </c>
      <c r="G348" t="s">
        <v>999</v>
      </c>
      <c r="H348">
        <f t="shared" si="8"/>
        <v>17</v>
      </c>
      <c r="M348">
        <v>1.2323000000000001E-2</v>
      </c>
      <c r="N348">
        <v>2355.212890625</v>
      </c>
      <c r="O348">
        <v>589.81050000000005</v>
      </c>
      <c r="P348">
        <v>2355.20043945313</v>
      </c>
      <c r="Q348">
        <v>589.80743408203102</v>
      </c>
      <c r="R348">
        <v>4</v>
      </c>
      <c r="S348">
        <v>2</v>
      </c>
      <c r="T348">
        <v>15</v>
      </c>
      <c r="U348">
        <v>24.68047</v>
      </c>
      <c r="V348">
        <v>1217966</v>
      </c>
    </row>
    <row r="349" spans="1:22" x14ac:dyDescent="0.25">
      <c r="A349" t="s">
        <v>989</v>
      </c>
      <c r="B349" t="s">
        <v>990</v>
      </c>
      <c r="C349">
        <v>1113</v>
      </c>
      <c r="D349">
        <v>99</v>
      </c>
      <c r="E349">
        <v>99</v>
      </c>
      <c r="F349" t="s">
        <v>1000</v>
      </c>
      <c r="G349" t="s">
        <v>1000</v>
      </c>
      <c r="H349">
        <f t="shared" si="8"/>
        <v>18</v>
      </c>
      <c r="M349" s="1">
        <v>6.6437697969376902E-3</v>
      </c>
      <c r="N349">
        <v>1555.91528320313</v>
      </c>
      <c r="O349">
        <v>778.96489999999903</v>
      </c>
      <c r="P349">
        <v>1555.90856933594</v>
      </c>
      <c r="Q349">
        <v>778.96160888671795</v>
      </c>
      <c r="R349">
        <v>2</v>
      </c>
      <c r="S349">
        <v>3</v>
      </c>
      <c r="T349">
        <v>20</v>
      </c>
      <c r="U349">
        <v>26.6007199999999</v>
      </c>
      <c r="V349">
        <v>486390.9</v>
      </c>
    </row>
    <row r="350" spans="1:22" x14ac:dyDescent="0.25">
      <c r="A350" t="s">
        <v>989</v>
      </c>
      <c r="B350" t="s">
        <v>990</v>
      </c>
      <c r="C350">
        <v>1113</v>
      </c>
      <c r="D350">
        <v>99</v>
      </c>
      <c r="E350">
        <v>99</v>
      </c>
      <c r="F350" t="s">
        <v>1001</v>
      </c>
      <c r="G350" t="s">
        <v>1001</v>
      </c>
      <c r="H350">
        <f t="shared" si="8"/>
        <v>19</v>
      </c>
      <c r="M350" s="1">
        <v>7.6203299686312701E-3</v>
      </c>
      <c r="N350">
        <v>1555.91625976563</v>
      </c>
      <c r="O350">
        <v>778.96540000000005</v>
      </c>
      <c r="P350">
        <v>1555.90856933594</v>
      </c>
      <c r="Q350">
        <v>778.96160888671795</v>
      </c>
      <c r="R350">
        <v>2</v>
      </c>
      <c r="S350">
        <v>2</v>
      </c>
      <c r="T350">
        <v>16</v>
      </c>
      <c r="U350">
        <v>26.591999999999899</v>
      </c>
      <c r="V350">
        <v>165884.5</v>
      </c>
    </row>
    <row r="351" spans="1:22" x14ac:dyDescent="0.25">
      <c r="A351" t="s">
        <v>989</v>
      </c>
      <c r="B351" t="s">
        <v>990</v>
      </c>
      <c r="C351">
        <v>1113</v>
      </c>
      <c r="D351">
        <v>99</v>
      </c>
      <c r="E351">
        <v>99</v>
      </c>
      <c r="F351" t="s">
        <v>1002</v>
      </c>
      <c r="G351" t="s">
        <v>1002</v>
      </c>
      <c r="H351">
        <f t="shared" si="8"/>
        <v>20</v>
      </c>
      <c r="M351" s="1">
        <v>-3.1593600288033399E-3</v>
      </c>
      <c r="N351">
        <v>1087.70861816406</v>
      </c>
      <c r="O351">
        <v>544.86159999999904</v>
      </c>
      <c r="P351">
        <v>1087.71179199219</v>
      </c>
      <c r="Q351">
        <v>544.86315917968705</v>
      </c>
      <c r="R351">
        <v>2</v>
      </c>
      <c r="S351">
        <v>1</v>
      </c>
      <c r="T351">
        <v>9</v>
      </c>
      <c r="U351">
        <v>18.984470000000002</v>
      </c>
      <c r="V351">
        <v>412179.5</v>
      </c>
    </row>
    <row r="352" spans="1:22" x14ac:dyDescent="0.25">
      <c r="A352" t="s">
        <v>989</v>
      </c>
      <c r="B352" t="s">
        <v>990</v>
      </c>
      <c r="C352">
        <v>494</v>
      </c>
      <c r="D352">
        <v>99</v>
      </c>
      <c r="E352">
        <v>99</v>
      </c>
      <c r="F352" t="s">
        <v>1003</v>
      </c>
      <c r="G352" t="s">
        <v>1003</v>
      </c>
      <c r="H352">
        <f t="shared" si="8"/>
        <v>21</v>
      </c>
      <c r="L352" t="s">
        <v>295</v>
      </c>
      <c r="M352" s="1">
        <v>2.1070400252938301E-3</v>
      </c>
      <c r="N352">
        <v>1105.59753417969</v>
      </c>
      <c r="O352">
        <v>553.80600000000004</v>
      </c>
      <c r="P352">
        <v>1105.59545898438</v>
      </c>
      <c r="Q352">
        <v>553.80499267578102</v>
      </c>
      <c r="R352">
        <v>2</v>
      </c>
      <c r="S352">
        <v>2</v>
      </c>
      <c r="T352">
        <v>13</v>
      </c>
      <c r="U352">
        <v>43.070529999999899</v>
      </c>
      <c r="V352">
        <v>2048410</v>
      </c>
    </row>
    <row r="353" spans="1:22" x14ac:dyDescent="0.25">
      <c r="A353" t="s">
        <v>3542</v>
      </c>
      <c r="B353" t="s">
        <v>3543</v>
      </c>
      <c r="C353">
        <v>305</v>
      </c>
      <c r="D353">
        <v>99</v>
      </c>
      <c r="E353">
        <v>99</v>
      </c>
      <c r="F353" t="s">
        <v>3544</v>
      </c>
      <c r="G353" t="s">
        <v>3544</v>
      </c>
      <c r="H353">
        <f t="shared" si="8"/>
        <v>9</v>
      </c>
      <c r="M353">
        <v>-4.1359999999999999E-3</v>
      </c>
      <c r="N353">
        <v>1087.70764160156</v>
      </c>
      <c r="O353">
        <v>544.86109999999906</v>
      </c>
      <c r="P353">
        <v>1087.71179199219</v>
      </c>
      <c r="Q353">
        <v>544.86315917968705</v>
      </c>
      <c r="R353">
        <v>2</v>
      </c>
      <c r="S353">
        <v>1</v>
      </c>
      <c r="T353">
        <v>9</v>
      </c>
      <c r="U353">
        <v>18.9209999999999</v>
      </c>
      <c r="V353">
        <v>2460228</v>
      </c>
    </row>
    <row r="354" spans="1:22" x14ac:dyDescent="0.25">
      <c r="A354" t="s">
        <v>1679</v>
      </c>
      <c r="B354" t="s">
        <v>1680</v>
      </c>
      <c r="C354">
        <v>306</v>
      </c>
      <c r="D354">
        <v>97.3</v>
      </c>
      <c r="E354">
        <v>97.31</v>
      </c>
      <c r="F354" t="s">
        <v>1681</v>
      </c>
      <c r="G354" t="s">
        <v>1681</v>
      </c>
      <c r="H354">
        <f t="shared" si="8"/>
        <v>9</v>
      </c>
      <c r="M354">
        <v>2.7430000000000002E-3</v>
      </c>
      <c r="N354">
        <v>1284.74291992188</v>
      </c>
      <c r="O354">
        <v>643.37869999999896</v>
      </c>
      <c r="P354">
        <v>1284.74011230469</v>
      </c>
      <c r="Q354">
        <v>643.37738037109295</v>
      </c>
      <c r="R354">
        <v>2</v>
      </c>
      <c r="S354">
        <v>2</v>
      </c>
      <c r="T354">
        <v>11</v>
      </c>
      <c r="U354">
        <v>35.043619999999898</v>
      </c>
      <c r="V354">
        <v>197664.7</v>
      </c>
    </row>
    <row r="355" spans="1:22" x14ac:dyDescent="0.25">
      <c r="A355" t="s">
        <v>1912</v>
      </c>
      <c r="B355" t="s">
        <v>1913</v>
      </c>
      <c r="C355">
        <v>2</v>
      </c>
      <c r="D355">
        <v>99</v>
      </c>
      <c r="E355">
        <v>99</v>
      </c>
      <c r="F355" t="s">
        <v>1914</v>
      </c>
      <c r="G355" t="s">
        <v>1914</v>
      </c>
      <c r="H355">
        <f t="shared" si="8"/>
        <v>20</v>
      </c>
      <c r="L355" t="s">
        <v>227</v>
      </c>
      <c r="M355">
        <v>8.9479999999999994E-3</v>
      </c>
      <c r="N355">
        <v>1966.91442871094</v>
      </c>
      <c r="O355">
        <v>984.46450000000004</v>
      </c>
      <c r="P355">
        <v>1966.90539550781</v>
      </c>
      <c r="Q355">
        <v>984.46002197265602</v>
      </c>
      <c r="R355">
        <v>2</v>
      </c>
      <c r="S355">
        <v>2</v>
      </c>
      <c r="T355">
        <v>11</v>
      </c>
      <c r="U355">
        <v>37.853180000000002</v>
      </c>
      <c r="V355">
        <v>391927.8</v>
      </c>
    </row>
    <row r="356" spans="1:22" x14ac:dyDescent="0.25">
      <c r="A356" t="s">
        <v>1188</v>
      </c>
      <c r="B356" t="s">
        <v>1189</v>
      </c>
      <c r="C356">
        <v>213</v>
      </c>
      <c r="D356">
        <v>98.3</v>
      </c>
      <c r="E356">
        <v>98.34</v>
      </c>
      <c r="F356" t="s">
        <v>1190</v>
      </c>
      <c r="G356" t="s">
        <v>1190</v>
      </c>
      <c r="H356">
        <f t="shared" si="8"/>
        <v>15</v>
      </c>
      <c r="M356" s="1">
        <v>9.4625903293490306E-3</v>
      </c>
      <c r="N356">
        <v>1673.90832519531</v>
      </c>
      <c r="O356">
        <v>837.96140000000003</v>
      </c>
      <c r="P356">
        <v>1673.89880371094</v>
      </c>
      <c r="Q356">
        <v>837.95666503906205</v>
      </c>
      <c r="R356">
        <v>2</v>
      </c>
      <c r="S356">
        <v>2</v>
      </c>
      <c r="T356">
        <v>12</v>
      </c>
      <c r="U356">
        <v>44.952930000000002</v>
      </c>
      <c r="V356">
        <v>109389.2</v>
      </c>
    </row>
    <row r="357" spans="1:22" x14ac:dyDescent="0.25">
      <c r="A357" t="s">
        <v>1973</v>
      </c>
      <c r="B357" t="s">
        <v>1974</v>
      </c>
      <c r="C357">
        <v>170</v>
      </c>
      <c r="D357">
        <v>97.5</v>
      </c>
      <c r="E357">
        <v>97.53</v>
      </c>
      <c r="F357" t="s">
        <v>1975</v>
      </c>
      <c r="G357" t="s">
        <v>1975</v>
      </c>
      <c r="H357">
        <f t="shared" si="8"/>
        <v>9</v>
      </c>
      <c r="M357">
        <v>3.9690000000000003E-3</v>
      </c>
      <c r="N357">
        <v>1673.90283203125</v>
      </c>
      <c r="O357">
        <v>837.95870000000002</v>
      </c>
      <c r="P357">
        <v>1673.89880371094</v>
      </c>
      <c r="Q357">
        <v>837.95666503906205</v>
      </c>
      <c r="R357">
        <v>2</v>
      </c>
      <c r="S357">
        <v>1</v>
      </c>
      <c r="T357">
        <v>13</v>
      </c>
      <c r="U357">
        <v>44.909500000000001</v>
      </c>
      <c r="V357">
        <v>152097.299999999</v>
      </c>
    </row>
    <row r="358" spans="1:22" x14ac:dyDescent="0.25">
      <c r="A358" t="s">
        <v>908</v>
      </c>
      <c r="B358" t="s">
        <v>909</v>
      </c>
      <c r="C358">
        <v>729</v>
      </c>
      <c r="D358">
        <v>99</v>
      </c>
      <c r="E358">
        <v>99</v>
      </c>
      <c r="F358" t="s">
        <v>910</v>
      </c>
      <c r="G358" t="s">
        <v>910</v>
      </c>
      <c r="H358">
        <f t="shared" si="8"/>
        <v>9</v>
      </c>
      <c r="M358" s="1">
        <v>7.0957699790596901E-3</v>
      </c>
      <c r="N358">
        <v>1882.0166015625</v>
      </c>
      <c r="O358">
        <v>628.34609999999896</v>
      </c>
      <c r="P358">
        <v>1882.00952148438</v>
      </c>
      <c r="Q358">
        <v>628.34375</v>
      </c>
      <c r="R358">
        <v>3</v>
      </c>
      <c r="S358">
        <v>1</v>
      </c>
      <c r="T358">
        <v>13</v>
      </c>
      <c r="U358">
        <v>35.221919999999898</v>
      </c>
      <c r="V358">
        <v>448841.3</v>
      </c>
    </row>
    <row r="359" spans="1:22" x14ac:dyDescent="0.25">
      <c r="A359" t="s">
        <v>908</v>
      </c>
      <c r="B359" t="s">
        <v>909</v>
      </c>
      <c r="C359">
        <v>284</v>
      </c>
      <c r="D359">
        <v>99</v>
      </c>
      <c r="E359">
        <v>99</v>
      </c>
      <c r="F359" t="s">
        <v>911</v>
      </c>
      <c r="G359" t="s">
        <v>911</v>
      </c>
      <c r="H359">
        <f t="shared" si="8"/>
        <v>14</v>
      </c>
      <c r="L359" t="s">
        <v>87</v>
      </c>
      <c r="M359" s="1">
        <v>-1.4808200299739701E-2</v>
      </c>
      <c r="N359">
        <v>1165.61950683594</v>
      </c>
      <c r="O359">
        <v>583.81700000000001</v>
      </c>
      <c r="P359">
        <v>1165.63427734375</v>
      </c>
      <c r="Q359">
        <v>583.82440185546795</v>
      </c>
      <c r="R359">
        <v>2</v>
      </c>
      <c r="S359">
        <v>1</v>
      </c>
      <c r="T359">
        <v>10</v>
      </c>
      <c r="U359">
        <v>19.945550000000001</v>
      </c>
      <c r="V359">
        <v>191518.5</v>
      </c>
    </row>
    <row r="360" spans="1:22" x14ac:dyDescent="0.25">
      <c r="A360" t="s">
        <v>1342</v>
      </c>
      <c r="B360" t="s">
        <v>1343</v>
      </c>
      <c r="C360">
        <v>263</v>
      </c>
      <c r="D360">
        <v>99</v>
      </c>
      <c r="E360">
        <v>99</v>
      </c>
      <c r="F360" t="s">
        <v>1344</v>
      </c>
      <c r="G360" t="s">
        <v>1344</v>
      </c>
      <c r="H360">
        <f t="shared" si="8"/>
        <v>17</v>
      </c>
      <c r="M360" s="1">
        <v>5.81402983516454E-3</v>
      </c>
      <c r="N360">
        <v>1882.01525878906</v>
      </c>
      <c r="O360">
        <v>628.34569999999906</v>
      </c>
      <c r="P360">
        <v>1882.00952148438</v>
      </c>
      <c r="Q360">
        <v>628.34375</v>
      </c>
      <c r="R360">
        <v>3</v>
      </c>
      <c r="S360">
        <v>1</v>
      </c>
      <c r="T360">
        <v>11</v>
      </c>
      <c r="U360">
        <v>35.208300000000001</v>
      </c>
      <c r="V360">
        <v>249896</v>
      </c>
    </row>
    <row r="361" spans="1:22" x14ac:dyDescent="0.25">
      <c r="A361" t="s">
        <v>1342</v>
      </c>
      <c r="B361" t="s">
        <v>1343</v>
      </c>
      <c r="C361">
        <v>306</v>
      </c>
      <c r="D361">
        <v>99</v>
      </c>
      <c r="E361">
        <v>99</v>
      </c>
      <c r="F361" t="s">
        <v>1345</v>
      </c>
      <c r="G361" t="s">
        <v>1345</v>
      </c>
      <c r="H361">
        <f t="shared" si="8"/>
        <v>13</v>
      </c>
      <c r="M361" s="1">
        <v>6.2377601861953701E-3</v>
      </c>
      <c r="N361">
        <v>1914.90686035156</v>
      </c>
      <c r="O361">
        <v>639.30960000000005</v>
      </c>
      <c r="P361">
        <v>1914.90063476563</v>
      </c>
      <c r="Q361">
        <v>639.30749511718705</v>
      </c>
      <c r="R361">
        <v>3</v>
      </c>
      <c r="S361">
        <v>2</v>
      </c>
      <c r="T361">
        <v>10</v>
      </c>
      <c r="U361">
        <v>30.793130000000001</v>
      </c>
      <c r="V361">
        <v>126698.5</v>
      </c>
    </row>
    <row r="362" spans="1:22" x14ac:dyDescent="0.25">
      <c r="A362" t="s">
        <v>1342</v>
      </c>
      <c r="B362" t="s">
        <v>1343</v>
      </c>
      <c r="C362">
        <v>263</v>
      </c>
      <c r="D362">
        <v>99</v>
      </c>
      <c r="E362">
        <v>99</v>
      </c>
      <c r="F362" t="s">
        <v>1346</v>
      </c>
      <c r="G362" t="s">
        <v>1346</v>
      </c>
      <c r="H362">
        <f t="shared" si="8"/>
        <v>16</v>
      </c>
      <c r="M362" s="1">
        <v>5.9042801149189403E-3</v>
      </c>
      <c r="N362">
        <v>2078.23120117188</v>
      </c>
      <c r="O362">
        <v>693.75099999999895</v>
      </c>
      <c r="P362">
        <v>2078.22509765625</v>
      </c>
      <c r="Q362">
        <v>693.7490234375</v>
      </c>
      <c r="R362">
        <v>3</v>
      </c>
      <c r="S362">
        <v>5</v>
      </c>
      <c r="T362">
        <v>17</v>
      </c>
      <c r="U362">
        <v>27.997820000000001</v>
      </c>
      <c r="V362">
        <v>445147.2</v>
      </c>
    </row>
    <row r="363" spans="1:22" x14ac:dyDescent="0.25">
      <c r="A363" t="s">
        <v>1342</v>
      </c>
      <c r="B363" t="s">
        <v>1343</v>
      </c>
      <c r="C363">
        <v>263</v>
      </c>
      <c r="D363">
        <v>99</v>
      </c>
      <c r="E363">
        <v>99</v>
      </c>
      <c r="F363" t="s">
        <v>1347</v>
      </c>
      <c r="G363" t="s">
        <v>1347</v>
      </c>
      <c r="H363">
        <f t="shared" si="8"/>
        <v>19</v>
      </c>
      <c r="M363" s="1">
        <v>3.9988900534808601E-3</v>
      </c>
      <c r="N363">
        <v>2078.22924804688</v>
      </c>
      <c r="O363">
        <v>520.56460000000004</v>
      </c>
      <c r="P363">
        <v>2078.22509765625</v>
      </c>
      <c r="Q363">
        <v>520.56359863281205</v>
      </c>
      <c r="R363">
        <v>4</v>
      </c>
      <c r="S363">
        <v>7</v>
      </c>
      <c r="T363">
        <v>17</v>
      </c>
      <c r="U363">
        <v>28.0813799999999</v>
      </c>
      <c r="V363">
        <v>1038518</v>
      </c>
    </row>
    <row r="364" spans="1:22" x14ac:dyDescent="0.25">
      <c r="A364" t="s">
        <v>1342</v>
      </c>
      <c r="B364" t="s">
        <v>1343</v>
      </c>
      <c r="C364">
        <v>263</v>
      </c>
      <c r="D364">
        <v>99</v>
      </c>
      <c r="E364">
        <v>99</v>
      </c>
      <c r="F364" t="s">
        <v>1348</v>
      </c>
      <c r="G364" t="s">
        <v>1348</v>
      </c>
      <c r="H364">
        <f t="shared" si="8"/>
        <v>15</v>
      </c>
      <c r="L364" t="s">
        <v>48</v>
      </c>
      <c r="M364">
        <v>5.5300000000000002E-3</v>
      </c>
      <c r="N364">
        <v>1030.51391601563</v>
      </c>
      <c r="O364">
        <v>516.26419999999905</v>
      </c>
      <c r="P364">
        <v>1030.50830078125</v>
      </c>
      <c r="Q364">
        <v>516.261474609375</v>
      </c>
      <c r="R364">
        <v>2</v>
      </c>
      <c r="S364">
        <v>2</v>
      </c>
      <c r="T364">
        <v>12</v>
      </c>
      <c r="U364">
        <v>45.1332799999999</v>
      </c>
      <c r="V364">
        <v>5053530</v>
      </c>
    </row>
    <row r="365" spans="1:22" x14ac:dyDescent="0.25">
      <c r="A365" t="s">
        <v>1342</v>
      </c>
      <c r="B365" t="s">
        <v>1343</v>
      </c>
      <c r="C365">
        <v>263</v>
      </c>
      <c r="D365">
        <v>98.1</v>
      </c>
      <c r="E365">
        <v>98.07</v>
      </c>
      <c r="F365" t="s">
        <v>1346</v>
      </c>
      <c r="G365" t="s">
        <v>1346</v>
      </c>
      <c r="H365">
        <f t="shared" si="8"/>
        <v>16</v>
      </c>
      <c r="L365" t="s">
        <v>1349</v>
      </c>
      <c r="M365">
        <v>8.7049999999999992E-3</v>
      </c>
      <c r="N365">
        <v>1964.04541015625</v>
      </c>
      <c r="O365">
        <v>655.68910000000005</v>
      </c>
      <c r="P365">
        <v>1964.03674316406</v>
      </c>
      <c r="Q365">
        <v>655.68615722656205</v>
      </c>
      <c r="R365">
        <v>3</v>
      </c>
      <c r="S365">
        <v>1</v>
      </c>
      <c r="T365">
        <v>9</v>
      </c>
      <c r="U365">
        <v>45.71078</v>
      </c>
      <c r="V365">
        <v>78238.84</v>
      </c>
    </row>
    <row r="366" spans="1:22" x14ac:dyDescent="0.25">
      <c r="A366" t="s">
        <v>1342</v>
      </c>
      <c r="B366" t="s">
        <v>1343</v>
      </c>
      <c r="C366">
        <v>263</v>
      </c>
      <c r="D366">
        <v>99</v>
      </c>
      <c r="E366">
        <v>99</v>
      </c>
      <c r="F366" t="s">
        <v>1346</v>
      </c>
      <c r="G366" t="s">
        <v>1346</v>
      </c>
      <c r="H366">
        <f t="shared" si="8"/>
        <v>16</v>
      </c>
      <c r="L366" t="s">
        <v>48</v>
      </c>
      <c r="M366" s="1">
        <v>3.4764299634844E-3</v>
      </c>
      <c r="N366">
        <v>1288.556640625</v>
      </c>
      <c r="O366">
        <v>645.28560000000004</v>
      </c>
      <c r="P366">
        <v>1288.55310058594</v>
      </c>
      <c r="Q366">
        <v>645.28387451171795</v>
      </c>
      <c r="R366">
        <v>2</v>
      </c>
      <c r="S366">
        <v>2</v>
      </c>
      <c r="T366">
        <v>12</v>
      </c>
      <c r="U366">
        <v>30.149719999999899</v>
      </c>
      <c r="V366">
        <v>149318.5</v>
      </c>
    </row>
    <row r="367" spans="1:22" x14ac:dyDescent="0.25">
      <c r="A367" t="s">
        <v>1342</v>
      </c>
      <c r="B367" t="s">
        <v>1343</v>
      </c>
      <c r="C367">
        <v>263</v>
      </c>
      <c r="D367">
        <v>99</v>
      </c>
      <c r="E367">
        <v>99</v>
      </c>
      <c r="F367" t="s">
        <v>1344</v>
      </c>
      <c r="G367" t="s">
        <v>1344</v>
      </c>
      <c r="H367">
        <f t="shared" si="8"/>
        <v>17</v>
      </c>
      <c r="L367" t="s">
        <v>48</v>
      </c>
      <c r="M367" s="1">
        <v>3.9101999253034501E-2</v>
      </c>
      <c r="N367">
        <v>1840.94543457031</v>
      </c>
      <c r="O367">
        <v>921.48</v>
      </c>
      <c r="P367">
        <v>1840.90625</v>
      </c>
      <c r="Q367">
        <v>921.46044921875</v>
      </c>
      <c r="R367">
        <v>2</v>
      </c>
      <c r="S367">
        <v>1</v>
      </c>
      <c r="T367">
        <v>13</v>
      </c>
      <c r="U367">
        <v>56.196150000000003</v>
      </c>
      <c r="V367">
        <v>109806.8</v>
      </c>
    </row>
    <row r="368" spans="1:22" x14ac:dyDescent="0.25">
      <c r="A368" t="s">
        <v>1342</v>
      </c>
      <c r="B368" t="s">
        <v>1343</v>
      </c>
      <c r="C368">
        <v>263</v>
      </c>
      <c r="D368">
        <v>99</v>
      </c>
      <c r="E368">
        <v>99</v>
      </c>
      <c r="F368" t="s">
        <v>1347</v>
      </c>
      <c r="G368" t="s">
        <v>1347</v>
      </c>
      <c r="H368">
        <f t="shared" si="8"/>
        <v>19</v>
      </c>
      <c r="L368" t="s">
        <v>48</v>
      </c>
      <c r="M368" s="1">
        <v>1.5773400664329501E-2</v>
      </c>
      <c r="N368">
        <v>1620.80541992188</v>
      </c>
      <c r="O368">
        <v>811.41</v>
      </c>
      <c r="P368">
        <v>1620.78967285156</v>
      </c>
      <c r="Q368">
        <v>811.402099609375</v>
      </c>
      <c r="R368">
        <v>2</v>
      </c>
      <c r="S368">
        <v>1</v>
      </c>
      <c r="T368">
        <v>11</v>
      </c>
      <c r="U368">
        <v>43.879420000000003</v>
      </c>
      <c r="V368">
        <v>117710.1</v>
      </c>
    </row>
    <row r="369" spans="1:22" x14ac:dyDescent="0.25">
      <c r="A369" t="s">
        <v>1782</v>
      </c>
      <c r="B369" t="s">
        <v>1783</v>
      </c>
      <c r="C369">
        <v>157</v>
      </c>
      <c r="D369">
        <v>98.7</v>
      </c>
      <c r="E369">
        <v>98.67</v>
      </c>
      <c r="F369" t="s">
        <v>1784</v>
      </c>
      <c r="G369" t="s">
        <v>1784</v>
      </c>
      <c r="H369">
        <f t="shared" si="8"/>
        <v>13</v>
      </c>
      <c r="M369" s="1">
        <v>7.2600101120770004E-3</v>
      </c>
      <c r="N369">
        <v>1466.65393066406</v>
      </c>
      <c r="O369">
        <v>734.33420000000001</v>
      </c>
      <c r="P369">
        <v>1466.64660644531</v>
      </c>
      <c r="Q369">
        <v>734.33062744140602</v>
      </c>
      <c r="R369">
        <v>2</v>
      </c>
      <c r="S369">
        <v>1</v>
      </c>
      <c r="T369">
        <v>10</v>
      </c>
      <c r="U369">
        <v>38.984520000000003</v>
      </c>
      <c r="V369">
        <v>87681.14</v>
      </c>
    </row>
    <row r="370" spans="1:22" x14ac:dyDescent="0.25">
      <c r="A370" t="s">
        <v>1782</v>
      </c>
      <c r="B370" t="s">
        <v>1783</v>
      </c>
      <c r="C370">
        <v>54</v>
      </c>
      <c r="D370">
        <v>97.3</v>
      </c>
      <c r="E370">
        <v>97.26</v>
      </c>
      <c r="F370" t="s">
        <v>1785</v>
      </c>
      <c r="G370" t="s">
        <v>1785</v>
      </c>
      <c r="H370">
        <f t="shared" si="8"/>
        <v>15</v>
      </c>
      <c r="L370" t="s">
        <v>183</v>
      </c>
      <c r="M370" s="1">
        <v>4.5940699055790901E-4</v>
      </c>
      <c r="N370">
        <v>999.52886962890602</v>
      </c>
      <c r="O370">
        <v>500.77170000000001</v>
      </c>
      <c r="P370">
        <v>999.52838134765602</v>
      </c>
      <c r="Q370">
        <v>500.77145385742102</v>
      </c>
      <c r="R370">
        <v>2</v>
      </c>
      <c r="S370">
        <v>1</v>
      </c>
      <c r="T370">
        <v>12</v>
      </c>
      <c r="U370">
        <v>28.339580000000002</v>
      </c>
      <c r="V370">
        <v>1192722</v>
      </c>
    </row>
    <row r="371" spans="1:22" x14ac:dyDescent="0.25">
      <c r="A371" t="s">
        <v>4406</v>
      </c>
      <c r="B371" t="s">
        <v>4407</v>
      </c>
      <c r="C371">
        <v>239</v>
      </c>
      <c r="D371">
        <v>98.5</v>
      </c>
      <c r="E371">
        <v>98.49</v>
      </c>
      <c r="F371" t="s">
        <v>4408</v>
      </c>
      <c r="G371" t="s">
        <v>4408</v>
      </c>
      <c r="H371">
        <f t="shared" si="8"/>
        <v>14</v>
      </c>
      <c r="L371" t="s">
        <v>4409</v>
      </c>
      <c r="M371" s="1">
        <v>6.8366001360118302E-3</v>
      </c>
      <c r="N371">
        <v>1363.6953125</v>
      </c>
      <c r="O371">
        <v>682.85490000000004</v>
      </c>
      <c r="P371">
        <v>1363.6884765625</v>
      </c>
      <c r="Q371">
        <v>682.85150146484295</v>
      </c>
      <c r="R371">
        <v>2</v>
      </c>
      <c r="S371">
        <v>1</v>
      </c>
      <c r="T371">
        <v>9</v>
      </c>
      <c r="U371">
        <v>43.78472</v>
      </c>
      <c r="V371">
        <v>62643.62</v>
      </c>
    </row>
    <row r="372" spans="1:22" x14ac:dyDescent="0.25">
      <c r="A372" t="s">
        <v>1514</v>
      </c>
      <c r="B372" t="s">
        <v>1515</v>
      </c>
      <c r="C372">
        <v>1863</v>
      </c>
      <c r="D372">
        <v>99</v>
      </c>
      <c r="E372">
        <v>99</v>
      </c>
      <c r="F372" t="s">
        <v>1516</v>
      </c>
      <c r="G372" t="s">
        <v>1516</v>
      </c>
      <c r="H372">
        <f t="shared" si="8"/>
        <v>16</v>
      </c>
      <c r="M372" s="1">
        <v>9.5793399959802506E-3</v>
      </c>
      <c r="N372">
        <v>1466.65625</v>
      </c>
      <c r="O372">
        <v>734.33540000000005</v>
      </c>
      <c r="P372">
        <v>1466.64660644531</v>
      </c>
      <c r="Q372">
        <v>734.33062744140602</v>
      </c>
      <c r="R372">
        <v>2</v>
      </c>
      <c r="S372">
        <v>1</v>
      </c>
      <c r="T372">
        <v>10</v>
      </c>
      <c r="U372">
        <v>39.029620000000001</v>
      </c>
      <c r="V372">
        <v>90670.16</v>
      </c>
    </row>
    <row r="373" spans="1:22" x14ac:dyDescent="0.25">
      <c r="A373" t="s">
        <v>1514</v>
      </c>
      <c r="B373" t="s">
        <v>1515</v>
      </c>
      <c r="C373">
        <v>185</v>
      </c>
      <c r="D373">
        <v>99</v>
      </c>
      <c r="E373">
        <v>99</v>
      </c>
      <c r="F373" t="s">
        <v>1517</v>
      </c>
      <c r="G373" t="s">
        <v>1517</v>
      </c>
      <c r="H373">
        <f t="shared" si="8"/>
        <v>18</v>
      </c>
      <c r="M373" s="1">
        <v>4.9138399772346002E-3</v>
      </c>
      <c r="N373">
        <v>1718.91284179688</v>
      </c>
      <c r="O373">
        <v>860.46370000000002</v>
      </c>
      <c r="P373">
        <v>1718.90795898438</v>
      </c>
      <c r="Q373">
        <v>860.46124267578102</v>
      </c>
      <c r="R373">
        <v>2</v>
      </c>
      <c r="S373">
        <v>3</v>
      </c>
      <c r="T373">
        <v>8</v>
      </c>
      <c r="U373">
        <v>35.21302</v>
      </c>
      <c r="V373">
        <v>119329.4</v>
      </c>
    </row>
    <row r="374" spans="1:22" x14ac:dyDescent="0.25">
      <c r="A374" t="s">
        <v>1514</v>
      </c>
      <c r="B374" t="s">
        <v>1515</v>
      </c>
      <c r="C374">
        <v>185</v>
      </c>
      <c r="D374">
        <v>99</v>
      </c>
      <c r="E374">
        <v>99</v>
      </c>
      <c r="F374" t="s">
        <v>1518</v>
      </c>
      <c r="G374" t="s">
        <v>1518</v>
      </c>
      <c r="H374">
        <f t="shared" si="8"/>
        <v>21</v>
      </c>
      <c r="M374" s="1">
        <v>1.25901997089386E-2</v>
      </c>
      <c r="N374">
        <v>1950.98132324219</v>
      </c>
      <c r="O374">
        <v>976.49789999999905</v>
      </c>
      <c r="P374">
        <v>1950.96875</v>
      </c>
      <c r="Q374">
        <v>976.49163818359295</v>
      </c>
      <c r="R374">
        <v>2</v>
      </c>
      <c r="S374">
        <v>3</v>
      </c>
      <c r="T374">
        <v>21</v>
      </c>
      <c r="U374">
        <v>47.249780000000001</v>
      </c>
      <c r="V374">
        <v>107769.60000000001</v>
      </c>
    </row>
    <row r="375" spans="1:22" x14ac:dyDescent="0.25">
      <c r="A375" t="s">
        <v>2230</v>
      </c>
      <c r="B375" t="s">
        <v>2231</v>
      </c>
      <c r="C375">
        <v>613</v>
      </c>
      <c r="D375">
        <v>99</v>
      </c>
      <c r="E375">
        <v>99</v>
      </c>
      <c r="F375" t="s">
        <v>2232</v>
      </c>
      <c r="G375" t="s">
        <v>2232</v>
      </c>
      <c r="H375">
        <f t="shared" si="8"/>
        <v>14</v>
      </c>
      <c r="M375" s="1">
        <v>1.05149997398257E-2</v>
      </c>
      <c r="N375">
        <v>1950.97924804688</v>
      </c>
      <c r="O375">
        <v>976.49689999999896</v>
      </c>
      <c r="P375">
        <v>1950.96875</v>
      </c>
      <c r="Q375">
        <v>976.49163818359295</v>
      </c>
      <c r="R375">
        <v>2</v>
      </c>
      <c r="S375">
        <v>3</v>
      </c>
      <c r="T375">
        <v>21</v>
      </c>
      <c r="U375">
        <v>47.196849999999898</v>
      </c>
      <c r="V375">
        <v>188643.4</v>
      </c>
    </row>
    <row r="376" spans="1:22" x14ac:dyDescent="0.25">
      <c r="A376" t="s">
        <v>2230</v>
      </c>
      <c r="B376" t="s">
        <v>2231</v>
      </c>
      <c r="C376">
        <v>614</v>
      </c>
      <c r="D376">
        <v>98.5</v>
      </c>
      <c r="E376">
        <v>98.54</v>
      </c>
      <c r="F376" t="s">
        <v>2233</v>
      </c>
      <c r="G376" t="s">
        <v>2233</v>
      </c>
      <c r="H376">
        <f t="shared" si="8"/>
        <v>13</v>
      </c>
      <c r="M376">
        <v>1.0607999999999999E-2</v>
      </c>
      <c r="N376">
        <v>1952.03210449219</v>
      </c>
      <c r="O376">
        <v>977.02329999999904</v>
      </c>
      <c r="P376">
        <v>1952.021484375</v>
      </c>
      <c r="Q376">
        <v>977.01800537109295</v>
      </c>
      <c r="R376">
        <v>2</v>
      </c>
      <c r="S376">
        <v>2</v>
      </c>
      <c r="T376">
        <v>14</v>
      </c>
      <c r="U376">
        <v>42.953919999999897</v>
      </c>
      <c r="V376">
        <v>181178.9</v>
      </c>
    </row>
    <row r="377" spans="1:22" x14ac:dyDescent="0.25">
      <c r="A377" t="s">
        <v>2624</v>
      </c>
      <c r="B377" t="s">
        <v>2625</v>
      </c>
      <c r="C377">
        <v>544</v>
      </c>
      <c r="D377">
        <v>98.7</v>
      </c>
      <c r="E377">
        <v>98.72</v>
      </c>
      <c r="F377" t="s">
        <v>2626</v>
      </c>
      <c r="G377" t="s">
        <v>2626</v>
      </c>
      <c r="H377">
        <f t="shared" si="8"/>
        <v>9</v>
      </c>
      <c r="M377" s="1">
        <v>8.7764998897910101E-3</v>
      </c>
      <c r="N377">
        <v>1952.0302734375</v>
      </c>
      <c r="O377">
        <v>977.02239999999904</v>
      </c>
      <c r="P377">
        <v>1952.021484375</v>
      </c>
      <c r="Q377">
        <v>977.01800537109295</v>
      </c>
      <c r="R377">
        <v>2</v>
      </c>
      <c r="S377">
        <v>1</v>
      </c>
      <c r="T377">
        <v>15</v>
      </c>
      <c r="U377">
        <v>42.763100000000001</v>
      </c>
      <c r="V377">
        <v>160337.70000000001</v>
      </c>
    </row>
    <row r="378" spans="1:22" x14ac:dyDescent="0.25">
      <c r="A378" t="s">
        <v>2624</v>
      </c>
      <c r="B378" t="s">
        <v>2625</v>
      </c>
      <c r="C378">
        <v>544</v>
      </c>
      <c r="D378">
        <v>99</v>
      </c>
      <c r="E378">
        <v>99</v>
      </c>
      <c r="F378" t="s">
        <v>2626</v>
      </c>
      <c r="G378" t="s">
        <v>2626</v>
      </c>
      <c r="H378">
        <f t="shared" si="8"/>
        <v>9</v>
      </c>
      <c r="L378" t="s">
        <v>47</v>
      </c>
      <c r="M378" s="1">
        <v>5.9101898223161602E-3</v>
      </c>
      <c r="N378">
        <v>1958.95458984375</v>
      </c>
      <c r="O378">
        <v>653.99210000000005</v>
      </c>
      <c r="P378">
        <v>1958.94860839844</v>
      </c>
      <c r="Q378">
        <v>653.99017333984295</v>
      </c>
      <c r="R378">
        <v>3</v>
      </c>
      <c r="S378">
        <v>1</v>
      </c>
      <c r="T378">
        <v>15</v>
      </c>
      <c r="U378">
        <v>30.095050000000001</v>
      </c>
      <c r="V378">
        <v>1169832</v>
      </c>
    </row>
    <row r="379" spans="1:22" x14ac:dyDescent="0.25">
      <c r="A379" t="s">
        <v>655</v>
      </c>
      <c r="B379" t="s">
        <v>656</v>
      </c>
      <c r="C379">
        <v>2074</v>
      </c>
      <c r="D379">
        <v>99</v>
      </c>
      <c r="E379">
        <v>99</v>
      </c>
      <c r="F379" t="s">
        <v>657</v>
      </c>
      <c r="G379" t="s">
        <v>657</v>
      </c>
      <c r="H379">
        <f t="shared" si="8"/>
        <v>9</v>
      </c>
      <c r="M379" s="1">
        <v>6.3208900392055503E-3</v>
      </c>
      <c r="N379">
        <v>1552.86767578125</v>
      </c>
      <c r="O379">
        <v>777.44110000000001</v>
      </c>
      <c r="P379">
        <v>1552.861328125</v>
      </c>
      <c r="Q379">
        <v>777.43792724609295</v>
      </c>
      <c r="R379">
        <v>2</v>
      </c>
      <c r="S379">
        <v>1</v>
      </c>
      <c r="T379">
        <v>9</v>
      </c>
      <c r="U379">
        <v>44.982689999999899</v>
      </c>
      <c r="V379">
        <v>45095.21</v>
      </c>
    </row>
    <row r="380" spans="1:22" x14ac:dyDescent="0.25">
      <c r="A380" t="s">
        <v>2797</v>
      </c>
      <c r="B380" t="s">
        <v>2798</v>
      </c>
      <c r="C380">
        <v>75</v>
      </c>
      <c r="D380">
        <v>99</v>
      </c>
      <c r="E380">
        <v>99</v>
      </c>
      <c r="F380" t="s">
        <v>2799</v>
      </c>
      <c r="G380" t="s">
        <v>2799</v>
      </c>
      <c r="H380">
        <f t="shared" si="8"/>
        <v>11</v>
      </c>
      <c r="M380" s="1">
        <v>1.1467200238257601E-3</v>
      </c>
      <c r="N380">
        <v>1133.66088867188</v>
      </c>
      <c r="O380">
        <v>567.83770000000004</v>
      </c>
      <c r="P380">
        <v>1133.65966796875</v>
      </c>
      <c r="Q380">
        <v>567.837158203125</v>
      </c>
      <c r="R380">
        <v>2</v>
      </c>
      <c r="S380">
        <v>1</v>
      </c>
      <c r="T380">
        <v>11</v>
      </c>
      <c r="U380">
        <v>45.4099</v>
      </c>
      <c r="V380">
        <v>188819.7</v>
      </c>
    </row>
    <row r="381" spans="1:22" x14ac:dyDescent="0.25">
      <c r="A381" t="s">
        <v>2797</v>
      </c>
      <c r="B381" t="s">
        <v>2798</v>
      </c>
      <c r="C381">
        <v>71</v>
      </c>
      <c r="D381">
        <v>98.9</v>
      </c>
      <c r="E381">
        <v>98.85</v>
      </c>
      <c r="F381" t="s">
        <v>2800</v>
      </c>
      <c r="G381" t="s">
        <v>2800</v>
      </c>
      <c r="H381">
        <f t="shared" si="8"/>
        <v>18</v>
      </c>
      <c r="M381" s="1">
        <v>2.3674299009144302E-3</v>
      </c>
      <c r="N381">
        <v>1133.662109375</v>
      </c>
      <c r="O381">
        <v>567.8383</v>
      </c>
      <c r="P381">
        <v>1133.65966796875</v>
      </c>
      <c r="Q381">
        <v>567.837158203125</v>
      </c>
      <c r="R381">
        <v>2</v>
      </c>
      <c r="S381">
        <v>1</v>
      </c>
      <c r="T381">
        <v>12</v>
      </c>
      <c r="U381">
        <v>45.360720000000001</v>
      </c>
      <c r="V381">
        <v>249917.2</v>
      </c>
    </row>
    <row r="382" spans="1:22" x14ac:dyDescent="0.25">
      <c r="A382" t="s">
        <v>1416</v>
      </c>
      <c r="B382" t="s">
        <v>1417</v>
      </c>
      <c r="C382">
        <v>104</v>
      </c>
      <c r="D382">
        <v>99</v>
      </c>
      <c r="E382">
        <v>99</v>
      </c>
      <c r="F382" t="s">
        <v>1418</v>
      </c>
      <c r="G382" t="s">
        <v>1418</v>
      </c>
      <c r="H382">
        <f t="shared" si="8"/>
        <v>9</v>
      </c>
      <c r="M382" s="1">
        <v>1.82431004941462E-3</v>
      </c>
      <c r="N382">
        <v>997.55749511718705</v>
      </c>
      <c r="O382">
        <v>499.786</v>
      </c>
      <c r="P382">
        <v>997.5556640625</v>
      </c>
      <c r="Q382">
        <v>499.78509521484301</v>
      </c>
      <c r="R382">
        <v>2</v>
      </c>
      <c r="S382">
        <v>3</v>
      </c>
      <c r="T382">
        <v>12</v>
      </c>
      <c r="U382">
        <v>30.309850000000001</v>
      </c>
      <c r="V382">
        <v>6881632</v>
      </c>
    </row>
    <row r="383" spans="1:22" x14ac:dyDescent="0.25">
      <c r="A383" t="s">
        <v>1416</v>
      </c>
      <c r="B383" t="s">
        <v>1417</v>
      </c>
      <c r="C383">
        <v>104</v>
      </c>
      <c r="D383">
        <v>99</v>
      </c>
      <c r="E383">
        <v>99</v>
      </c>
      <c r="F383" t="s">
        <v>1418</v>
      </c>
      <c r="G383" t="s">
        <v>1418</v>
      </c>
      <c r="H383">
        <f t="shared" si="8"/>
        <v>9</v>
      </c>
      <c r="L383" t="s">
        <v>87</v>
      </c>
      <c r="M383" s="1">
        <v>5.33488020300865E-3</v>
      </c>
      <c r="N383">
        <v>1725.82971191406</v>
      </c>
      <c r="O383">
        <v>863.9221</v>
      </c>
      <c r="P383">
        <v>1725.82434082031</v>
      </c>
      <c r="Q383">
        <v>863.91943359375</v>
      </c>
      <c r="R383">
        <v>2</v>
      </c>
      <c r="S383">
        <v>1</v>
      </c>
      <c r="T383">
        <v>14</v>
      </c>
      <c r="U383">
        <v>40.494129999999899</v>
      </c>
      <c r="V383">
        <v>443946.9</v>
      </c>
    </row>
    <row r="384" spans="1:22" x14ac:dyDescent="0.25">
      <c r="A384" t="s">
        <v>1416</v>
      </c>
      <c r="B384" t="s">
        <v>1417</v>
      </c>
      <c r="C384">
        <v>190</v>
      </c>
      <c r="D384">
        <v>99</v>
      </c>
      <c r="E384">
        <v>99</v>
      </c>
      <c r="F384" t="s">
        <v>1419</v>
      </c>
      <c r="G384" t="s">
        <v>1419</v>
      </c>
      <c r="H384">
        <f t="shared" si="8"/>
        <v>16</v>
      </c>
      <c r="L384" t="s">
        <v>1420</v>
      </c>
      <c r="M384" s="1">
        <v>4.2398399673402301E-3</v>
      </c>
      <c r="N384">
        <v>1663.70043945313</v>
      </c>
      <c r="O384">
        <v>832.85749999999905</v>
      </c>
      <c r="P384">
        <v>1663.69616699219</v>
      </c>
      <c r="Q384">
        <v>832.85534667968705</v>
      </c>
      <c r="R384">
        <v>2</v>
      </c>
      <c r="S384">
        <v>1</v>
      </c>
      <c r="T384">
        <v>13</v>
      </c>
      <c r="U384">
        <v>30.933150000000001</v>
      </c>
      <c r="V384">
        <v>169728.5</v>
      </c>
    </row>
    <row r="385" spans="1:22" x14ac:dyDescent="0.25">
      <c r="A385" t="s">
        <v>1945</v>
      </c>
      <c r="B385" t="s">
        <v>1946</v>
      </c>
      <c r="C385">
        <v>137</v>
      </c>
      <c r="D385">
        <v>98.3</v>
      </c>
      <c r="E385">
        <v>98.3</v>
      </c>
      <c r="F385" t="s">
        <v>1947</v>
      </c>
      <c r="G385" t="s">
        <v>1947</v>
      </c>
      <c r="H385">
        <f t="shared" si="8"/>
        <v>9</v>
      </c>
      <c r="M385" s="1">
        <v>1.03084999136627E-3</v>
      </c>
      <c r="N385">
        <v>997.55670166015602</v>
      </c>
      <c r="O385">
        <v>499.78559999999902</v>
      </c>
      <c r="P385">
        <v>997.5556640625</v>
      </c>
      <c r="Q385">
        <v>499.78509521484301</v>
      </c>
      <c r="R385">
        <v>2</v>
      </c>
      <c r="S385">
        <v>5</v>
      </c>
      <c r="T385">
        <v>12</v>
      </c>
      <c r="U385">
        <v>30.450869999999899</v>
      </c>
      <c r="V385">
        <v>5843702</v>
      </c>
    </row>
    <row r="386" spans="1:22" x14ac:dyDescent="0.25">
      <c r="A386" t="s">
        <v>2143</v>
      </c>
      <c r="B386" t="s">
        <v>2144</v>
      </c>
      <c r="C386">
        <v>311</v>
      </c>
      <c r="D386">
        <v>99</v>
      </c>
      <c r="E386">
        <v>99</v>
      </c>
      <c r="F386" t="s">
        <v>2145</v>
      </c>
      <c r="G386" t="s">
        <v>2145</v>
      </c>
      <c r="H386">
        <f t="shared" si="8"/>
        <v>15</v>
      </c>
      <c r="M386" s="1">
        <v>7.4283899739384703E-3</v>
      </c>
      <c r="N386">
        <v>1758.86108398438</v>
      </c>
      <c r="O386">
        <v>587.29430000000002</v>
      </c>
      <c r="P386">
        <v>1758.85363769531</v>
      </c>
      <c r="Q386">
        <v>587.29180908203102</v>
      </c>
      <c r="R386">
        <v>3</v>
      </c>
      <c r="S386">
        <v>2</v>
      </c>
      <c r="T386">
        <v>12</v>
      </c>
      <c r="U386">
        <v>38.0383</v>
      </c>
      <c r="V386">
        <v>262930.3</v>
      </c>
    </row>
    <row r="387" spans="1:22" x14ac:dyDescent="0.25">
      <c r="A387" t="s">
        <v>4036</v>
      </c>
      <c r="B387" t="s">
        <v>4037</v>
      </c>
      <c r="C387">
        <v>270</v>
      </c>
      <c r="D387">
        <v>99</v>
      </c>
      <c r="E387">
        <v>99</v>
      </c>
      <c r="F387" t="s">
        <v>4038</v>
      </c>
      <c r="G387" t="s">
        <v>4038</v>
      </c>
      <c r="H387">
        <f t="shared" ref="H387:H450" si="9">LEN(G387)</f>
        <v>9</v>
      </c>
      <c r="L387" t="s">
        <v>116</v>
      </c>
      <c r="M387" s="1">
        <v>3.7037299480289099E-3</v>
      </c>
      <c r="N387">
        <v>1052.58044433594</v>
      </c>
      <c r="O387">
        <v>527.29750000000001</v>
      </c>
      <c r="P387">
        <v>1052.57666015625</v>
      </c>
      <c r="Q387">
        <v>527.295654296875</v>
      </c>
      <c r="R387">
        <v>2</v>
      </c>
      <c r="S387">
        <v>2</v>
      </c>
      <c r="T387">
        <v>12</v>
      </c>
      <c r="U387">
        <v>43.128500000000003</v>
      </c>
      <c r="V387">
        <v>3254861</v>
      </c>
    </row>
    <row r="388" spans="1:22" x14ac:dyDescent="0.25">
      <c r="A388" t="s">
        <v>140</v>
      </c>
      <c r="B388" t="s">
        <v>141</v>
      </c>
      <c r="C388">
        <v>127</v>
      </c>
      <c r="D388">
        <v>97.1</v>
      </c>
      <c r="E388">
        <v>97.09</v>
      </c>
      <c r="F388" t="s">
        <v>4319</v>
      </c>
      <c r="G388" t="s">
        <v>4319</v>
      </c>
      <c r="H388">
        <f t="shared" si="9"/>
        <v>9</v>
      </c>
      <c r="M388" s="1">
        <v>9.2594400048255903E-3</v>
      </c>
      <c r="N388">
        <v>1758.86291503906</v>
      </c>
      <c r="O388">
        <v>587.29489999999896</v>
      </c>
      <c r="P388">
        <v>1758.85363769531</v>
      </c>
      <c r="Q388">
        <v>587.29180908203102</v>
      </c>
      <c r="R388">
        <v>3</v>
      </c>
      <c r="S388">
        <v>1</v>
      </c>
      <c r="T388">
        <v>12</v>
      </c>
      <c r="U388">
        <v>37.973030000000001</v>
      </c>
      <c r="V388">
        <v>227352.9</v>
      </c>
    </row>
    <row r="389" spans="1:22" x14ac:dyDescent="0.25">
      <c r="A389" t="s">
        <v>4495</v>
      </c>
      <c r="B389" t="s">
        <v>4496</v>
      </c>
      <c r="C389">
        <v>397</v>
      </c>
      <c r="D389">
        <v>99</v>
      </c>
      <c r="E389">
        <v>99</v>
      </c>
      <c r="F389" t="s">
        <v>4497</v>
      </c>
      <c r="G389" t="s">
        <v>4497</v>
      </c>
      <c r="H389">
        <f t="shared" si="9"/>
        <v>14</v>
      </c>
      <c r="M389" s="1">
        <v>4.2830999009311104E-3</v>
      </c>
      <c r="N389">
        <v>1320.65393066406</v>
      </c>
      <c r="O389">
        <v>661.33420000000001</v>
      </c>
      <c r="P389">
        <v>1320.64965820313</v>
      </c>
      <c r="Q389">
        <v>661.33209228515602</v>
      </c>
      <c r="R389">
        <v>2</v>
      </c>
      <c r="S389">
        <v>2</v>
      </c>
      <c r="T389">
        <v>12</v>
      </c>
      <c r="U389">
        <v>30.85812</v>
      </c>
      <c r="V389">
        <v>865107.6</v>
      </c>
    </row>
    <row r="390" spans="1:22" x14ac:dyDescent="0.25">
      <c r="A390" t="s">
        <v>4495</v>
      </c>
      <c r="B390" t="s">
        <v>4496</v>
      </c>
      <c r="C390">
        <v>397</v>
      </c>
      <c r="D390">
        <v>99</v>
      </c>
      <c r="E390">
        <v>99</v>
      </c>
      <c r="F390" t="s">
        <v>4498</v>
      </c>
      <c r="G390" t="s">
        <v>4498</v>
      </c>
      <c r="H390">
        <f t="shared" si="9"/>
        <v>15</v>
      </c>
      <c r="M390" s="1">
        <v>5.2596698515117203E-3</v>
      </c>
      <c r="N390">
        <v>1320.65490722656</v>
      </c>
      <c r="O390">
        <v>661.3347</v>
      </c>
      <c r="P390">
        <v>1320.64965820313</v>
      </c>
      <c r="Q390">
        <v>661.33209228515602</v>
      </c>
      <c r="R390">
        <v>2</v>
      </c>
      <c r="S390">
        <v>1</v>
      </c>
      <c r="T390">
        <v>12</v>
      </c>
      <c r="U390">
        <v>30.8059499999999</v>
      </c>
      <c r="V390">
        <v>377756.4</v>
      </c>
    </row>
    <row r="391" spans="1:22" x14ac:dyDescent="0.25">
      <c r="A391" t="s">
        <v>2369</v>
      </c>
      <c r="B391" t="s">
        <v>2370</v>
      </c>
      <c r="C391">
        <v>121</v>
      </c>
      <c r="D391">
        <v>99</v>
      </c>
      <c r="E391">
        <v>99</v>
      </c>
      <c r="F391" t="s">
        <v>2371</v>
      </c>
      <c r="G391" t="s">
        <v>2371</v>
      </c>
      <c r="H391">
        <f t="shared" si="9"/>
        <v>28</v>
      </c>
      <c r="M391" s="1">
        <v>1.36849004775286E-3</v>
      </c>
      <c r="N391">
        <v>1111.66284179688</v>
      </c>
      <c r="O391">
        <v>556.83870000000002</v>
      </c>
      <c r="P391">
        <v>1111.66149902344</v>
      </c>
      <c r="Q391">
        <v>556.83801269531205</v>
      </c>
      <c r="R391">
        <v>2</v>
      </c>
      <c r="S391">
        <v>4</v>
      </c>
      <c r="T391">
        <v>12</v>
      </c>
      <c r="U391">
        <v>26.444050000000001</v>
      </c>
      <c r="V391">
        <v>19265490</v>
      </c>
    </row>
    <row r="392" spans="1:22" x14ac:dyDescent="0.25">
      <c r="A392" t="s">
        <v>2369</v>
      </c>
      <c r="B392" t="s">
        <v>2370</v>
      </c>
      <c r="C392">
        <v>121</v>
      </c>
      <c r="D392">
        <v>99</v>
      </c>
      <c r="E392">
        <v>99</v>
      </c>
      <c r="F392" t="s">
        <v>2372</v>
      </c>
      <c r="G392" t="s">
        <v>2372</v>
      </c>
      <c r="H392">
        <f t="shared" si="9"/>
        <v>29</v>
      </c>
      <c r="M392" s="1">
        <v>1.36849004775286E-3</v>
      </c>
      <c r="N392">
        <v>1111.66284179688</v>
      </c>
      <c r="O392">
        <v>556.83870000000002</v>
      </c>
      <c r="P392">
        <v>1111.66149902344</v>
      </c>
      <c r="Q392">
        <v>556.83801269531205</v>
      </c>
      <c r="R392">
        <v>2</v>
      </c>
      <c r="S392">
        <v>3</v>
      </c>
      <c r="T392">
        <v>11</v>
      </c>
      <c r="U392">
        <v>26.489899999999899</v>
      </c>
      <c r="V392">
        <v>14915150</v>
      </c>
    </row>
    <row r="393" spans="1:22" x14ac:dyDescent="0.25">
      <c r="A393" t="s">
        <v>322</v>
      </c>
      <c r="B393" t="s">
        <v>323</v>
      </c>
      <c r="C393">
        <v>271</v>
      </c>
      <c r="D393">
        <v>99</v>
      </c>
      <c r="E393">
        <v>99</v>
      </c>
      <c r="F393" t="s">
        <v>327</v>
      </c>
      <c r="G393" t="s">
        <v>327</v>
      </c>
      <c r="H393">
        <f t="shared" si="9"/>
        <v>16</v>
      </c>
      <c r="L393" t="s">
        <v>295</v>
      </c>
      <c r="M393" s="1">
        <v>-1.14747998304665E-3</v>
      </c>
      <c r="N393">
        <v>2160.10986328125</v>
      </c>
      <c r="O393">
        <v>721.04390000000001</v>
      </c>
      <c r="P393">
        <v>2160.11108398438</v>
      </c>
      <c r="Q393">
        <v>721.04425048828102</v>
      </c>
      <c r="R393">
        <v>3</v>
      </c>
      <c r="S393">
        <v>3</v>
      </c>
      <c r="T393">
        <v>11</v>
      </c>
      <c r="U393">
        <v>17.985620000000001</v>
      </c>
      <c r="V393">
        <v>289171.5</v>
      </c>
    </row>
    <row r="394" spans="1:22" x14ac:dyDescent="0.25">
      <c r="A394" t="s">
        <v>97</v>
      </c>
      <c r="B394" t="s">
        <v>98</v>
      </c>
      <c r="C394">
        <v>434</v>
      </c>
      <c r="D394">
        <v>99</v>
      </c>
      <c r="E394">
        <v>99</v>
      </c>
      <c r="F394" t="s">
        <v>100</v>
      </c>
      <c r="G394" t="s">
        <v>100</v>
      </c>
      <c r="H394">
        <f t="shared" si="9"/>
        <v>9</v>
      </c>
      <c r="M394" s="1">
        <v>-2.6385398814454702E-4</v>
      </c>
      <c r="N394">
        <v>1056.62890625</v>
      </c>
      <c r="O394">
        <v>529.32169999999905</v>
      </c>
      <c r="P394">
        <v>1056.62915039063</v>
      </c>
      <c r="Q394">
        <v>529.32183837890602</v>
      </c>
      <c r="R394">
        <v>2</v>
      </c>
      <c r="S394">
        <v>2</v>
      </c>
      <c r="T394">
        <v>13</v>
      </c>
      <c r="U394">
        <v>19.964980000000001</v>
      </c>
      <c r="V394">
        <v>698503.2</v>
      </c>
    </row>
    <row r="395" spans="1:22" x14ac:dyDescent="0.25">
      <c r="A395" t="s">
        <v>97</v>
      </c>
      <c r="B395" t="s">
        <v>98</v>
      </c>
      <c r="C395">
        <v>434</v>
      </c>
      <c r="D395">
        <v>99</v>
      </c>
      <c r="E395">
        <v>99</v>
      </c>
      <c r="F395" t="s">
        <v>99</v>
      </c>
      <c r="G395" t="s">
        <v>99</v>
      </c>
      <c r="H395">
        <f t="shared" si="9"/>
        <v>10</v>
      </c>
      <c r="M395" s="1">
        <v>2.48417002148926E-3</v>
      </c>
      <c r="N395">
        <v>1137.70471191406</v>
      </c>
      <c r="O395">
        <v>380.24220000000003</v>
      </c>
      <c r="P395">
        <v>1137.70227050781</v>
      </c>
      <c r="Q395">
        <v>380.24136352539102</v>
      </c>
      <c r="R395">
        <v>3</v>
      </c>
      <c r="S395">
        <v>2</v>
      </c>
      <c r="T395">
        <v>11</v>
      </c>
      <c r="U395">
        <v>32.581919999999897</v>
      </c>
      <c r="V395">
        <v>945523.6</v>
      </c>
    </row>
    <row r="396" spans="1:22" x14ac:dyDescent="0.25">
      <c r="A396" t="s">
        <v>4028</v>
      </c>
      <c r="B396" t="s">
        <v>4029</v>
      </c>
      <c r="C396">
        <v>88</v>
      </c>
      <c r="D396">
        <v>97.7</v>
      </c>
      <c r="E396">
        <v>97.67</v>
      </c>
      <c r="F396" t="s">
        <v>4030</v>
      </c>
      <c r="G396" t="s">
        <v>4030</v>
      </c>
      <c r="H396">
        <f t="shared" si="9"/>
        <v>9</v>
      </c>
      <c r="M396">
        <v>3.1250000000000002E-3</v>
      </c>
      <c r="N396">
        <v>1137.70532226563</v>
      </c>
      <c r="O396">
        <v>380.24239999999901</v>
      </c>
      <c r="P396">
        <v>1137.70227050781</v>
      </c>
      <c r="Q396">
        <v>380.24136352539102</v>
      </c>
      <c r="R396">
        <v>3</v>
      </c>
      <c r="S396">
        <v>3</v>
      </c>
      <c r="T396">
        <v>11</v>
      </c>
      <c r="U396">
        <v>32.591320000000003</v>
      </c>
      <c r="V396">
        <v>1573817</v>
      </c>
    </row>
    <row r="397" spans="1:22" x14ac:dyDescent="0.25">
      <c r="A397" t="s">
        <v>1219</v>
      </c>
      <c r="B397" t="s">
        <v>1220</v>
      </c>
      <c r="C397">
        <v>266</v>
      </c>
      <c r="D397">
        <v>97.5</v>
      </c>
      <c r="E397">
        <v>97.49</v>
      </c>
      <c r="F397" t="s">
        <v>1221</v>
      </c>
      <c r="G397" t="s">
        <v>1221</v>
      </c>
      <c r="H397">
        <f t="shared" si="9"/>
        <v>9</v>
      </c>
      <c r="M397" s="1">
        <v>-2.3799999617040201E-3</v>
      </c>
      <c r="N397">
        <v>1115.64270019531</v>
      </c>
      <c r="O397">
        <v>1116.6500000000001</v>
      </c>
      <c r="P397">
        <v>1115.64514160156</v>
      </c>
      <c r="Q397">
        <v>1116.65234375</v>
      </c>
      <c r="R397">
        <v>1</v>
      </c>
      <c r="S397">
        <v>2</v>
      </c>
      <c r="T397">
        <v>12</v>
      </c>
      <c r="U397">
        <v>23.566099999999899</v>
      </c>
      <c r="V397">
        <v>3966303</v>
      </c>
    </row>
    <row r="398" spans="1:22" x14ac:dyDescent="0.25">
      <c r="A398" t="s">
        <v>1219</v>
      </c>
      <c r="B398" t="s">
        <v>1220</v>
      </c>
      <c r="C398">
        <v>210</v>
      </c>
      <c r="D398">
        <v>98.3</v>
      </c>
      <c r="E398">
        <v>98.34</v>
      </c>
      <c r="F398" t="s">
        <v>1222</v>
      </c>
      <c r="G398" t="s">
        <v>1222</v>
      </c>
      <c r="H398">
        <f t="shared" si="9"/>
        <v>8</v>
      </c>
      <c r="M398" s="1">
        <v>-4.4799898751080001E-3</v>
      </c>
      <c r="N398">
        <v>1123.61267089844</v>
      </c>
      <c r="O398">
        <v>1124.6199999999899</v>
      </c>
      <c r="P398">
        <v>1123.6171875</v>
      </c>
      <c r="Q398">
        <v>1124.62451171875</v>
      </c>
      <c r="R398">
        <v>1</v>
      </c>
      <c r="S398">
        <v>13</v>
      </c>
      <c r="T398">
        <v>12</v>
      </c>
      <c r="U398">
        <v>19.545780000000001</v>
      </c>
      <c r="V398">
        <v>8499858</v>
      </c>
    </row>
    <row r="399" spans="1:22" x14ac:dyDescent="0.25">
      <c r="A399" t="s">
        <v>2706</v>
      </c>
      <c r="B399" t="s">
        <v>2707</v>
      </c>
      <c r="C399">
        <v>138</v>
      </c>
      <c r="D399">
        <v>99</v>
      </c>
      <c r="E399">
        <v>99</v>
      </c>
      <c r="F399" t="s">
        <v>2708</v>
      </c>
      <c r="G399" t="s">
        <v>2708</v>
      </c>
      <c r="H399">
        <f t="shared" si="9"/>
        <v>16</v>
      </c>
      <c r="M399" s="1">
        <v>3.14555992372334E-3</v>
      </c>
      <c r="N399">
        <v>1104.66870117188</v>
      </c>
      <c r="O399">
        <v>553.34159999999895</v>
      </c>
      <c r="P399">
        <v>1104.66552734375</v>
      </c>
      <c r="Q399">
        <v>553.34002685546795</v>
      </c>
      <c r="R399">
        <v>2</v>
      </c>
      <c r="S399">
        <v>1</v>
      </c>
      <c r="T399">
        <v>14</v>
      </c>
      <c r="U399">
        <v>30.496200000000002</v>
      </c>
      <c r="V399">
        <v>308278.8</v>
      </c>
    </row>
    <row r="400" spans="1:22" x14ac:dyDescent="0.25">
      <c r="A400" t="s">
        <v>2706</v>
      </c>
      <c r="B400" t="s">
        <v>2707</v>
      </c>
      <c r="C400">
        <v>138</v>
      </c>
      <c r="D400">
        <v>99</v>
      </c>
      <c r="E400">
        <v>99</v>
      </c>
      <c r="F400" t="s">
        <v>2709</v>
      </c>
      <c r="G400" t="s">
        <v>2709</v>
      </c>
      <c r="H400">
        <f t="shared" si="9"/>
        <v>18</v>
      </c>
      <c r="M400" s="1">
        <v>-4.9526500515639704E-3</v>
      </c>
      <c r="N400">
        <v>1108.65551757813</v>
      </c>
      <c r="O400">
        <v>555.33500000000004</v>
      </c>
      <c r="P400">
        <v>1108.66040039063</v>
      </c>
      <c r="Q400">
        <v>555.33752441406205</v>
      </c>
      <c r="R400">
        <v>2</v>
      </c>
      <c r="S400">
        <v>1</v>
      </c>
      <c r="T400">
        <v>14</v>
      </c>
      <c r="U400">
        <v>21.234649999999899</v>
      </c>
      <c r="V400">
        <v>1010051</v>
      </c>
    </row>
    <row r="401" spans="1:22" x14ac:dyDescent="0.25">
      <c r="A401" t="s">
        <v>4308</v>
      </c>
      <c r="B401" t="s">
        <v>4309</v>
      </c>
      <c r="C401">
        <v>138</v>
      </c>
      <c r="D401">
        <v>99</v>
      </c>
      <c r="E401">
        <v>99</v>
      </c>
      <c r="F401" t="s">
        <v>4310</v>
      </c>
      <c r="G401" t="s">
        <v>4310</v>
      </c>
      <c r="H401">
        <f t="shared" si="9"/>
        <v>9</v>
      </c>
      <c r="M401">
        <v>-4.3600000000000003E-4</v>
      </c>
      <c r="N401">
        <v>1108.66003417969</v>
      </c>
      <c r="O401">
        <v>555.33730000000003</v>
      </c>
      <c r="P401">
        <v>1108.66040039063</v>
      </c>
      <c r="Q401">
        <v>555.33752441406205</v>
      </c>
      <c r="R401">
        <v>2</v>
      </c>
      <c r="S401">
        <v>1</v>
      </c>
      <c r="T401">
        <v>14</v>
      </c>
      <c r="U401">
        <v>21.19623</v>
      </c>
      <c r="V401">
        <v>788233.8</v>
      </c>
    </row>
    <row r="402" spans="1:22" x14ac:dyDescent="0.25">
      <c r="A402" t="s">
        <v>3462</v>
      </c>
      <c r="B402" t="s">
        <v>3463</v>
      </c>
      <c r="C402">
        <v>11</v>
      </c>
      <c r="D402">
        <v>98.9</v>
      </c>
      <c r="E402">
        <v>98.91</v>
      </c>
      <c r="F402" t="s">
        <v>3464</v>
      </c>
      <c r="G402" t="s">
        <v>3464</v>
      </c>
      <c r="H402">
        <f t="shared" si="9"/>
        <v>9</v>
      </c>
      <c r="L402" t="s">
        <v>295</v>
      </c>
      <c r="M402" s="1">
        <v>3.68904997594654E-3</v>
      </c>
      <c r="N402">
        <v>2371.19921875</v>
      </c>
      <c r="O402">
        <v>791.40700000000004</v>
      </c>
      <c r="P402">
        <v>2371.1953125</v>
      </c>
      <c r="Q402">
        <v>791.40576171875</v>
      </c>
      <c r="R402">
        <v>3</v>
      </c>
      <c r="S402">
        <v>1</v>
      </c>
      <c r="T402">
        <v>11</v>
      </c>
      <c r="U402">
        <v>21.71743</v>
      </c>
      <c r="V402">
        <v>188693.9</v>
      </c>
    </row>
    <row r="403" spans="1:22" x14ac:dyDescent="0.25">
      <c r="A403" t="s">
        <v>3841</v>
      </c>
      <c r="B403" t="s">
        <v>3842</v>
      </c>
      <c r="C403">
        <v>199</v>
      </c>
      <c r="D403">
        <v>99</v>
      </c>
      <c r="E403">
        <v>99</v>
      </c>
      <c r="F403" t="s">
        <v>3843</v>
      </c>
      <c r="G403" t="s">
        <v>3843</v>
      </c>
      <c r="H403">
        <f t="shared" si="9"/>
        <v>9</v>
      </c>
      <c r="M403" s="1">
        <v>-2.89101991802453E-3</v>
      </c>
      <c r="N403">
        <v>950.59967041015602</v>
      </c>
      <c r="O403">
        <v>476.30709999999902</v>
      </c>
      <c r="P403">
        <v>950.6025390625</v>
      </c>
      <c r="Q403">
        <v>476.30853271484301</v>
      </c>
      <c r="R403">
        <v>2</v>
      </c>
      <c r="S403">
        <v>1</v>
      </c>
      <c r="T403">
        <v>11</v>
      </c>
      <c r="U403">
        <v>20.227979999999899</v>
      </c>
      <c r="V403">
        <v>975499.4</v>
      </c>
    </row>
    <row r="404" spans="1:22" x14ac:dyDescent="0.25">
      <c r="A404" t="s">
        <v>3504</v>
      </c>
      <c r="B404" t="s">
        <v>3505</v>
      </c>
      <c r="C404">
        <v>513</v>
      </c>
      <c r="D404">
        <v>99</v>
      </c>
      <c r="E404">
        <v>98.99</v>
      </c>
      <c r="F404" t="s">
        <v>3506</v>
      </c>
      <c r="G404" t="s">
        <v>3506</v>
      </c>
      <c r="H404">
        <f t="shared" si="9"/>
        <v>9</v>
      </c>
      <c r="M404" s="1">
        <v>-3.86758008971809E-3</v>
      </c>
      <c r="N404">
        <v>950.59869384765602</v>
      </c>
      <c r="O404">
        <v>476.3066</v>
      </c>
      <c r="P404">
        <v>950.6025390625</v>
      </c>
      <c r="Q404">
        <v>476.30853271484301</v>
      </c>
      <c r="R404">
        <v>2</v>
      </c>
      <c r="S404">
        <v>1</v>
      </c>
      <c r="T404">
        <v>8</v>
      </c>
      <c r="U404">
        <v>20.2034699999999</v>
      </c>
      <c r="V404">
        <v>663101.69999999902</v>
      </c>
    </row>
    <row r="405" spans="1:22" x14ac:dyDescent="0.25">
      <c r="A405" t="s">
        <v>3164</v>
      </c>
      <c r="B405" t="s">
        <v>3165</v>
      </c>
      <c r="C405">
        <v>1484</v>
      </c>
      <c r="D405">
        <v>98.1</v>
      </c>
      <c r="E405">
        <v>98.1</v>
      </c>
      <c r="F405" t="s">
        <v>468</v>
      </c>
      <c r="G405" t="s">
        <v>468</v>
      </c>
      <c r="H405">
        <f t="shared" si="9"/>
        <v>9</v>
      </c>
      <c r="M405">
        <v>3.0400000000000002E-3</v>
      </c>
      <c r="N405">
        <v>1134.64270019531</v>
      </c>
      <c r="O405">
        <v>1135.6500000000001</v>
      </c>
      <c r="P405">
        <v>1134.6396484375</v>
      </c>
      <c r="Q405">
        <v>1135.64697265625</v>
      </c>
      <c r="R405">
        <v>1</v>
      </c>
      <c r="S405">
        <v>7</v>
      </c>
      <c r="T405">
        <v>12</v>
      </c>
      <c r="U405">
        <v>25.2926</v>
      </c>
      <c r="V405">
        <v>7511329</v>
      </c>
    </row>
    <row r="406" spans="1:22" x14ac:dyDescent="0.25">
      <c r="A406" t="s">
        <v>4008</v>
      </c>
      <c r="B406" t="s">
        <v>4009</v>
      </c>
      <c r="C406">
        <v>1763</v>
      </c>
      <c r="D406">
        <v>99</v>
      </c>
      <c r="E406">
        <v>99</v>
      </c>
      <c r="F406" t="s">
        <v>4010</v>
      </c>
      <c r="G406" t="s">
        <v>4010</v>
      </c>
      <c r="H406">
        <f t="shared" si="9"/>
        <v>9</v>
      </c>
      <c r="M406" s="1">
        <v>3.0397400259971601E-3</v>
      </c>
      <c r="N406">
        <v>1134.64270019531</v>
      </c>
      <c r="O406">
        <v>1135.6500000000001</v>
      </c>
      <c r="P406">
        <v>1134.6396484375</v>
      </c>
      <c r="Q406">
        <v>1135.64697265625</v>
      </c>
      <c r="R406">
        <v>1</v>
      </c>
      <c r="S406">
        <v>7</v>
      </c>
      <c r="T406">
        <v>13</v>
      </c>
      <c r="U406">
        <v>25.1497999999999</v>
      </c>
      <c r="V406">
        <v>2366182</v>
      </c>
    </row>
    <row r="407" spans="1:22" x14ac:dyDescent="0.25">
      <c r="A407" t="s">
        <v>242</v>
      </c>
      <c r="B407" t="s">
        <v>243</v>
      </c>
      <c r="C407">
        <v>165</v>
      </c>
      <c r="D407">
        <v>98.4</v>
      </c>
      <c r="E407">
        <v>98.44</v>
      </c>
      <c r="F407" t="s">
        <v>3589</v>
      </c>
      <c r="G407" t="s">
        <v>3589</v>
      </c>
      <c r="H407">
        <f t="shared" si="9"/>
        <v>14</v>
      </c>
      <c r="M407" s="1">
        <v>-3.3463101135566701E-4</v>
      </c>
      <c r="N407">
        <v>1099.638671875</v>
      </c>
      <c r="O407">
        <v>550.82659999999896</v>
      </c>
      <c r="P407">
        <v>1099.63903808594</v>
      </c>
      <c r="Q407">
        <v>550.82678222656205</v>
      </c>
      <c r="R407">
        <v>2</v>
      </c>
      <c r="S407">
        <v>1</v>
      </c>
      <c r="T407">
        <v>10</v>
      </c>
      <c r="U407">
        <v>22.723880000000001</v>
      </c>
      <c r="V407">
        <v>837574.4</v>
      </c>
    </row>
    <row r="408" spans="1:22" x14ac:dyDescent="0.25">
      <c r="A408" t="s">
        <v>4373</v>
      </c>
      <c r="B408" t="s">
        <v>4374</v>
      </c>
      <c r="C408">
        <v>83</v>
      </c>
      <c r="D408">
        <v>99</v>
      </c>
      <c r="E408">
        <v>99</v>
      </c>
      <c r="F408" t="s">
        <v>4375</v>
      </c>
      <c r="G408" t="s">
        <v>4375</v>
      </c>
      <c r="H408">
        <f t="shared" si="9"/>
        <v>15</v>
      </c>
      <c r="M408" s="1">
        <v>-3.4459200687706501E-3</v>
      </c>
      <c r="N408">
        <v>1022.59509277344</v>
      </c>
      <c r="O408">
        <v>512.3048</v>
      </c>
      <c r="P408">
        <v>1022.59851074219</v>
      </c>
      <c r="Q408">
        <v>512.30651855468705</v>
      </c>
      <c r="R408">
        <v>2</v>
      </c>
      <c r="S408">
        <v>1</v>
      </c>
      <c r="T408">
        <v>12</v>
      </c>
      <c r="U408">
        <v>20.0961199999999</v>
      </c>
      <c r="V408">
        <v>970352.5</v>
      </c>
    </row>
    <row r="409" spans="1:22" x14ac:dyDescent="0.25">
      <c r="A409" t="s">
        <v>3793</v>
      </c>
      <c r="B409" t="s">
        <v>3794</v>
      </c>
      <c r="C409">
        <v>134</v>
      </c>
      <c r="D409">
        <v>98.9</v>
      </c>
      <c r="E409">
        <v>98.89</v>
      </c>
      <c r="F409" t="s">
        <v>3795</v>
      </c>
      <c r="G409" t="s">
        <v>3795</v>
      </c>
      <c r="H409">
        <f t="shared" si="9"/>
        <v>10</v>
      </c>
      <c r="M409" s="1">
        <v>-3.07971006259321E-3</v>
      </c>
      <c r="N409">
        <v>1022.59545898438</v>
      </c>
      <c r="O409">
        <v>512.30499999999904</v>
      </c>
      <c r="P409">
        <v>1022.59851074219</v>
      </c>
      <c r="Q409">
        <v>512.30651855468705</v>
      </c>
      <c r="R409">
        <v>2</v>
      </c>
      <c r="S409">
        <v>1</v>
      </c>
      <c r="T409">
        <v>12</v>
      </c>
      <c r="U409">
        <v>19.990580000000001</v>
      </c>
      <c r="V409">
        <v>512573.1</v>
      </c>
    </row>
    <row r="410" spans="1:22" x14ac:dyDescent="0.25">
      <c r="A410" t="s">
        <v>2165</v>
      </c>
      <c r="B410" t="s">
        <v>2166</v>
      </c>
      <c r="C410">
        <v>259</v>
      </c>
      <c r="D410">
        <v>99</v>
      </c>
      <c r="E410">
        <v>99</v>
      </c>
      <c r="F410" t="s">
        <v>415</v>
      </c>
      <c r="G410" t="s">
        <v>415</v>
      </c>
      <c r="H410">
        <f t="shared" si="9"/>
        <v>9</v>
      </c>
      <c r="M410" s="1">
        <v>-1.8192900461144599E-4</v>
      </c>
      <c r="N410">
        <v>1101.62145996094</v>
      </c>
      <c r="O410">
        <v>551.81799999999896</v>
      </c>
      <c r="P410">
        <v>1101.62158203125</v>
      </c>
      <c r="Q410">
        <v>551.81805419921795</v>
      </c>
      <c r="R410">
        <v>2</v>
      </c>
      <c r="S410">
        <v>2</v>
      </c>
      <c r="T410">
        <v>14</v>
      </c>
      <c r="U410">
        <v>35.476900000000001</v>
      </c>
      <c r="V410">
        <v>945282.4</v>
      </c>
    </row>
    <row r="411" spans="1:22" x14ac:dyDescent="0.25">
      <c r="A411" t="s">
        <v>1274</v>
      </c>
      <c r="B411" t="s">
        <v>1275</v>
      </c>
      <c r="C411">
        <v>211</v>
      </c>
      <c r="D411">
        <v>99</v>
      </c>
      <c r="E411">
        <v>99</v>
      </c>
      <c r="F411" t="s">
        <v>1276</v>
      </c>
      <c r="G411" t="s">
        <v>1276</v>
      </c>
      <c r="H411">
        <f t="shared" si="9"/>
        <v>10</v>
      </c>
      <c r="M411" s="1">
        <v>-1.32265000138432E-3</v>
      </c>
      <c r="N411">
        <v>1960.98815917969</v>
      </c>
      <c r="O411">
        <v>654.66999999999905</v>
      </c>
      <c r="P411">
        <v>1960.98950195313</v>
      </c>
      <c r="Q411">
        <v>654.67041015625</v>
      </c>
      <c r="R411">
        <v>3</v>
      </c>
      <c r="S411">
        <v>1</v>
      </c>
      <c r="T411">
        <v>7</v>
      </c>
      <c r="U411">
        <v>48.999920000000003</v>
      </c>
      <c r="V411">
        <v>42904</v>
      </c>
    </row>
    <row r="412" spans="1:22" x14ac:dyDescent="0.25">
      <c r="A412" t="s">
        <v>2575</v>
      </c>
      <c r="B412" t="s">
        <v>2576</v>
      </c>
      <c r="C412">
        <v>1284</v>
      </c>
      <c r="D412">
        <v>99</v>
      </c>
      <c r="E412">
        <v>99</v>
      </c>
      <c r="F412" t="s">
        <v>2577</v>
      </c>
      <c r="G412" t="s">
        <v>2577</v>
      </c>
      <c r="H412">
        <f t="shared" si="9"/>
        <v>14</v>
      </c>
      <c r="M412" s="1">
        <v>4.0168501436710401E-3</v>
      </c>
      <c r="N412">
        <v>1815.93823242188</v>
      </c>
      <c r="O412">
        <v>606.32000000000005</v>
      </c>
      <c r="P412">
        <v>1815.93420410156</v>
      </c>
      <c r="Q412">
        <v>606.31866455078102</v>
      </c>
      <c r="R412">
        <v>3</v>
      </c>
      <c r="S412">
        <v>2</v>
      </c>
      <c r="T412">
        <v>13</v>
      </c>
      <c r="U412">
        <v>31.2577</v>
      </c>
      <c r="V412">
        <v>395145.3</v>
      </c>
    </row>
    <row r="413" spans="1:22" x14ac:dyDescent="0.25">
      <c r="A413" t="s">
        <v>2575</v>
      </c>
      <c r="B413" t="s">
        <v>2576</v>
      </c>
      <c r="C413">
        <v>1287</v>
      </c>
      <c r="D413">
        <v>99</v>
      </c>
      <c r="E413">
        <v>99</v>
      </c>
      <c r="F413" t="s">
        <v>2578</v>
      </c>
      <c r="G413" t="s">
        <v>2578</v>
      </c>
      <c r="H413">
        <f t="shared" si="9"/>
        <v>11</v>
      </c>
      <c r="M413" s="1">
        <v>3.0035099480300999E-3</v>
      </c>
      <c r="N413">
        <v>1794.75744628906</v>
      </c>
      <c r="O413">
        <v>898.38599999999894</v>
      </c>
      <c r="P413">
        <v>1794.75439453125</v>
      </c>
      <c r="Q413">
        <v>898.38446044921795</v>
      </c>
      <c r="R413">
        <v>2</v>
      </c>
      <c r="S413">
        <v>1</v>
      </c>
      <c r="T413">
        <v>12</v>
      </c>
      <c r="U413">
        <v>27.731929999999899</v>
      </c>
      <c r="V413">
        <v>183980.9</v>
      </c>
    </row>
    <row r="414" spans="1:22" x14ac:dyDescent="0.25">
      <c r="A414" t="s">
        <v>2575</v>
      </c>
      <c r="B414" t="s">
        <v>2576</v>
      </c>
      <c r="C414">
        <v>160</v>
      </c>
      <c r="D414">
        <v>99</v>
      </c>
      <c r="E414">
        <v>99</v>
      </c>
      <c r="F414" t="s">
        <v>2579</v>
      </c>
      <c r="G414" t="s">
        <v>2579</v>
      </c>
      <c r="H414">
        <f t="shared" si="9"/>
        <v>17</v>
      </c>
      <c r="M414" s="1">
        <v>-3.2873800955712801E-4</v>
      </c>
      <c r="N414">
        <v>1307.58129882813</v>
      </c>
      <c r="O414">
        <v>654.79790000000003</v>
      </c>
      <c r="P414">
        <v>1307.58154296875</v>
      </c>
      <c r="Q414">
        <v>654.798095703125</v>
      </c>
      <c r="R414">
        <v>2</v>
      </c>
      <c r="S414">
        <v>1</v>
      </c>
      <c r="T414">
        <v>16</v>
      </c>
      <c r="U414">
        <v>26.042000000000002</v>
      </c>
      <c r="V414">
        <v>415577.8</v>
      </c>
    </row>
    <row r="415" spans="1:22" x14ac:dyDescent="0.25">
      <c r="A415" t="s">
        <v>2575</v>
      </c>
      <c r="B415" t="s">
        <v>2576</v>
      </c>
      <c r="C415">
        <v>1284</v>
      </c>
      <c r="D415">
        <v>99</v>
      </c>
      <c r="E415">
        <v>99</v>
      </c>
      <c r="F415" t="s">
        <v>2580</v>
      </c>
      <c r="G415" t="s">
        <v>2580</v>
      </c>
      <c r="H415">
        <f t="shared" si="9"/>
        <v>15</v>
      </c>
      <c r="M415" s="1">
        <v>2.8450901154428599E-3</v>
      </c>
      <c r="N415">
        <v>1307.58447265625</v>
      </c>
      <c r="O415">
        <v>654.79949999999894</v>
      </c>
      <c r="P415">
        <v>1307.58154296875</v>
      </c>
      <c r="Q415">
        <v>654.798095703125</v>
      </c>
      <c r="R415">
        <v>2</v>
      </c>
      <c r="S415">
        <v>1</v>
      </c>
      <c r="T415">
        <v>13</v>
      </c>
      <c r="U415">
        <v>25.960470000000001</v>
      </c>
      <c r="V415">
        <v>306385.2</v>
      </c>
    </row>
    <row r="416" spans="1:22" x14ac:dyDescent="0.25">
      <c r="A416" t="s">
        <v>2575</v>
      </c>
      <c r="B416" t="s">
        <v>2576</v>
      </c>
      <c r="C416">
        <v>1023</v>
      </c>
      <c r="D416">
        <v>98.7</v>
      </c>
      <c r="E416">
        <v>98.65</v>
      </c>
      <c r="F416" t="s">
        <v>2581</v>
      </c>
      <c r="G416" t="s">
        <v>2581</v>
      </c>
      <c r="H416">
        <f t="shared" si="9"/>
        <v>16</v>
      </c>
      <c r="M416" s="1">
        <v>8.1829195842146908E-3</v>
      </c>
      <c r="N416">
        <v>1942.09692382813</v>
      </c>
      <c r="O416">
        <v>648.37289999999905</v>
      </c>
      <c r="P416">
        <v>1942.08874511719</v>
      </c>
      <c r="Q416">
        <v>648.37017822265602</v>
      </c>
      <c r="R416">
        <v>3</v>
      </c>
      <c r="S416">
        <v>3</v>
      </c>
      <c r="T416">
        <v>15</v>
      </c>
      <c r="U416">
        <v>33.711620000000003</v>
      </c>
      <c r="V416">
        <v>113049.7</v>
      </c>
    </row>
    <row r="417" spans="1:22" x14ac:dyDescent="0.25">
      <c r="A417" t="s">
        <v>1421</v>
      </c>
      <c r="B417" t="s">
        <v>1422</v>
      </c>
      <c r="C417">
        <v>239</v>
      </c>
      <c r="D417">
        <v>99</v>
      </c>
      <c r="E417">
        <v>99</v>
      </c>
      <c r="F417" t="s">
        <v>1423</v>
      </c>
      <c r="G417" t="s">
        <v>1423</v>
      </c>
      <c r="H417">
        <f t="shared" si="9"/>
        <v>10</v>
      </c>
      <c r="M417">
        <v>5.986E-3</v>
      </c>
      <c r="N417">
        <v>1942.0947265625</v>
      </c>
      <c r="O417">
        <v>648.37220000000002</v>
      </c>
      <c r="P417">
        <v>1942.08874511719</v>
      </c>
      <c r="Q417">
        <v>648.37017822265602</v>
      </c>
      <c r="R417">
        <v>3</v>
      </c>
      <c r="S417">
        <v>1</v>
      </c>
      <c r="T417">
        <v>15</v>
      </c>
      <c r="U417">
        <v>33.726819999999897</v>
      </c>
      <c r="V417">
        <v>272303.40000000002</v>
      </c>
    </row>
    <row r="418" spans="1:22" x14ac:dyDescent="0.25">
      <c r="A418" t="s">
        <v>1424</v>
      </c>
      <c r="B418" t="s">
        <v>1425</v>
      </c>
      <c r="C418">
        <v>217</v>
      </c>
      <c r="D418">
        <v>97.1</v>
      </c>
      <c r="E418">
        <v>97.1</v>
      </c>
      <c r="F418" t="s">
        <v>1426</v>
      </c>
      <c r="G418" t="s">
        <v>1426</v>
      </c>
      <c r="H418">
        <f t="shared" si="9"/>
        <v>13</v>
      </c>
      <c r="L418" t="s">
        <v>222</v>
      </c>
      <c r="M418" s="1">
        <v>8.7186396121978708E-3</v>
      </c>
      <c r="N418">
        <v>2020.02807617188</v>
      </c>
      <c r="O418">
        <v>674.35</v>
      </c>
      <c r="P418">
        <v>2020.01940917969</v>
      </c>
      <c r="Q418">
        <v>674.34704589843705</v>
      </c>
      <c r="R418">
        <v>3</v>
      </c>
      <c r="S418">
        <v>1</v>
      </c>
      <c r="T418">
        <v>12</v>
      </c>
      <c r="U418">
        <v>22.0333299999999</v>
      </c>
      <c r="V418">
        <v>608672.6</v>
      </c>
    </row>
    <row r="419" spans="1:22" x14ac:dyDescent="0.25">
      <c r="A419" t="s">
        <v>2695</v>
      </c>
      <c r="B419" t="s">
        <v>2696</v>
      </c>
      <c r="C419">
        <v>1289</v>
      </c>
      <c r="D419">
        <v>97.9</v>
      </c>
      <c r="E419">
        <v>97.87</v>
      </c>
      <c r="F419" t="s">
        <v>2697</v>
      </c>
      <c r="G419" t="s">
        <v>2697</v>
      </c>
      <c r="H419">
        <f t="shared" si="9"/>
        <v>9</v>
      </c>
      <c r="M419" s="1">
        <v>1.53665002435445E-2</v>
      </c>
      <c r="N419">
        <v>2055.18823242188</v>
      </c>
      <c r="O419">
        <v>686.07</v>
      </c>
      <c r="P419">
        <v>2055.1728515625</v>
      </c>
      <c r="Q419">
        <v>686.06488037109295</v>
      </c>
      <c r="R419">
        <v>3</v>
      </c>
      <c r="S419">
        <v>1</v>
      </c>
      <c r="T419">
        <v>10</v>
      </c>
      <c r="U419">
        <v>39.478850000000001</v>
      </c>
      <c r="V419">
        <v>109922</v>
      </c>
    </row>
    <row r="420" spans="1:22" x14ac:dyDescent="0.25">
      <c r="A420" t="s">
        <v>3318</v>
      </c>
      <c r="B420" t="s">
        <v>3319</v>
      </c>
      <c r="C420">
        <v>298</v>
      </c>
      <c r="D420">
        <v>99</v>
      </c>
      <c r="E420">
        <v>99</v>
      </c>
      <c r="F420" t="s">
        <v>3320</v>
      </c>
      <c r="G420" t="s">
        <v>3320</v>
      </c>
      <c r="H420">
        <f t="shared" si="9"/>
        <v>16</v>
      </c>
      <c r="M420" s="1">
        <v>1.1657199822366101E-2</v>
      </c>
      <c r="N420">
        <v>2038.06408691406</v>
      </c>
      <c r="O420">
        <v>510.52330000000001</v>
      </c>
      <c r="P420">
        <v>2038.05236816406</v>
      </c>
      <c r="Q420">
        <v>510.52038574218801</v>
      </c>
      <c r="R420">
        <v>4</v>
      </c>
      <c r="S420">
        <v>2</v>
      </c>
      <c r="T420">
        <v>11</v>
      </c>
      <c r="U420">
        <v>37.820950000000003</v>
      </c>
      <c r="V420">
        <v>379688.8</v>
      </c>
    </row>
    <row r="421" spans="1:22" x14ac:dyDescent="0.25">
      <c r="A421" t="s">
        <v>3318</v>
      </c>
      <c r="B421" t="s">
        <v>3319</v>
      </c>
      <c r="C421">
        <v>299</v>
      </c>
      <c r="D421">
        <v>98.6</v>
      </c>
      <c r="E421">
        <v>98.6</v>
      </c>
      <c r="F421" t="s">
        <v>3321</v>
      </c>
      <c r="G421" t="s">
        <v>3321</v>
      </c>
      <c r="H421">
        <f t="shared" si="9"/>
        <v>15</v>
      </c>
      <c r="M421" s="1">
        <v>1.5101700089871901E-2</v>
      </c>
      <c r="N421">
        <v>2038.06750488281</v>
      </c>
      <c r="O421">
        <v>1020.0410000000001</v>
      </c>
      <c r="P421">
        <v>2038.05236816406</v>
      </c>
      <c r="Q421">
        <v>1020.03344726563</v>
      </c>
      <c r="R421">
        <v>2</v>
      </c>
      <c r="S421">
        <v>3</v>
      </c>
      <c r="T421">
        <v>13</v>
      </c>
      <c r="U421">
        <v>37.784950000000002</v>
      </c>
      <c r="V421">
        <v>131944.4</v>
      </c>
    </row>
    <row r="422" spans="1:22" x14ac:dyDescent="0.25">
      <c r="A422" t="s">
        <v>3318</v>
      </c>
      <c r="B422" t="s">
        <v>3319</v>
      </c>
      <c r="C422">
        <v>1362</v>
      </c>
      <c r="D422">
        <v>99</v>
      </c>
      <c r="E422">
        <v>99</v>
      </c>
      <c r="F422" t="s">
        <v>3322</v>
      </c>
      <c r="G422" t="s">
        <v>3322</v>
      </c>
      <c r="H422">
        <f t="shared" si="9"/>
        <v>9</v>
      </c>
      <c r="M422" s="1">
        <v>-2.2859300952404599E-3</v>
      </c>
      <c r="N422">
        <v>1417.76550292969</v>
      </c>
      <c r="O422">
        <v>709.89</v>
      </c>
      <c r="P422">
        <v>1417.76782226563</v>
      </c>
      <c r="Q422">
        <v>709.89117431640602</v>
      </c>
      <c r="R422">
        <v>2</v>
      </c>
      <c r="S422">
        <v>2</v>
      </c>
      <c r="T422">
        <v>13</v>
      </c>
      <c r="U422">
        <v>29.296250000000001</v>
      </c>
      <c r="V422">
        <v>341022.1</v>
      </c>
    </row>
    <row r="423" spans="1:22" x14ac:dyDescent="0.25">
      <c r="A423" t="s">
        <v>926</v>
      </c>
      <c r="B423" t="s">
        <v>927</v>
      </c>
      <c r="C423">
        <v>205</v>
      </c>
      <c r="D423">
        <v>99</v>
      </c>
      <c r="E423">
        <v>99</v>
      </c>
      <c r="F423" t="s">
        <v>928</v>
      </c>
      <c r="G423" t="s">
        <v>928</v>
      </c>
      <c r="H423">
        <f t="shared" si="9"/>
        <v>9</v>
      </c>
      <c r="M423" s="1">
        <v>-1.45533995237201E-3</v>
      </c>
      <c r="N423">
        <v>1442.82312011719</v>
      </c>
      <c r="O423">
        <v>722.41880000000003</v>
      </c>
      <c r="P423">
        <v>1442.82458496094</v>
      </c>
      <c r="Q423">
        <v>722.41955566406205</v>
      </c>
      <c r="R423">
        <v>2</v>
      </c>
      <c r="S423">
        <v>2</v>
      </c>
      <c r="T423">
        <v>15</v>
      </c>
      <c r="U423">
        <v>22.8455499999999</v>
      </c>
      <c r="V423">
        <v>387065.59999999899</v>
      </c>
    </row>
    <row r="424" spans="1:22" x14ac:dyDescent="0.25">
      <c r="A424" t="s">
        <v>2263</v>
      </c>
      <c r="B424" t="s">
        <v>2264</v>
      </c>
      <c r="C424">
        <v>715</v>
      </c>
      <c r="D424">
        <v>99</v>
      </c>
      <c r="E424">
        <v>99</v>
      </c>
      <c r="F424" t="s">
        <v>2265</v>
      </c>
      <c r="G424" t="s">
        <v>2265</v>
      </c>
      <c r="H424">
        <f t="shared" si="9"/>
        <v>16</v>
      </c>
      <c r="M424" s="1">
        <v>-3.5670600482262601E-4</v>
      </c>
      <c r="N424">
        <v>1442.82421875</v>
      </c>
      <c r="O424">
        <v>722.4194</v>
      </c>
      <c r="P424">
        <v>1442.82458496094</v>
      </c>
      <c r="Q424">
        <v>722.41955566406205</v>
      </c>
      <c r="R424">
        <v>2</v>
      </c>
      <c r="S424">
        <v>2</v>
      </c>
      <c r="T424">
        <v>16</v>
      </c>
      <c r="U424">
        <v>22.795400000000001</v>
      </c>
      <c r="V424">
        <v>439185.2</v>
      </c>
    </row>
    <row r="425" spans="1:22" x14ac:dyDescent="0.25">
      <c r="A425" t="s">
        <v>84</v>
      </c>
      <c r="B425" t="s">
        <v>85</v>
      </c>
      <c r="C425">
        <v>761</v>
      </c>
      <c r="D425">
        <v>99</v>
      </c>
      <c r="E425">
        <v>99</v>
      </c>
      <c r="F425" t="s">
        <v>86</v>
      </c>
      <c r="G425" t="s">
        <v>86</v>
      </c>
      <c r="H425">
        <f t="shared" si="9"/>
        <v>10</v>
      </c>
      <c r="M425" s="1">
        <v>-2.4027100298553701E-3</v>
      </c>
      <c r="N425">
        <v>1585.8916015625</v>
      </c>
      <c r="O425">
        <v>529.63779999999895</v>
      </c>
      <c r="P425">
        <v>1585.89404296875</v>
      </c>
      <c r="Q425">
        <v>529.63861083984295</v>
      </c>
      <c r="R425">
        <v>3</v>
      </c>
      <c r="S425">
        <v>2</v>
      </c>
      <c r="T425">
        <v>13</v>
      </c>
      <c r="U425">
        <v>20.88053</v>
      </c>
      <c r="V425">
        <v>1498254</v>
      </c>
    </row>
    <row r="426" spans="1:22" x14ac:dyDescent="0.25">
      <c r="A426" t="s">
        <v>2399</v>
      </c>
      <c r="B426" t="s">
        <v>2400</v>
      </c>
      <c r="C426">
        <v>40</v>
      </c>
      <c r="D426">
        <v>99</v>
      </c>
      <c r="E426">
        <v>99</v>
      </c>
      <c r="F426" t="s">
        <v>2401</v>
      </c>
      <c r="G426" t="s">
        <v>2401</v>
      </c>
      <c r="H426">
        <f t="shared" si="9"/>
        <v>17</v>
      </c>
      <c r="M426" s="1">
        <v>4.0521100163459804E-3</v>
      </c>
      <c r="N426">
        <v>1490.83984375</v>
      </c>
      <c r="O426">
        <v>497.95389999999901</v>
      </c>
      <c r="P426">
        <v>1490.83581542969</v>
      </c>
      <c r="Q426">
        <v>497.95254516601602</v>
      </c>
      <c r="R426">
        <v>3</v>
      </c>
      <c r="S426">
        <v>1</v>
      </c>
      <c r="T426">
        <v>13</v>
      </c>
      <c r="U426">
        <v>22.681149999999899</v>
      </c>
      <c r="V426">
        <v>186645.2</v>
      </c>
    </row>
    <row r="427" spans="1:22" x14ac:dyDescent="0.25">
      <c r="A427" t="s">
        <v>2399</v>
      </c>
      <c r="B427" t="s">
        <v>2400</v>
      </c>
      <c r="C427">
        <v>40</v>
      </c>
      <c r="D427">
        <v>99</v>
      </c>
      <c r="E427">
        <v>99</v>
      </c>
      <c r="F427" t="s">
        <v>2401</v>
      </c>
      <c r="G427" t="s">
        <v>2401</v>
      </c>
      <c r="H427">
        <f t="shared" si="9"/>
        <v>17</v>
      </c>
      <c r="L427" t="s">
        <v>339</v>
      </c>
      <c r="M427">
        <v>7.1590000000000004E-3</v>
      </c>
      <c r="N427">
        <v>1345.63745117188</v>
      </c>
      <c r="O427">
        <v>673.82600000000002</v>
      </c>
      <c r="P427">
        <v>1345.63024902344</v>
      </c>
      <c r="Q427">
        <v>673.82238769531205</v>
      </c>
      <c r="R427">
        <v>2</v>
      </c>
      <c r="S427">
        <v>1</v>
      </c>
      <c r="T427">
        <v>12</v>
      </c>
      <c r="U427">
        <v>44.394620000000003</v>
      </c>
      <c r="V427">
        <v>138351.70000000001</v>
      </c>
    </row>
    <row r="428" spans="1:22" x14ac:dyDescent="0.25">
      <c r="A428" t="s">
        <v>4465</v>
      </c>
      <c r="B428" t="s">
        <v>4466</v>
      </c>
      <c r="C428">
        <v>402</v>
      </c>
      <c r="D428">
        <v>99</v>
      </c>
      <c r="E428">
        <v>98.96</v>
      </c>
      <c r="F428" t="s">
        <v>4467</v>
      </c>
      <c r="G428" t="s">
        <v>4467</v>
      </c>
      <c r="H428">
        <f t="shared" si="9"/>
        <v>9</v>
      </c>
      <c r="M428" s="1">
        <v>2.20384006388485E-3</v>
      </c>
      <c r="N428">
        <v>1490.83801269531</v>
      </c>
      <c r="O428">
        <v>746.42629999999895</v>
      </c>
      <c r="P428">
        <v>1490.83581542969</v>
      </c>
      <c r="Q428">
        <v>746.42517089843705</v>
      </c>
      <c r="R428">
        <v>2</v>
      </c>
      <c r="S428">
        <v>2</v>
      </c>
      <c r="T428">
        <v>16</v>
      </c>
      <c r="U428">
        <v>22.640750000000001</v>
      </c>
      <c r="V428">
        <v>83736.479999999894</v>
      </c>
    </row>
    <row r="429" spans="1:22" x14ac:dyDescent="0.25">
      <c r="A429" t="s">
        <v>3271</v>
      </c>
      <c r="B429" t="s">
        <v>3272</v>
      </c>
      <c r="C429">
        <v>1407</v>
      </c>
      <c r="D429">
        <v>99</v>
      </c>
      <c r="E429">
        <v>98.98</v>
      </c>
      <c r="F429" t="s">
        <v>337</v>
      </c>
      <c r="G429" t="s">
        <v>337</v>
      </c>
      <c r="H429">
        <f t="shared" si="9"/>
        <v>9</v>
      </c>
      <c r="L429" t="s">
        <v>295</v>
      </c>
      <c r="M429" s="1">
        <v>5.9899901971220901E-3</v>
      </c>
      <c r="N429">
        <v>1108.56469726563</v>
      </c>
      <c r="O429">
        <v>555.28959999999904</v>
      </c>
      <c r="P429">
        <v>1108.55871582031</v>
      </c>
      <c r="Q429">
        <v>555.28662109375</v>
      </c>
      <c r="R429">
        <v>2</v>
      </c>
      <c r="S429">
        <v>1</v>
      </c>
      <c r="T429">
        <v>10</v>
      </c>
      <c r="U429">
        <v>44.323250000000002</v>
      </c>
      <c r="V429">
        <v>221391.4</v>
      </c>
    </row>
    <row r="430" spans="1:22" x14ac:dyDescent="0.25">
      <c r="A430" t="s">
        <v>3404</v>
      </c>
      <c r="B430" t="s">
        <v>3405</v>
      </c>
      <c r="C430">
        <v>69</v>
      </c>
      <c r="D430">
        <v>98.1</v>
      </c>
      <c r="E430">
        <v>98.06</v>
      </c>
      <c r="F430" t="s">
        <v>3406</v>
      </c>
      <c r="G430" t="s">
        <v>3406</v>
      </c>
      <c r="H430">
        <f t="shared" si="9"/>
        <v>9</v>
      </c>
      <c r="M430" s="1">
        <v>5.6703900918364403E-3</v>
      </c>
      <c r="N430">
        <v>1156.65490722656</v>
      </c>
      <c r="O430">
        <v>579.3347</v>
      </c>
      <c r="P430">
        <v>1156.64916992188</v>
      </c>
      <c r="Q430">
        <v>579.33190917968705</v>
      </c>
      <c r="R430">
        <v>2</v>
      </c>
      <c r="S430">
        <v>2</v>
      </c>
      <c r="T430">
        <v>14</v>
      </c>
      <c r="U430">
        <v>27.452369999999899</v>
      </c>
      <c r="V430">
        <v>1462849</v>
      </c>
    </row>
    <row r="431" spans="1:22" x14ac:dyDescent="0.25">
      <c r="A431" t="s">
        <v>3404</v>
      </c>
      <c r="B431" t="s">
        <v>3405</v>
      </c>
      <c r="C431">
        <v>170</v>
      </c>
      <c r="D431">
        <v>99</v>
      </c>
      <c r="E431">
        <v>99</v>
      </c>
      <c r="F431" t="s">
        <v>3407</v>
      </c>
      <c r="G431" t="s">
        <v>3407</v>
      </c>
      <c r="H431">
        <f t="shared" si="9"/>
        <v>16</v>
      </c>
      <c r="M431" s="1">
        <v>5.6703900918364403E-3</v>
      </c>
      <c r="N431">
        <v>1156.65490722656</v>
      </c>
      <c r="O431">
        <v>579.3347</v>
      </c>
      <c r="P431">
        <v>1156.64916992188</v>
      </c>
      <c r="Q431">
        <v>579.33190917968705</v>
      </c>
      <c r="R431">
        <v>2</v>
      </c>
      <c r="S431">
        <v>2</v>
      </c>
      <c r="T431">
        <v>14</v>
      </c>
      <c r="U431">
        <v>27.516400000000001</v>
      </c>
      <c r="V431">
        <v>4612537</v>
      </c>
    </row>
    <row r="432" spans="1:22" x14ac:dyDescent="0.25">
      <c r="A432" t="s">
        <v>3404</v>
      </c>
      <c r="B432" t="s">
        <v>3405</v>
      </c>
      <c r="C432">
        <v>133</v>
      </c>
      <c r="D432">
        <v>96.9</v>
      </c>
      <c r="E432">
        <v>96.87</v>
      </c>
      <c r="F432" t="s">
        <v>3408</v>
      </c>
      <c r="G432" t="s">
        <v>3408</v>
      </c>
      <c r="H432">
        <f t="shared" si="9"/>
        <v>17</v>
      </c>
      <c r="M432">
        <v>-2.1849999999999999E-3</v>
      </c>
      <c r="N432">
        <v>1554.80541992188</v>
      </c>
      <c r="O432">
        <v>778.41</v>
      </c>
      <c r="P432">
        <v>1554.8076171875</v>
      </c>
      <c r="Q432">
        <v>778.41107177734295</v>
      </c>
      <c r="R432">
        <v>2</v>
      </c>
      <c r="S432">
        <v>1</v>
      </c>
      <c r="T432">
        <v>11</v>
      </c>
      <c r="U432">
        <v>19.1395699999999</v>
      </c>
      <c r="V432">
        <v>61399.86</v>
      </c>
    </row>
    <row r="433" spans="1:22" x14ac:dyDescent="0.25">
      <c r="A433" t="s">
        <v>1128</v>
      </c>
      <c r="B433" t="s">
        <v>1129</v>
      </c>
      <c r="C433">
        <v>531</v>
      </c>
      <c r="D433">
        <v>99</v>
      </c>
      <c r="E433">
        <v>99</v>
      </c>
      <c r="F433" t="s">
        <v>1130</v>
      </c>
      <c r="G433" t="s">
        <v>1130</v>
      </c>
      <c r="H433">
        <f t="shared" si="9"/>
        <v>14</v>
      </c>
      <c r="M433" s="1">
        <v>-4.5041800476610704E-3</v>
      </c>
      <c r="N433">
        <v>1554.80310058594</v>
      </c>
      <c r="O433">
        <v>778.40880000000004</v>
      </c>
      <c r="P433">
        <v>1554.8076171875</v>
      </c>
      <c r="Q433">
        <v>778.41107177734295</v>
      </c>
      <c r="R433">
        <v>2</v>
      </c>
      <c r="S433">
        <v>2</v>
      </c>
      <c r="T433">
        <v>22</v>
      </c>
      <c r="U433">
        <v>19.032150000000001</v>
      </c>
      <c r="V433">
        <v>323464</v>
      </c>
    </row>
    <row r="434" spans="1:22" x14ac:dyDescent="0.25">
      <c r="A434" t="s">
        <v>1444</v>
      </c>
      <c r="B434" t="s">
        <v>1445</v>
      </c>
      <c r="C434">
        <v>1151</v>
      </c>
      <c r="D434">
        <v>99</v>
      </c>
      <c r="E434">
        <v>99</v>
      </c>
      <c r="F434" t="s">
        <v>1446</v>
      </c>
      <c r="G434" t="s">
        <v>1446</v>
      </c>
      <c r="H434">
        <f t="shared" si="9"/>
        <v>19</v>
      </c>
      <c r="M434" s="1">
        <v>1.9248799653723699E-3</v>
      </c>
      <c r="N434">
        <v>1787.958984375</v>
      </c>
      <c r="O434">
        <v>596.99360000000001</v>
      </c>
      <c r="P434">
        <v>1787.95703125</v>
      </c>
      <c r="Q434">
        <v>596.992919921875</v>
      </c>
      <c r="R434">
        <v>3</v>
      </c>
      <c r="S434">
        <v>3</v>
      </c>
      <c r="T434">
        <v>14</v>
      </c>
      <c r="U434">
        <v>38.295279999999899</v>
      </c>
      <c r="V434">
        <v>1346112</v>
      </c>
    </row>
    <row r="435" spans="1:22" x14ac:dyDescent="0.25">
      <c r="A435" t="s">
        <v>1444</v>
      </c>
      <c r="B435" t="s">
        <v>1445</v>
      </c>
      <c r="C435">
        <v>1153</v>
      </c>
      <c r="D435">
        <v>99</v>
      </c>
      <c r="E435">
        <v>99</v>
      </c>
      <c r="F435" t="s">
        <v>1447</v>
      </c>
      <c r="G435" t="s">
        <v>1447</v>
      </c>
      <c r="H435">
        <f t="shared" si="9"/>
        <v>14</v>
      </c>
      <c r="M435" s="1">
        <v>7.3089301586151002E-3</v>
      </c>
      <c r="N435">
        <v>1566.87377929688</v>
      </c>
      <c r="O435">
        <v>523.29849999999897</v>
      </c>
      <c r="P435">
        <v>1566.86645507813</v>
      </c>
      <c r="Q435">
        <v>523.29608154296795</v>
      </c>
      <c r="R435">
        <v>3</v>
      </c>
      <c r="S435">
        <v>2</v>
      </c>
      <c r="T435">
        <v>11</v>
      </c>
      <c r="U435">
        <v>31.38223</v>
      </c>
      <c r="V435">
        <v>154034.1</v>
      </c>
    </row>
    <row r="436" spans="1:22" x14ac:dyDescent="0.25">
      <c r="A436" t="s">
        <v>1444</v>
      </c>
      <c r="B436" t="s">
        <v>1445</v>
      </c>
      <c r="C436">
        <v>45</v>
      </c>
      <c r="D436">
        <v>99</v>
      </c>
      <c r="E436">
        <v>99</v>
      </c>
      <c r="F436" t="s">
        <v>1448</v>
      </c>
      <c r="G436" t="s">
        <v>1448</v>
      </c>
      <c r="H436">
        <f t="shared" si="9"/>
        <v>18</v>
      </c>
      <c r="M436" s="1">
        <v>1.37295003514737E-3</v>
      </c>
      <c r="N436">
        <v>1909.12756347656</v>
      </c>
      <c r="O436">
        <v>637.38310000000001</v>
      </c>
      <c r="P436">
        <v>1909.12609863281</v>
      </c>
      <c r="Q436">
        <v>637.38269042968705</v>
      </c>
      <c r="R436">
        <v>3</v>
      </c>
      <c r="S436">
        <v>2</v>
      </c>
      <c r="T436">
        <v>17</v>
      </c>
      <c r="U436">
        <v>22.83558</v>
      </c>
      <c r="V436">
        <v>774854.8</v>
      </c>
    </row>
    <row r="437" spans="1:22" x14ac:dyDescent="0.25">
      <c r="A437" t="s">
        <v>1444</v>
      </c>
      <c r="B437" t="s">
        <v>1445</v>
      </c>
      <c r="C437">
        <v>1056</v>
      </c>
      <c r="D437">
        <v>98.9</v>
      </c>
      <c r="E437">
        <v>98.91</v>
      </c>
      <c r="F437" t="s">
        <v>1449</v>
      </c>
      <c r="G437" t="s">
        <v>1449</v>
      </c>
      <c r="H437">
        <f t="shared" si="9"/>
        <v>14</v>
      </c>
      <c r="M437" s="1">
        <v>9.6515202894806792E-3</v>
      </c>
      <c r="N437">
        <v>1753.95336914063</v>
      </c>
      <c r="O437">
        <v>585.65840000000003</v>
      </c>
      <c r="P437">
        <v>1753.94372558594</v>
      </c>
      <c r="Q437">
        <v>585.65515136718705</v>
      </c>
      <c r="R437">
        <v>3</v>
      </c>
      <c r="S437">
        <v>1</v>
      </c>
      <c r="T437">
        <v>13</v>
      </c>
      <c r="U437">
        <v>47.114519999999899</v>
      </c>
      <c r="V437">
        <v>193530.5</v>
      </c>
    </row>
    <row r="438" spans="1:22" x14ac:dyDescent="0.25">
      <c r="A438" t="s">
        <v>2060</v>
      </c>
      <c r="B438" t="s">
        <v>2061</v>
      </c>
      <c r="C438">
        <v>348</v>
      </c>
      <c r="D438">
        <v>98.5</v>
      </c>
      <c r="E438">
        <v>98.53</v>
      </c>
      <c r="F438" t="s">
        <v>2062</v>
      </c>
      <c r="G438" t="s">
        <v>2062</v>
      </c>
      <c r="H438">
        <f t="shared" si="9"/>
        <v>9</v>
      </c>
      <c r="M438" s="1">
        <v>8.7360003963112692E-3</v>
      </c>
      <c r="N438">
        <v>1753.95239257813</v>
      </c>
      <c r="O438">
        <v>585.65809999999897</v>
      </c>
      <c r="P438">
        <v>1753.94372558594</v>
      </c>
      <c r="Q438">
        <v>585.65515136718705</v>
      </c>
      <c r="R438">
        <v>3</v>
      </c>
      <c r="S438">
        <v>1</v>
      </c>
      <c r="T438">
        <v>11</v>
      </c>
      <c r="U438">
        <v>47.065750000000001</v>
      </c>
      <c r="V438">
        <v>162831.4</v>
      </c>
    </row>
    <row r="439" spans="1:22" x14ac:dyDescent="0.25">
      <c r="A439" t="s">
        <v>4182</v>
      </c>
      <c r="B439" t="s">
        <v>4183</v>
      </c>
      <c r="C439">
        <v>364</v>
      </c>
      <c r="D439">
        <v>99</v>
      </c>
      <c r="E439">
        <v>99</v>
      </c>
      <c r="F439" t="s">
        <v>4184</v>
      </c>
      <c r="G439" t="s">
        <v>4184</v>
      </c>
      <c r="H439">
        <f t="shared" si="9"/>
        <v>9</v>
      </c>
      <c r="M439" s="1">
        <v>-3.2453900203108801E-3</v>
      </c>
      <c r="N439">
        <v>1179.68041992188</v>
      </c>
      <c r="O439">
        <v>590.84749999999894</v>
      </c>
      <c r="P439">
        <v>1179.68359375</v>
      </c>
      <c r="Q439">
        <v>590.84912109375</v>
      </c>
      <c r="R439">
        <v>2</v>
      </c>
      <c r="S439">
        <v>2</v>
      </c>
      <c r="T439">
        <v>12</v>
      </c>
      <c r="U439">
        <v>18.1370299999999</v>
      </c>
      <c r="V439">
        <v>1461562</v>
      </c>
    </row>
    <row r="440" spans="1:22" x14ac:dyDescent="0.25">
      <c r="A440" t="s">
        <v>4182</v>
      </c>
      <c r="B440" t="s">
        <v>4183</v>
      </c>
      <c r="C440">
        <v>775</v>
      </c>
      <c r="D440">
        <v>97.5</v>
      </c>
      <c r="E440">
        <v>97.5</v>
      </c>
      <c r="F440" t="s">
        <v>529</v>
      </c>
      <c r="G440" t="s">
        <v>529</v>
      </c>
      <c r="H440">
        <f t="shared" si="9"/>
        <v>9</v>
      </c>
      <c r="M440" s="1">
        <v>-5.19852014258504E-3</v>
      </c>
      <c r="N440">
        <v>1179.67846679688</v>
      </c>
      <c r="O440">
        <v>590.84649999999897</v>
      </c>
      <c r="P440">
        <v>1179.68359375</v>
      </c>
      <c r="Q440">
        <v>590.84912109375</v>
      </c>
      <c r="R440">
        <v>2</v>
      </c>
      <c r="S440">
        <v>2</v>
      </c>
      <c r="T440">
        <v>10</v>
      </c>
      <c r="U440">
        <v>18.15662</v>
      </c>
      <c r="V440">
        <v>487014.7</v>
      </c>
    </row>
    <row r="441" spans="1:22" x14ac:dyDescent="0.25">
      <c r="A441" t="s">
        <v>4182</v>
      </c>
      <c r="B441" t="s">
        <v>4183</v>
      </c>
      <c r="C441">
        <v>28</v>
      </c>
      <c r="D441">
        <v>99</v>
      </c>
      <c r="E441">
        <v>99</v>
      </c>
      <c r="F441" t="s">
        <v>425</v>
      </c>
      <c r="G441" t="s">
        <v>425</v>
      </c>
      <c r="H441">
        <f t="shared" si="9"/>
        <v>9</v>
      </c>
      <c r="M441" s="1">
        <v>-3.9732698351144704E-3</v>
      </c>
      <c r="N441">
        <v>1198.70068359375</v>
      </c>
      <c r="O441">
        <v>400.57420000000002</v>
      </c>
      <c r="P441">
        <v>1198.70471191406</v>
      </c>
      <c r="Q441">
        <v>400.57550048828102</v>
      </c>
      <c r="R441">
        <v>3</v>
      </c>
      <c r="S441">
        <v>10</v>
      </c>
      <c r="T441">
        <v>9</v>
      </c>
      <c r="U441">
        <v>18.268180000000001</v>
      </c>
      <c r="V441">
        <v>612463.80000000005</v>
      </c>
    </row>
    <row r="442" spans="1:22" x14ac:dyDescent="0.25">
      <c r="A442" t="s">
        <v>2716</v>
      </c>
      <c r="B442" t="s">
        <v>2717</v>
      </c>
      <c r="C442">
        <v>89</v>
      </c>
      <c r="D442">
        <v>99</v>
      </c>
      <c r="E442">
        <v>99</v>
      </c>
      <c r="F442" t="s">
        <v>2718</v>
      </c>
      <c r="G442" t="s">
        <v>2718</v>
      </c>
      <c r="H442">
        <f t="shared" si="9"/>
        <v>16</v>
      </c>
      <c r="M442" s="1">
        <v>-5.65200019627809E-3</v>
      </c>
      <c r="N442">
        <v>1114.58264160156</v>
      </c>
      <c r="O442">
        <v>1115.5899999999899</v>
      </c>
      <c r="P442">
        <v>1114.58837890625</v>
      </c>
      <c r="Q442">
        <v>1115.59558105469</v>
      </c>
      <c r="R442">
        <v>1</v>
      </c>
      <c r="S442">
        <v>7</v>
      </c>
      <c r="T442">
        <v>12</v>
      </c>
      <c r="U442">
        <v>23.50197</v>
      </c>
      <c r="V442">
        <v>6561245</v>
      </c>
    </row>
    <row r="443" spans="1:22" x14ac:dyDescent="0.25">
      <c r="A443" t="s">
        <v>2716</v>
      </c>
      <c r="B443" t="s">
        <v>2717</v>
      </c>
      <c r="C443">
        <v>87</v>
      </c>
      <c r="D443">
        <v>99</v>
      </c>
      <c r="E443">
        <v>99</v>
      </c>
      <c r="F443" t="s">
        <v>2719</v>
      </c>
      <c r="G443" t="s">
        <v>2719</v>
      </c>
      <c r="H443">
        <f t="shared" si="9"/>
        <v>18</v>
      </c>
      <c r="M443" s="1">
        <v>-3.1133398879319299E-3</v>
      </c>
      <c r="N443">
        <v>1172.64172363281</v>
      </c>
      <c r="O443">
        <v>587.32809999999904</v>
      </c>
      <c r="P443">
        <v>1172.64477539063</v>
      </c>
      <c r="Q443">
        <v>587.32971191406205</v>
      </c>
      <c r="R443">
        <v>2</v>
      </c>
      <c r="S443">
        <v>2</v>
      </c>
      <c r="T443">
        <v>13</v>
      </c>
      <c r="U443">
        <v>22.377220000000001</v>
      </c>
      <c r="V443">
        <v>4356252</v>
      </c>
    </row>
    <row r="444" spans="1:22" x14ac:dyDescent="0.25">
      <c r="A444" t="s">
        <v>2716</v>
      </c>
      <c r="B444" t="s">
        <v>2717</v>
      </c>
      <c r="C444">
        <v>421</v>
      </c>
      <c r="D444">
        <v>99</v>
      </c>
      <c r="E444">
        <v>99</v>
      </c>
      <c r="F444" t="s">
        <v>2720</v>
      </c>
      <c r="G444" t="s">
        <v>2720</v>
      </c>
      <c r="H444">
        <f t="shared" si="9"/>
        <v>13</v>
      </c>
      <c r="M444" s="1">
        <v>1.5061900485307E-3</v>
      </c>
      <c r="N444">
        <v>1134.61608886719</v>
      </c>
      <c r="O444">
        <v>568.31529999999896</v>
      </c>
      <c r="P444">
        <v>1134.61450195313</v>
      </c>
      <c r="Q444">
        <v>568.31457519531205</v>
      </c>
      <c r="R444">
        <v>2</v>
      </c>
      <c r="S444">
        <v>1</v>
      </c>
      <c r="T444">
        <v>11</v>
      </c>
      <c r="U444">
        <v>24.4137799999999</v>
      </c>
      <c r="V444">
        <v>3363144</v>
      </c>
    </row>
    <row r="445" spans="1:22" x14ac:dyDescent="0.25">
      <c r="A445" t="s">
        <v>2716</v>
      </c>
      <c r="B445" t="s">
        <v>2717</v>
      </c>
      <c r="C445">
        <v>88</v>
      </c>
      <c r="D445">
        <v>97.1</v>
      </c>
      <c r="E445">
        <v>97.14</v>
      </c>
      <c r="F445" t="s">
        <v>2721</v>
      </c>
      <c r="G445" t="s">
        <v>2721</v>
      </c>
      <c r="H445">
        <f t="shared" si="9"/>
        <v>15</v>
      </c>
      <c r="M445">
        <v>4.6800000000000001E-3</v>
      </c>
      <c r="N445">
        <v>1134.61926269531</v>
      </c>
      <c r="O445">
        <v>568.31690000000003</v>
      </c>
      <c r="P445">
        <v>1134.61450195313</v>
      </c>
      <c r="Q445">
        <v>568.31457519531205</v>
      </c>
      <c r="R445">
        <v>2</v>
      </c>
      <c r="S445">
        <v>1</v>
      </c>
      <c r="T445">
        <v>11</v>
      </c>
      <c r="U445">
        <v>24.390899999999899</v>
      </c>
      <c r="V445">
        <v>1889668</v>
      </c>
    </row>
    <row r="446" spans="1:22" x14ac:dyDescent="0.25">
      <c r="A446" t="s">
        <v>2716</v>
      </c>
      <c r="B446" t="s">
        <v>2717</v>
      </c>
      <c r="C446">
        <v>88</v>
      </c>
      <c r="D446">
        <v>99</v>
      </c>
      <c r="E446">
        <v>99</v>
      </c>
      <c r="F446" t="s">
        <v>2722</v>
      </c>
      <c r="G446" t="s">
        <v>2722</v>
      </c>
      <c r="H446">
        <f t="shared" si="9"/>
        <v>16</v>
      </c>
      <c r="M446" s="1">
        <v>5.73706021532416E-3</v>
      </c>
      <c r="N446">
        <v>1787.81408691406</v>
      </c>
      <c r="O446">
        <v>894.91430000000003</v>
      </c>
      <c r="P446">
        <v>1787.80834960938</v>
      </c>
      <c r="Q446">
        <v>894.91143798828102</v>
      </c>
      <c r="R446">
        <v>2</v>
      </c>
      <c r="S446">
        <v>3</v>
      </c>
      <c r="T446">
        <v>20</v>
      </c>
      <c r="U446">
        <v>28.104880000000001</v>
      </c>
      <c r="V446">
        <v>324584.8</v>
      </c>
    </row>
    <row r="447" spans="1:22" x14ac:dyDescent="0.25">
      <c r="A447" t="s">
        <v>2716</v>
      </c>
      <c r="B447" t="s">
        <v>2717</v>
      </c>
      <c r="C447">
        <v>88</v>
      </c>
      <c r="D447">
        <v>99</v>
      </c>
      <c r="E447">
        <v>99</v>
      </c>
      <c r="F447" t="s">
        <v>2723</v>
      </c>
      <c r="G447" t="s">
        <v>2723</v>
      </c>
      <c r="H447">
        <f t="shared" si="9"/>
        <v>17</v>
      </c>
      <c r="M447" s="1">
        <v>1.2071599485352601E-3</v>
      </c>
      <c r="N447">
        <v>1787.8095703125</v>
      </c>
      <c r="O447">
        <v>596.94380000000001</v>
      </c>
      <c r="P447">
        <v>1787.80834960938</v>
      </c>
      <c r="Q447">
        <v>596.943359375</v>
      </c>
      <c r="R447">
        <v>3</v>
      </c>
      <c r="S447">
        <v>4</v>
      </c>
      <c r="T447">
        <v>13</v>
      </c>
      <c r="U447">
        <v>28.166830000000001</v>
      </c>
      <c r="V447">
        <v>412024.8</v>
      </c>
    </row>
    <row r="448" spans="1:22" x14ac:dyDescent="0.25">
      <c r="A448" t="s">
        <v>2716</v>
      </c>
      <c r="B448" t="s">
        <v>2717</v>
      </c>
      <c r="C448">
        <v>87</v>
      </c>
      <c r="D448">
        <v>97.5</v>
      </c>
      <c r="E448">
        <v>97.5</v>
      </c>
      <c r="F448" t="s">
        <v>2724</v>
      </c>
      <c r="G448" t="s">
        <v>2724</v>
      </c>
      <c r="H448">
        <f t="shared" si="9"/>
        <v>17</v>
      </c>
      <c r="M448" s="1">
        <v>-1.15636002738029E-3</v>
      </c>
      <c r="N448">
        <v>1091.63269042969</v>
      </c>
      <c r="O448">
        <v>1092.6400000000001</v>
      </c>
      <c r="P448">
        <v>1091.63391113281</v>
      </c>
      <c r="Q448">
        <v>1092.64111328125</v>
      </c>
      <c r="R448">
        <v>1</v>
      </c>
      <c r="S448">
        <v>8</v>
      </c>
      <c r="T448">
        <v>13</v>
      </c>
      <c r="U448">
        <v>20.487179999999899</v>
      </c>
      <c r="V448">
        <v>4997590</v>
      </c>
    </row>
    <row r="449" spans="1:22" x14ac:dyDescent="0.25">
      <c r="A449" t="s">
        <v>2716</v>
      </c>
      <c r="B449" t="s">
        <v>2717</v>
      </c>
      <c r="C449">
        <v>88</v>
      </c>
      <c r="D449">
        <v>99</v>
      </c>
      <c r="E449">
        <v>99</v>
      </c>
      <c r="F449" t="s">
        <v>2723</v>
      </c>
      <c r="G449" t="s">
        <v>2723</v>
      </c>
      <c r="H449">
        <f t="shared" si="9"/>
        <v>17</v>
      </c>
      <c r="L449" t="s">
        <v>87</v>
      </c>
      <c r="M449">
        <v>3.9300000000000001E-4</v>
      </c>
      <c r="N449">
        <v>1803.94519042969</v>
      </c>
      <c r="O449">
        <v>602.32230000000004</v>
      </c>
      <c r="P449">
        <v>1803.94470214844</v>
      </c>
      <c r="Q449">
        <v>602.32220458984295</v>
      </c>
      <c r="R449">
        <v>3</v>
      </c>
      <c r="S449">
        <v>1</v>
      </c>
      <c r="T449">
        <v>10</v>
      </c>
      <c r="U449">
        <v>22.495270000000001</v>
      </c>
      <c r="V449">
        <v>176480.4</v>
      </c>
    </row>
    <row r="450" spans="1:22" x14ac:dyDescent="0.25">
      <c r="A450" t="s">
        <v>2716</v>
      </c>
      <c r="B450" t="s">
        <v>2717</v>
      </c>
      <c r="C450">
        <v>87</v>
      </c>
      <c r="D450">
        <v>99</v>
      </c>
      <c r="E450">
        <v>99</v>
      </c>
      <c r="F450" t="s">
        <v>2719</v>
      </c>
      <c r="G450" t="s">
        <v>2719</v>
      </c>
      <c r="H450">
        <f t="shared" si="9"/>
        <v>18</v>
      </c>
      <c r="L450" t="s">
        <v>1408</v>
      </c>
      <c r="M450" s="1">
        <v>1.9988298881799E-3</v>
      </c>
      <c r="N450">
        <v>1223.60290527344</v>
      </c>
      <c r="O450">
        <v>612.80870000000004</v>
      </c>
      <c r="P450">
        <v>1223.60083007813</v>
      </c>
      <c r="Q450">
        <v>612.80773925781205</v>
      </c>
      <c r="R450">
        <v>2</v>
      </c>
      <c r="S450">
        <v>1</v>
      </c>
      <c r="T450">
        <v>13</v>
      </c>
      <c r="U450">
        <v>27.0655199999999</v>
      </c>
      <c r="V450">
        <v>1527980</v>
      </c>
    </row>
    <row r="451" spans="1:22" x14ac:dyDescent="0.25">
      <c r="A451" t="s">
        <v>4438</v>
      </c>
      <c r="B451" t="s">
        <v>4439</v>
      </c>
      <c r="C451">
        <v>1118</v>
      </c>
      <c r="D451">
        <v>98</v>
      </c>
      <c r="E451">
        <v>98.01</v>
      </c>
      <c r="F451" t="s">
        <v>4440</v>
      </c>
      <c r="G451" t="s">
        <v>4440</v>
      </c>
      <c r="H451">
        <f t="shared" ref="H451:H514" si="10">LEN(G451)</f>
        <v>9</v>
      </c>
      <c r="M451" s="1">
        <v>-1.15636002738029E-3</v>
      </c>
      <c r="N451">
        <v>1091.63269042969</v>
      </c>
      <c r="O451">
        <v>1092.6400000000001</v>
      </c>
      <c r="P451">
        <v>1091.63391113281</v>
      </c>
      <c r="Q451">
        <v>1092.64111328125</v>
      </c>
      <c r="R451">
        <v>1</v>
      </c>
      <c r="S451">
        <v>6</v>
      </c>
      <c r="T451">
        <v>13</v>
      </c>
      <c r="U451">
        <v>20.45815</v>
      </c>
      <c r="V451">
        <v>5604384</v>
      </c>
    </row>
    <row r="452" spans="1:22" x14ac:dyDescent="0.25">
      <c r="A452" t="s">
        <v>3931</v>
      </c>
      <c r="B452" t="s">
        <v>3932</v>
      </c>
      <c r="C452">
        <v>298</v>
      </c>
      <c r="D452">
        <v>98.6</v>
      </c>
      <c r="E452">
        <v>98.63</v>
      </c>
      <c r="F452" t="s">
        <v>3933</v>
      </c>
      <c r="G452" t="s">
        <v>3933</v>
      </c>
      <c r="H452">
        <f t="shared" si="10"/>
        <v>18</v>
      </c>
      <c r="M452" s="1">
        <v>9.904679609462621E-4</v>
      </c>
      <c r="N452">
        <v>1030.578125</v>
      </c>
      <c r="O452">
        <v>516.29629999999895</v>
      </c>
      <c r="P452">
        <v>1030.5771484375</v>
      </c>
      <c r="Q452">
        <v>516.29583740234295</v>
      </c>
      <c r="R452">
        <v>2</v>
      </c>
      <c r="S452">
        <v>1</v>
      </c>
      <c r="T452">
        <v>12</v>
      </c>
      <c r="U452">
        <v>18.22907</v>
      </c>
      <c r="V452">
        <v>459390</v>
      </c>
    </row>
    <row r="453" spans="1:22" x14ac:dyDescent="0.25">
      <c r="A453" t="s">
        <v>3931</v>
      </c>
      <c r="B453" t="s">
        <v>3932</v>
      </c>
      <c r="C453">
        <v>66</v>
      </c>
      <c r="D453">
        <v>99</v>
      </c>
      <c r="E453">
        <v>99</v>
      </c>
      <c r="F453" t="s">
        <v>3934</v>
      </c>
      <c r="G453" t="s">
        <v>3934</v>
      </c>
      <c r="H453">
        <f t="shared" si="10"/>
        <v>10</v>
      </c>
      <c r="M453" s="1">
        <v>-4.4283601455390401E-3</v>
      </c>
      <c r="N453">
        <v>1030.57263183594</v>
      </c>
      <c r="O453">
        <v>1031.58</v>
      </c>
      <c r="P453">
        <v>1030.5771484375</v>
      </c>
      <c r="Q453">
        <v>1031.58435058594</v>
      </c>
      <c r="R453">
        <v>1</v>
      </c>
      <c r="S453">
        <v>5</v>
      </c>
      <c r="T453">
        <v>11</v>
      </c>
      <c r="U453">
        <v>18.359770000000001</v>
      </c>
      <c r="V453">
        <v>1724873</v>
      </c>
    </row>
    <row r="454" spans="1:22" x14ac:dyDescent="0.25">
      <c r="A454" t="s">
        <v>2630</v>
      </c>
      <c r="B454" t="s">
        <v>2631</v>
      </c>
      <c r="C454">
        <v>1174</v>
      </c>
      <c r="D454">
        <v>99</v>
      </c>
      <c r="E454">
        <v>99</v>
      </c>
      <c r="F454" t="s">
        <v>2632</v>
      </c>
      <c r="G454" t="s">
        <v>2632</v>
      </c>
      <c r="H454">
        <f t="shared" si="10"/>
        <v>15</v>
      </c>
      <c r="M454" s="1">
        <v>-4.2956401593983104E-3</v>
      </c>
      <c r="N454">
        <v>1633.92211914063</v>
      </c>
      <c r="O454">
        <v>817.9683</v>
      </c>
      <c r="P454">
        <v>1633.92639160156</v>
      </c>
      <c r="Q454">
        <v>817.970458984375</v>
      </c>
      <c r="R454">
        <v>2</v>
      </c>
      <c r="S454">
        <v>2</v>
      </c>
      <c r="T454">
        <v>19</v>
      </c>
      <c r="U454">
        <v>22.309830000000002</v>
      </c>
      <c r="V454">
        <v>594745.80000000005</v>
      </c>
    </row>
    <row r="455" spans="1:22" x14ac:dyDescent="0.25">
      <c r="A455" t="s">
        <v>2338</v>
      </c>
      <c r="B455" t="s">
        <v>2339</v>
      </c>
      <c r="C455">
        <v>468</v>
      </c>
      <c r="D455">
        <v>99</v>
      </c>
      <c r="E455">
        <v>99</v>
      </c>
      <c r="F455" t="s">
        <v>2340</v>
      </c>
      <c r="G455" t="s">
        <v>2340</v>
      </c>
      <c r="H455">
        <f t="shared" si="10"/>
        <v>17</v>
      </c>
      <c r="M455">
        <v>2.5000000000000001E-5</v>
      </c>
      <c r="N455">
        <v>1633.92639160156</v>
      </c>
      <c r="O455">
        <v>545.64940000000001</v>
      </c>
      <c r="P455">
        <v>1633.92639160156</v>
      </c>
      <c r="Q455">
        <v>545.6494140625</v>
      </c>
      <c r="R455">
        <v>3</v>
      </c>
      <c r="S455">
        <v>1</v>
      </c>
      <c r="T455">
        <v>14</v>
      </c>
      <c r="U455">
        <v>22.091100000000001</v>
      </c>
      <c r="V455">
        <v>1373779</v>
      </c>
    </row>
    <row r="456" spans="1:22" x14ac:dyDescent="0.25">
      <c r="A456" t="s">
        <v>2338</v>
      </c>
      <c r="B456" t="s">
        <v>2339</v>
      </c>
      <c r="C456">
        <v>468</v>
      </c>
      <c r="D456">
        <v>99</v>
      </c>
      <c r="E456">
        <v>99</v>
      </c>
      <c r="F456" t="s">
        <v>2341</v>
      </c>
      <c r="G456" t="s">
        <v>2341</v>
      </c>
      <c r="H456">
        <f t="shared" si="10"/>
        <v>18</v>
      </c>
      <c r="M456" s="1">
        <v>1.5217800391838E-3</v>
      </c>
      <c r="N456">
        <v>973.57244873046795</v>
      </c>
      <c r="O456">
        <v>487.79349999999903</v>
      </c>
      <c r="P456">
        <v>973.57092285156205</v>
      </c>
      <c r="Q456">
        <v>487.792724609375</v>
      </c>
      <c r="R456">
        <v>2</v>
      </c>
      <c r="S456">
        <v>17</v>
      </c>
      <c r="T456">
        <v>10</v>
      </c>
      <c r="U456">
        <v>26.859079999999899</v>
      </c>
      <c r="V456">
        <v>13015250</v>
      </c>
    </row>
    <row r="457" spans="1:22" x14ac:dyDescent="0.25">
      <c r="A457" t="s">
        <v>3243</v>
      </c>
      <c r="B457" t="s">
        <v>3244</v>
      </c>
      <c r="C457">
        <v>347</v>
      </c>
      <c r="D457">
        <v>97.9</v>
      </c>
      <c r="E457">
        <v>97.88</v>
      </c>
      <c r="F457" t="s">
        <v>3245</v>
      </c>
      <c r="G457" t="s">
        <v>3245</v>
      </c>
      <c r="H457">
        <f t="shared" si="10"/>
        <v>14</v>
      </c>
      <c r="M457" s="1">
        <v>2.9255899135023299E-3</v>
      </c>
      <c r="N457">
        <v>973.57385253906205</v>
      </c>
      <c r="O457">
        <v>487.79419999999902</v>
      </c>
      <c r="P457">
        <v>973.57092285156205</v>
      </c>
      <c r="Q457">
        <v>487.792724609375</v>
      </c>
      <c r="R457">
        <v>2</v>
      </c>
      <c r="S457">
        <v>12</v>
      </c>
      <c r="T457">
        <v>11</v>
      </c>
      <c r="U457">
        <v>27.414370000000002</v>
      </c>
      <c r="V457">
        <v>3605049</v>
      </c>
    </row>
    <row r="458" spans="1:22" x14ac:dyDescent="0.25">
      <c r="A458" t="s">
        <v>4051</v>
      </c>
      <c r="B458" t="s">
        <v>4052</v>
      </c>
      <c r="C458">
        <v>390</v>
      </c>
      <c r="D458">
        <v>99</v>
      </c>
      <c r="E458">
        <v>99</v>
      </c>
      <c r="F458" t="s">
        <v>4053</v>
      </c>
      <c r="G458" t="s">
        <v>4053</v>
      </c>
      <c r="H458">
        <f t="shared" si="10"/>
        <v>9</v>
      </c>
      <c r="M458" s="1">
        <v>2.9020300135016298E-3</v>
      </c>
      <c r="N458">
        <v>1387.78527832031</v>
      </c>
      <c r="O458">
        <v>694.8999</v>
      </c>
      <c r="P458">
        <v>1387.78234863281</v>
      </c>
      <c r="Q458">
        <v>694.8984375</v>
      </c>
      <c r="R458">
        <v>2</v>
      </c>
      <c r="S458">
        <v>2</v>
      </c>
      <c r="T458">
        <v>11</v>
      </c>
      <c r="U458">
        <v>28.507930000000002</v>
      </c>
      <c r="V458">
        <v>251190</v>
      </c>
    </row>
    <row r="459" spans="1:22" x14ac:dyDescent="0.25">
      <c r="A459" t="s">
        <v>2794</v>
      </c>
      <c r="B459" t="s">
        <v>2795</v>
      </c>
      <c r="C459">
        <v>72</v>
      </c>
      <c r="D459">
        <v>98.1</v>
      </c>
      <c r="E459">
        <v>98.07</v>
      </c>
      <c r="F459" t="s">
        <v>2796</v>
      </c>
      <c r="G459" t="s">
        <v>2796</v>
      </c>
      <c r="H459">
        <f t="shared" si="10"/>
        <v>9</v>
      </c>
      <c r="M459" s="1">
        <v>2.0475399214774401E-3</v>
      </c>
      <c r="N459">
        <v>1387.78442382813</v>
      </c>
      <c r="O459">
        <v>694.89949999999897</v>
      </c>
      <c r="P459">
        <v>1387.78234863281</v>
      </c>
      <c r="Q459">
        <v>694.8984375</v>
      </c>
      <c r="R459">
        <v>2</v>
      </c>
      <c r="S459">
        <v>1</v>
      </c>
      <c r="T459">
        <v>11</v>
      </c>
      <c r="U459">
        <v>28.48865</v>
      </c>
      <c r="V459">
        <v>188139.1</v>
      </c>
    </row>
    <row r="460" spans="1:22" x14ac:dyDescent="0.25">
      <c r="A460" t="s">
        <v>2912</v>
      </c>
      <c r="B460" t="s">
        <v>2913</v>
      </c>
      <c r="C460">
        <v>939</v>
      </c>
      <c r="D460">
        <v>98.9</v>
      </c>
      <c r="E460">
        <v>98.87</v>
      </c>
      <c r="F460" t="s">
        <v>2914</v>
      </c>
      <c r="G460" t="s">
        <v>2914</v>
      </c>
      <c r="H460">
        <f t="shared" si="10"/>
        <v>9</v>
      </c>
      <c r="M460" s="1">
        <v>1.0081400396302199E-3</v>
      </c>
      <c r="N460">
        <v>1123.64001464844</v>
      </c>
      <c r="O460">
        <v>562.82730000000004</v>
      </c>
      <c r="P460">
        <v>1123.63903808594</v>
      </c>
      <c r="Q460">
        <v>562.82678222656205</v>
      </c>
      <c r="R460">
        <v>2</v>
      </c>
      <c r="S460">
        <v>1</v>
      </c>
      <c r="T460">
        <v>12</v>
      </c>
      <c r="U460">
        <v>21.55255</v>
      </c>
      <c r="V460">
        <v>350077.1</v>
      </c>
    </row>
    <row r="461" spans="1:22" x14ac:dyDescent="0.25">
      <c r="A461" t="s">
        <v>1016</v>
      </c>
      <c r="B461" t="s">
        <v>1017</v>
      </c>
      <c r="C461">
        <v>244</v>
      </c>
      <c r="D461">
        <v>97.5</v>
      </c>
      <c r="E461">
        <v>97.54</v>
      </c>
      <c r="F461" t="s">
        <v>1018</v>
      </c>
      <c r="G461" t="s">
        <v>1018</v>
      </c>
      <c r="H461">
        <f t="shared" si="10"/>
        <v>9</v>
      </c>
      <c r="M461" s="1">
        <v>6.50131003931165E-3</v>
      </c>
      <c r="N461">
        <v>1123.6455078125</v>
      </c>
      <c r="O461">
        <v>562.83000000000004</v>
      </c>
      <c r="P461">
        <v>1123.63903808594</v>
      </c>
      <c r="Q461">
        <v>562.82678222656205</v>
      </c>
      <c r="R461">
        <v>2</v>
      </c>
      <c r="S461">
        <v>2</v>
      </c>
      <c r="T461">
        <v>11</v>
      </c>
      <c r="U461">
        <v>21.524349999999899</v>
      </c>
      <c r="V461">
        <v>190406.3</v>
      </c>
    </row>
    <row r="462" spans="1:22" x14ac:dyDescent="0.25">
      <c r="A462" t="s">
        <v>1954</v>
      </c>
      <c r="B462" t="s">
        <v>1955</v>
      </c>
      <c r="C462">
        <v>2</v>
      </c>
      <c r="D462">
        <v>99</v>
      </c>
      <c r="E462">
        <v>99</v>
      </c>
      <c r="F462" t="s">
        <v>1956</v>
      </c>
      <c r="G462" t="s">
        <v>1956</v>
      </c>
      <c r="H462">
        <f t="shared" si="10"/>
        <v>15</v>
      </c>
      <c r="L462" t="s">
        <v>227</v>
      </c>
      <c r="M462" s="1">
        <v>1.1387700214982E-2</v>
      </c>
      <c r="N462">
        <v>2651.31616210938</v>
      </c>
      <c r="O462">
        <v>663.83630000000005</v>
      </c>
      <c r="P462">
        <v>2651.3046875</v>
      </c>
      <c r="Q462">
        <v>663.83343505859295</v>
      </c>
      <c r="R462">
        <v>4</v>
      </c>
      <c r="S462">
        <v>2</v>
      </c>
      <c r="T462">
        <v>12</v>
      </c>
      <c r="U462">
        <v>41.11177</v>
      </c>
      <c r="V462">
        <v>239356.1</v>
      </c>
    </row>
    <row r="463" spans="1:22" x14ac:dyDescent="0.25">
      <c r="A463" t="s">
        <v>1131</v>
      </c>
      <c r="B463" t="s">
        <v>1132</v>
      </c>
      <c r="C463">
        <v>1</v>
      </c>
      <c r="D463">
        <v>99</v>
      </c>
      <c r="E463">
        <v>99</v>
      </c>
      <c r="F463" t="s">
        <v>1133</v>
      </c>
      <c r="G463" t="s">
        <v>1133</v>
      </c>
      <c r="H463">
        <f t="shared" si="10"/>
        <v>10</v>
      </c>
      <c r="L463" t="s">
        <v>377</v>
      </c>
      <c r="M463" s="1">
        <v>3.9228098466992404E-3</v>
      </c>
      <c r="N463">
        <v>1558.61328125</v>
      </c>
      <c r="O463">
        <v>780.31389999999897</v>
      </c>
      <c r="P463">
        <v>1558.609375</v>
      </c>
      <c r="Q463">
        <v>780.31195068359295</v>
      </c>
      <c r="R463">
        <v>2</v>
      </c>
      <c r="S463">
        <v>1</v>
      </c>
      <c r="T463">
        <v>8</v>
      </c>
      <c r="U463">
        <v>34.210850000000001</v>
      </c>
      <c r="V463">
        <v>163802.70000000001</v>
      </c>
    </row>
    <row r="464" spans="1:22" x14ac:dyDescent="0.25">
      <c r="A464" t="s">
        <v>3513</v>
      </c>
      <c r="B464" t="s">
        <v>3514</v>
      </c>
      <c r="C464">
        <v>187</v>
      </c>
      <c r="D464">
        <v>99</v>
      </c>
      <c r="E464">
        <v>99</v>
      </c>
      <c r="F464" t="s">
        <v>3515</v>
      </c>
      <c r="G464" t="s">
        <v>3515</v>
      </c>
      <c r="H464">
        <f t="shared" si="10"/>
        <v>15</v>
      </c>
      <c r="M464">
        <v>5.0390000000000001E-3</v>
      </c>
      <c r="N464">
        <v>1798.97399902344</v>
      </c>
      <c r="O464">
        <v>600.6653</v>
      </c>
      <c r="P464">
        <v>1798.96899414063</v>
      </c>
      <c r="Q464">
        <v>600.66357421875</v>
      </c>
      <c r="R464">
        <v>3</v>
      </c>
      <c r="S464">
        <v>1</v>
      </c>
      <c r="T464">
        <v>12</v>
      </c>
      <c r="U464">
        <v>32.734549999999899</v>
      </c>
      <c r="V464">
        <v>288156.5</v>
      </c>
    </row>
    <row r="465" spans="1:22" x14ac:dyDescent="0.25">
      <c r="A465" t="s">
        <v>1107</v>
      </c>
      <c r="B465" t="s">
        <v>1108</v>
      </c>
      <c r="C465">
        <v>74</v>
      </c>
      <c r="D465">
        <v>99</v>
      </c>
      <c r="E465">
        <v>99</v>
      </c>
      <c r="F465" t="s">
        <v>1109</v>
      </c>
      <c r="G465" t="s">
        <v>1109</v>
      </c>
      <c r="H465">
        <f t="shared" si="10"/>
        <v>9</v>
      </c>
      <c r="M465">
        <v>8.1000000000000004E-5</v>
      </c>
      <c r="N465">
        <v>1543.78833007813</v>
      </c>
      <c r="O465">
        <v>772.90139999999894</v>
      </c>
      <c r="P465">
        <v>1543.78820800781</v>
      </c>
      <c r="Q465">
        <v>772.9013671875</v>
      </c>
      <c r="R465">
        <v>2</v>
      </c>
      <c r="S465">
        <v>1</v>
      </c>
      <c r="T465">
        <v>9</v>
      </c>
      <c r="U465">
        <v>40.001829999999899</v>
      </c>
      <c r="V465">
        <v>158243.299999999</v>
      </c>
    </row>
    <row r="466" spans="1:22" x14ac:dyDescent="0.25">
      <c r="A466" t="s">
        <v>1534</v>
      </c>
      <c r="B466" t="s">
        <v>1535</v>
      </c>
      <c r="C466">
        <v>84</v>
      </c>
      <c r="D466">
        <v>98.4</v>
      </c>
      <c r="E466">
        <v>98.44</v>
      </c>
      <c r="F466" t="s">
        <v>1536</v>
      </c>
      <c r="G466" t="s">
        <v>1536</v>
      </c>
      <c r="H466">
        <f t="shared" si="10"/>
        <v>9</v>
      </c>
      <c r="M466">
        <v>5.8180000000000003E-3</v>
      </c>
      <c r="N466">
        <v>1543.79406738281</v>
      </c>
      <c r="O466">
        <v>772.90430000000003</v>
      </c>
      <c r="P466">
        <v>1543.78820800781</v>
      </c>
      <c r="Q466">
        <v>772.9013671875</v>
      </c>
      <c r="R466">
        <v>2</v>
      </c>
      <c r="S466">
        <v>1</v>
      </c>
      <c r="T466">
        <v>11</v>
      </c>
      <c r="U466">
        <v>40.006999999999898</v>
      </c>
      <c r="V466">
        <v>175413.8</v>
      </c>
    </row>
    <row r="467" spans="1:22" x14ac:dyDescent="0.25">
      <c r="A467" t="s">
        <v>2565</v>
      </c>
      <c r="B467" t="s">
        <v>2566</v>
      </c>
      <c r="C467">
        <v>2</v>
      </c>
      <c r="D467">
        <v>99</v>
      </c>
      <c r="E467">
        <v>99</v>
      </c>
      <c r="F467" t="s">
        <v>2567</v>
      </c>
      <c r="G467" t="s">
        <v>2567</v>
      </c>
      <c r="H467">
        <f t="shared" si="10"/>
        <v>12</v>
      </c>
      <c r="L467" t="s">
        <v>2568</v>
      </c>
      <c r="M467" s="1">
        <v>2.02437993139029E-2</v>
      </c>
      <c r="N467">
        <v>2983.69091796875</v>
      </c>
      <c r="O467">
        <v>746.93</v>
      </c>
      <c r="P467">
        <v>2983.67065429688</v>
      </c>
      <c r="Q467">
        <v>746.92492675781205</v>
      </c>
      <c r="R467">
        <v>4</v>
      </c>
      <c r="S467">
        <v>1</v>
      </c>
      <c r="T467">
        <v>13</v>
      </c>
      <c r="U467">
        <v>40.847079999999899</v>
      </c>
      <c r="V467">
        <v>824856.3</v>
      </c>
    </row>
    <row r="468" spans="1:22" x14ac:dyDescent="0.25">
      <c r="A468" t="s">
        <v>3741</v>
      </c>
      <c r="B468" t="s">
        <v>3742</v>
      </c>
      <c r="C468">
        <v>2</v>
      </c>
      <c r="D468">
        <v>98.3</v>
      </c>
      <c r="E468">
        <v>98.26</v>
      </c>
      <c r="F468" t="s">
        <v>3743</v>
      </c>
      <c r="G468" t="s">
        <v>3743</v>
      </c>
      <c r="H468">
        <f t="shared" si="10"/>
        <v>13</v>
      </c>
      <c r="L468" t="s">
        <v>3744</v>
      </c>
      <c r="M468" s="1">
        <v>5.4095401428639802E-3</v>
      </c>
      <c r="N468">
        <v>1911.06323242188</v>
      </c>
      <c r="O468">
        <v>956.53890000000001</v>
      </c>
      <c r="P468">
        <v>1911.05773925781</v>
      </c>
      <c r="Q468">
        <v>956.53619384765602</v>
      </c>
      <c r="R468">
        <v>2</v>
      </c>
      <c r="S468">
        <v>2</v>
      </c>
      <c r="T468">
        <v>11</v>
      </c>
      <c r="U468">
        <v>55.97495</v>
      </c>
      <c r="V468">
        <v>187588.9</v>
      </c>
    </row>
    <row r="469" spans="1:22" x14ac:dyDescent="0.25">
      <c r="A469" t="s">
        <v>1479</v>
      </c>
      <c r="B469" t="s">
        <v>1480</v>
      </c>
      <c r="C469">
        <v>117</v>
      </c>
      <c r="D469">
        <v>99</v>
      </c>
      <c r="E469">
        <v>99</v>
      </c>
      <c r="F469" t="s">
        <v>1481</v>
      </c>
      <c r="G469" t="s">
        <v>1481</v>
      </c>
      <c r="H469">
        <f t="shared" si="10"/>
        <v>13</v>
      </c>
      <c r="M469" s="1">
        <v>2.6616901159286399E-3</v>
      </c>
      <c r="N469">
        <v>997.631103515625</v>
      </c>
      <c r="O469">
        <v>499.82279999999901</v>
      </c>
      <c r="P469">
        <v>997.62841796875</v>
      </c>
      <c r="Q469">
        <v>499.82147216796801</v>
      </c>
      <c r="R469">
        <v>2</v>
      </c>
      <c r="S469">
        <v>2</v>
      </c>
      <c r="T469">
        <v>12</v>
      </c>
      <c r="U469">
        <v>44.605449999999898</v>
      </c>
      <c r="V469">
        <v>156236.5</v>
      </c>
    </row>
    <row r="470" spans="1:22" x14ac:dyDescent="0.25">
      <c r="A470" t="s">
        <v>1526</v>
      </c>
      <c r="B470" t="s">
        <v>1527</v>
      </c>
      <c r="C470">
        <v>35</v>
      </c>
      <c r="D470">
        <v>98.2</v>
      </c>
      <c r="E470">
        <v>98.19</v>
      </c>
      <c r="F470" t="s">
        <v>1528</v>
      </c>
      <c r="G470" t="s">
        <v>1528</v>
      </c>
      <c r="H470">
        <f t="shared" si="10"/>
        <v>9</v>
      </c>
      <c r="M470" s="1">
        <v>2.4175499565899298E-3</v>
      </c>
      <c r="N470">
        <v>997.630859375</v>
      </c>
      <c r="O470">
        <v>499.8227</v>
      </c>
      <c r="P470">
        <v>997.62841796875</v>
      </c>
      <c r="Q470">
        <v>499.82147216796801</v>
      </c>
      <c r="R470">
        <v>2</v>
      </c>
      <c r="S470">
        <v>2</v>
      </c>
      <c r="T470">
        <v>13</v>
      </c>
      <c r="U470">
        <v>44.553649999999898</v>
      </c>
      <c r="V470">
        <v>323747.7</v>
      </c>
    </row>
    <row r="471" spans="1:22" x14ac:dyDescent="0.25">
      <c r="A471" t="s">
        <v>721</v>
      </c>
      <c r="B471" t="s">
        <v>722</v>
      </c>
      <c r="C471">
        <v>103</v>
      </c>
      <c r="D471">
        <v>99</v>
      </c>
      <c r="E471">
        <v>99</v>
      </c>
      <c r="F471" t="s">
        <v>723</v>
      </c>
      <c r="G471" t="s">
        <v>723</v>
      </c>
      <c r="H471">
        <f t="shared" si="10"/>
        <v>12</v>
      </c>
      <c r="M471" s="1">
        <v>8.8207097724080103E-3</v>
      </c>
      <c r="N471">
        <v>1630.84033203125</v>
      </c>
      <c r="O471">
        <v>816.42740000000003</v>
      </c>
      <c r="P471">
        <v>1630.83154296875</v>
      </c>
      <c r="Q471">
        <v>816.42303466796795</v>
      </c>
      <c r="R471">
        <v>2</v>
      </c>
      <c r="S471">
        <v>1</v>
      </c>
      <c r="T471">
        <v>12</v>
      </c>
      <c r="U471">
        <v>45.692300000000003</v>
      </c>
      <c r="V471">
        <v>129304.6</v>
      </c>
    </row>
    <row r="472" spans="1:22" x14ac:dyDescent="0.25">
      <c r="A472" t="s">
        <v>1576</v>
      </c>
      <c r="B472" t="s">
        <v>1577</v>
      </c>
      <c r="C472">
        <v>74</v>
      </c>
      <c r="D472">
        <v>99</v>
      </c>
      <c r="E472">
        <v>99</v>
      </c>
      <c r="F472" t="s">
        <v>1578</v>
      </c>
      <c r="G472" t="s">
        <v>1578</v>
      </c>
      <c r="H472">
        <f t="shared" si="10"/>
        <v>10</v>
      </c>
      <c r="M472" s="1">
        <v>7.2944699786603503E-3</v>
      </c>
      <c r="N472">
        <v>1852.97314453125</v>
      </c>
      <c r="O472">
        <v>618.66499999999905</v>
      </c>
      <c r="P472">
        <v>1852.9658203125</v>
      </c>
      <c r="Q472">
        <v>618.66253662109295</v>
      </c>
      <c r="R472">
        <v>3</v>
      </c>
      <c r="S472">
        <v>2</v>
      </c>
      <c r="T472">
        <v>10</v>
      </c>
      <c r="U472">
        <v>37.5650499999999</v>
      </c>
      <c r="V472">
        <v>235066.4</v>
      </c>
    </row>
    <row r="473" spans="1:22" x14ac:dyDescent="0.25">
      <c r="A473" t="s">
        <v>1602</v>
      </c>
      <c r="B473" t="s">
        <v>1603</v>
      </c>
      <c r="C473">
        <v>50</v>
      </c>
      <c r="D473">
        <v>99</v>
      </c>
      <c r="E473">
        <v>99</v>
      </c>
      <c r="F473" t="s">
        <v>1604</v>
      </c>
      <c r="G473" t="s">
        <v>1604</v>
      </c>
      <c r="H473">
        <f t="shared" si="10"/>
        <v>14</v>
      </c>
      <c r="M473" s="1">
        <v>6.3789500854909403E-3</v>
      </c>
      <c r="N473">
        <v>1852.97216796875</v>
      </c>
      <c r="O473">
        <v>618.66470000000004</v>
      </c>
      <c r="P473">
        <v>1852.9658203125</v>
      </c>
      <c r="Q473">
        <v>618.66253662109295</v>
      </c>
      <c r="R473">
        <v>3</v>
      </c>
      <c r="S473">
        <v>2</v>
      </c>
      <c r="T473">
        <v>8</v>
      </c>
      <c r="U473">
        <v>37.6069999999999</v>
      </c>
      <c r="V473">
        <v>163679.70000000001</v>
      </c>
    </row>
    <row r="474" spans="1:22" x14ac:dyDescent="0.25">
      <c r="A474" t="s">
        <v>1602</v>
      </c>
      <c r="B474" t="s">
        <v>1603</v>
      </c>
      <c r="C474">
        <v>17</v>
      </c>
      <c r="D474">
        <v>99</v>
      </c>
      <c r="E474">
        <v>99</v>
      </c>
      <c r="F474" t="s">
        <v>1605</v>
      </c>
      <c r="G474" t="s">
        <v>1605</v>
      </c>
      <c r="H474">
        <f t="shared" si="10"/>
        <v>12</v>
      </c>
      <c r="M474" s="1">
        <v>4.2908000759780303E-3</v>
      </c>
      <c r="N474">
        <v>1990.02905273438</v>
      </c>
      <c r="O474">
        <v>664.35029999999904</v>
      </c>
      <c r="P474">
        <v>1990.02478027344</v>
      </c>
      <c r="Q474">
        <v>664.348876953125</v>
      </c>
      <c r="R474">
        <v>3</v>
      </c>
      <c r="S474">
        <v>1</v>
      </c>
      <c r="T474">
        <v>12</v>
      </c>
      <c r="U474">
        <v>34.762819999999898</v>
      </c>
      <c r="V474">
        <v>480488.3</v>
      </c>
    </row>
    <row r="475" spans="1:22" x14ac:dyDescent="0.25">
      <c r="A475" t="s">
        <v>1902</v>
      </c>
      <c r="B475" t="s">
        <v>1903</v>
      </c>
      <c r="C475">
        <v>279</v>
      </c>
      <c r="D475">
        <v>99</v>
      </c>
      <c r="E475">
        <v>99</v>
      </c>
      <c r="F475" t="s">
        <v>1904</v>
      </c>
      <c r="G475" t="s">
        <v>1904</v>
      </c>
      <c r="H475">
        <f t="shared" si="10"/>
        <v>9</v>
      </c>
      <c r="L475" t="s">
        <v>47</v>
      </c>
      <c r="M475" s="1">
        <v>2.8412300162017302E-3</v>
      </c>
      <c r="N475">
        <v>1022.5458984375</v>
      </c>
      <c r="O475">
        <v>512.28020000000004</v>
      </c>
      <c r="P475">
        <v>1022.54302978516</v>
      </c>
      <c r="Q475">
        <v>512.27880859375</v>
      </c>
      <c r="R475">
        <v>2</v>
      </c>
      <c r="S475">
        <v>1</v>
      </c>
      <c r="T475">
        <v>12</v>
      </c>
      <c r="U475">
        <v>29.3272499999999</v>
      </c>
      <c r="V475">
        <v>939692.1</v>
      </c>
    </row>
    <row r="476" spans="1:22" x14ac:dyDescent="0.25">
      <c r="A476" t="s">
        <v>191</v>
      </c>
      <c r="B476" t="s">
        <v>192</v>
      </c>
      <c r="C476">
        <v>589</v>
      </c>
      <c r="D476">
        <v>98.8</v>
      </c>
      <c r="E476">
        <v>98.77</v>
      </c>
      <c r="F476" t="s">
        <v>2844</v>
      </c>
      <c r="G476" t="s">
        <v>2844</v>
      </c>
      <c r="H476">
        <f t="shared" si="10"/>
        <v>9</v>
      </c>
      <c r="M476">
        <v>3.9999999999999998E-6</v>
      </c>
      <c r="N476">
        <v>1103.5458984375</v>
      </c>
      <c r="O476">
        <v>552.78020000000004</v>
      </c>
      <c r="P476">
        <v>1103.5458984375</v>
      </c>
      <c r="Q476">
        <v>552.78021240234295</v>
      </c>
      <c r="R476">
        <v>2</v>
      </c>
      <c r="S476">
        <v>1</v>
      </c>
      <c r="T476">
        <v>16</v>
      </c>
      <c r="U476">
        <v>24.7289999999999</v>
      </c>
      <c r="V476">
        <v>2363489</v>
      </c>
    </row>
    <row r="477" spans="1:22" x14ac:dyDescent="0.25">
      <c r="A477" t="s">
        <v>191</v>
      </c>
      <c r="B477" t="s">
        <v>192</v>
      </c>
      <c r="C477">
        <v>3050</v>
      </c>
      <c r="D477">
        <v>99</v>
      </c>
      <c r="E477">
        <v>99</v>
      </c>
      <c r="F477" t="s">
        <v>2845</v>
      </c>
      <c r="G477" t="s">
        <v>2845</v>
      </c>
      <c r="H477">
        <f t="shared" si="10"/>
        <v>9</v>
      </c>
      <c r="M477" s="1">
        <v>1.44592998549342E-2</v>
      </c>
      <c r="N477">
        <v>2079.9052734375</v>
      </c>
      <c r="O477">
        <v>1040.96</v>
      </c>
      <c r="P477">
        <v>2079.89086914063</v>
      </c>
      <c r="Q477">
        <v>1040.95275878906</v>
      </c>
      <c r="R477">
        <v>2</v>
      </c>
      <c r="S477">
        <v>1</v>
      </c>
      <c r="T477">
        <v>10</v>
      </c>
      <c r="U477">
        <v>43.64293</v>
      </c>
      <c r="V477">
        <v>152646.20000000001</v>
      </c>
    </row>
    <row r="478" spans="1:22" x14ac:dyDescent="0.25">
      <c r="A478" t="s">
        <v>191</v>
      </c>
      <c r="B478" t="s">
        <v>192</v>
      </c>
      <c r="C478">
        <v>3105</v>
      </c>
      <c r="D478">
        <v>99</v>
      </c>
      <c r="E478">
        <v>99</v>
      </c>
      <c r="F478" t="s">
        <v>2846</v>
      </c>
      <c r="G478" t="s">
        <v>2846</v>
      </c>
      <c r="H478">
        <f t="shared" si="10"/>
        <v>9</v>
      </c>
      <c r="L478" t="s">
        <v>47</v>
      </c>
      <c r="M478" s="1">
        <v>1.69537996407598E-3</v>
      </c>
      <c r="N478">
        <v>1068.54772949219</v>
      </c>
      <c r="O478">
        <v>535.28110000000004</v>
      </c>
      <c r="P478">
        <v>1068.54602050781</v>
      </c>
      <c r="Q478">
        <v>535.2802734375</v>
      </c>
      <c r="R478">
        <v>2</v>
      </c>
      <c r="S478">
        <v>1</v>
      </c>
      <c r="T478">
        <v>13</v>
      </c>
      <c r="U478">
        <v>42.085169999999898</v>
      </c>
      <c r="V478">
        <v>903447.5</v>
      </c>
    </row>
    <row r="479" spans="1:22" x14ac:dyDescent="0.25">
      <c r="A479" t="s">
        <v>4669</v>
      </c>
      <c r="B479" t="s">
        <v>4670</v>
      </c>
      <c r="C479">
        <v>296</v>
      </c>
      <c r="D479">
        <v>99</v>
      </c>
      <c r="E479">
        <v>99</v>
      </c>
      <c r="F479" t="s">
        <v>4671</v>
      </c>
      <c r="G479" t="s">
        <v>4671</v>
      </c>
      <c r="H479">
        <f t="shared" si="10"/>
        <v>9</v>
      </c>
      <c r="M479" s="1">
        <v>1.44592998549342E-2</v>
      </c>
      <c r="N479">
        <v>2079.9052734375</v>
      </c>
      <c r="O479">
        <v>1040.96</v>
      </c>
      <c r="P479">
        <v>2079.89086914063</v>
      </c>
      <c r="Q479">
        <v>1040.95275878906</v>
      </c>
      <c r="R479">
        <v>2</v>
      </c>
      <c r="S479">
        <v>1</v>
      </c>
      <c r="T479">
        <v>10</v>
      </c>
      <c r="U479">
        <v>43.648470000000003</v>
      </c>
      <c r="V479">
        <v>93738.66</v>
      </c>
    </row>
    <row r="480" spans="1:22" x14ac:dyDescent="0.25">
      <c r="A480" t="s">
        <v>3596</v>
      </c>
      <c r="B480" t="s">
        <v>3597</v>
      </c>
      <c r="C480">
        <v>239</v>
      </c>
      <c r="D480">
        <v>99</v>
      </c>
      <c r="E480">
        <v>99</v>
      </c>
      <c r="F480" t="s">
        <v>3598</v>
      </c>
      <c r="G480" t="s">
        <v>3598</v>
      </c>
      <c r="H480">
        <f t="shared" si="10"/>
        <v>9</v>
      </c>
      <c r="M480" s="1">
        <v>7.9086897894740105E-3</v>
      </c>
      <c r="N480">
        <v>1934.0439453125</v>
      </c>
      <c r="O480">
        <v>645.68859999999904</v>
      </c>
      <c r="P480">
        <v>1934.03601074219</v>
      </c>
      <c r="Q480">
        <v>645.68597412109295</v>
      </c>
      <c r="R480">
        <v>3</v>
      </c>
      <c r="S480">
        <v>3</v>
      </c>
      <c r="T480">
        <v>12</v>
      </c>
      <c r="U480">
        <v>38.069699999999898</v>
      </c>
      <c r="V480">
        <v>239503.3</v>
      </c>
    </row>
    <row r="481" spans="1:22" x14ac:dyDescent="0.25">
      <c r="A481" t="s">
        <v>3778</v>
      </c>
      <c r="B481" t="s">
        <v>3779</v>
      </c>
      <c r="C481">
        <v>52</v>
      </c>
      <c r="D481">
        <v>99</v>
      </c>
      <c r="E481">
        <v>99</v>
      </c>
      <c r="F481" t="s">
        <v>513</v>
      </c>
      <c r="G481" t="s">
        <v>513</v>
      </c>
      <c r="H481">
        <f t="shared" si="10"/>
        <v>9</v>
      </c>
      <c r="M481" s="1">
        <v>9.9228499457240105E-3</v>
      </c>
      <c r="N481">
        <v>1934.04602050781</v>
      </c>
      <c r="O481">
        <v>645.6893</v>
      </c>
      <c r="P481">
        <v>1934.03601074219</v>
      </c>
      <c r="Q481">
        <v>645.68597412109295</v>
      </c>
      <c r="R481">
        <v>3</v>
      </c>
      <c r="S481">
        <v>1</v>
      </c>
      <c r="T481">
        <v>14</v>
      </c>
      <c r="U481">
        <v>38.010080000000002</v>
      </c>
      <c r="V481">
        <v>181166.3</v>
      </c>
    </row>
    <row r="482" spans="1:22" x14ac:dyDescent="0.25">
      <c r="A482" t="s">
        <v>3778</v>
      </c>
      <c r="B482" t="s">
        <v>3779</v>
      </c>
      <c r="C482">
        <v>311</v>
      </c>
      <c r="D482">
        <v>99</v>
      </c>
      <c r="E482">
        <v>99</v>
      </c>
      <c r="F482" t="s">
        <v>380</v>
      </c>
      <c r="G482" t="s">
        <v>380</v>
      </c>
      <c r="H482">
        <f t="shared" si="10"/>
        <v>9</v>
      </c>
      <c r="M482" s="1">
        <v>1.17004998028278E-2</v>
      </c>
      <c r="N482">
        <v>2062.14282226563</v>
      </c>
      <c r="O482">
        <v>688.38819999999896</v>
      </c>
      <c r="P482">
        <v>2062.13110351563</v>
      </c>
      <c r="Q482">
        <v>688.38427734375</v>
      </c>
      <c r="R482">
        <v>3</v>
      </c>
      <c r="S482">
        <v>2</v>
      </c>
      <c r="T482">
        <v>15</v>
      </c>
      <c r="U482">
        <v>34.083419999999897</v>
      </c>
      <c r="V482">
        <v>415705.5</v>
      </c>
    </row>
    <row r="483" spans="1:22" x14ac:dyDescent="0.25">
      <c r="A483" t="s">
        <v>3778</v>
      </c>
      <c r="B483" t="s">
        <v>3779</v>
      </c>
      <c r="C483">
        <v>311</v>
      </c>
      <c r="D483">
        <v>99</v>
      </c>
      <c r="E483">
        <v>99</v>
      </c>
      <c r="F483" t="s">
        <v>380</v>
      </c>
      <c r="G483" t="s">
        <v>380</v>
      </c>
      <c r="H483">
        <f t="shared" si="10"/>
        <v>9</v>
      </c>
      <c r="L483" t="s">
        <v>377</v>
      </c>
      <c r="M483" s="1">
        <v>7.8237596899270907E-3</v>
      </c>
      <c r="N483">
        <v>2115.06909179688</v>
      </c>
      <c r="O483">
        <v>706.03030000000001</v>
      </c>
      <c r="P483">
        <v>2115.06127929688</v>
      </c>
      <c r="Q483">
        <v>706.02764892578102</v>
      </c>
      <c r="R483">
        <v>3</v>
      </c>
      <c r="S483">
        <v>1</v>
      </c>
      <c r="T483">
        <v>12</v>
      </c>
      <c r="U483">
        <v>34.220469999999899</v>
      </c>
      <c r="V483">
        <v>255260.3</v>
      </c>
    </row>
    <row r="484" spans="1:22" x14ac:dyDescent="0.25">
      <c r="A484" t="s">
        <v>2814</v>
      </c>
      <c r="B484" t="s">
        <v>2815</v>
      </c>
      <c r="C484">
        <v>510</v>
      </c>
      <c r="D484">
        <v>99</v>
      </c>
      <c r="E484">
        <v>99</v>
      </c>
      <c r="F484" t="s">
        <v>2816</v>
      </c>
      <c r="G484" t="s">
        <v>2816</v>
      </c>
      <c r="H484">
        <f t="shared" si="10"/>
        <v>16</v>
      </c>
      <c r="M484" s="1">
        <v>3.6294199526310002E-3</v>
      </c>
      <c r="N484">
        <v>1549.7119140625</v>
      </c>
      <c r="O484">
        <v>775.86320000000001</v>
      </c>
      <c r="P484">
        <v>1549.70825195313</v>
      </c>
      <c r="Q484">
        <v>775.86138916015602</v>
      </c>
      <c r="R484">
        <v>2</v>
      </c>
      <c r="S484">
        <v>1</v>
      </c>
      <c r="T484">
        <v>9</v>
      </c>
      <c r="U484">
        <v>29.213570000000001</v>
      </c>
      <c r="V484">
        <v>188978.4</v>
      </c>
    </row>
    <row r="485" spans="1:22" x14ac:dyDescent="0.25">
      <c r="A485" t="s">
        <v>2814</v>
      </c>
      <c r="B485" t="s">
        <v>2815</v>
      </c>
      <c r="C485">
        <v>511</v>
      </c>
      <c r="D485">
        <v>99</v>
      </c>
      <c r="E485">
        <v>99</v>
      </c>
      <c r="F485" t="s">
        <v>2817</v>
      </c>
      <c r="G485" t="s">
        <v>2817</v>
      </c>
      <c r="H485">
        <f t="shared" si="10"/>
        <v>15</v>
      </c>
      <c r="M485" s="1">
        <v>5.31165022403001E-3</v>
      </c>
      <c r="N485">
        <v>1791.96850585938</v>
      </c>
      <c r="O485">
        <v>896.99149999999895</v>
      </c>
      <c r="P485">
        <v>1791.96313476563</v>
      </c>
      <c r="Q485">
        <v>896.98883056640602</v>
      </c>
      <c r="R485">
        <v>2</v>
      </c>
      <c r="S485">
        <v>2</v>
      </c>
      <c r="T485">
        <v>14</v>
      </c>
      <c r="U485">
        <v>38.233049999999899</v>
      </c>
      <c r="V485">
        <v>205350.8</v>
      </c>
    </row>
    <row r="486" spans="1:22" x14ac:dyDescent="0.25">
      <c r="A486" t="s">
        <v>2814</v>
      </c>
      <c r="B486" t="s">
        <v>2815</v>
      </c>
      <c r="C486">
        <v>509</v>
      </c>
      <c r="D486">
        <v>97.9</v>
      </c>
      <c r="E486">
        <v>97.88</v>
      </c>
      <c r="F486" t="s">
        <v>2818</v>
      </c>
      <c r="G486" t="s">
        <v>2818</v>
      </c>
      <c r="H486">
        <f t="shared" si="10"/>
        <v>17</v>
      </c>
      <c r="M486">
        <v>7.535E-3</v>
      </c>
      <c r="N486">
        <v>1402.68041992188</v>
      </c>
      <c r="O486">
        <v>702.34749999999894</v>
      </c>
      <c r="P486">
        <v>1402.6728515625</v>
      </c>
      <c r="Q486">
        <v>702.34368896484295</v>
      </c>
      <c r="R486">
        <v>2</v>
      </c>
      <c r="S486">
        <v>1</v>
      </c>
      <c r="T486">
        <v>11</v>
      </c>
      <c r="U486">
        <v>26.2339699999999</v>
      </c>
      <c r="V486">
        <v>170652.3</v>
      </c>
    </row>
    <row r="487" spans="1:22" x14ac:dyDescent="0.25">
      <c r="A487" t="s">
        <v>2814</v>
      </c>
      <c r="B487" t="s">
        <v>2815</v>
      </c>
      <c r="C487">
        <v>510</v>
      </c>
      <c r="D487">
        <v>99</v>
      </c>
      <c r="E487">
        <v>99</v>
      </c>
      <c r="F487" t="s">
        <v>2819</v>
      </c>
      <c r="G487" t="s">
        <v>2819</v>
      </c>
      <c r="H487">
        <f t="shared" si="10"/>
        <v>15</v>
      </c>
      <c r="M487" s="1">
        <v>6.55796006321906E-3</v>
      </c>
      <c r="N487">
        <v>1402.67944335938</v>
      </c>
      <c r="O487">
        <v>702.34699999999896</v>
      </c>
      <c r="P487">
        <v>1402.6728515625</v>
      </c>
      <c r="Q487">
        <v>702.34368896484295</v>
      </c>
      <c r="R487">
        <v>2</v>
      </c>
      <c r="S487">
        <v>1</v>
      </c>
      <c r="T487">
        <v>9</v>
      </c>
      <c r="U487">
        <v>26.243680000000001</v>
      </c>
      <c r="V487">
        <v>114481.2</v>
      </c>
    </row>
    <row r="488" spans="1:22" x14ac:dyDescent="0.25">
      <c r="A488" t="s">
        <v>2814</v>
      </c>
      <c r="B488" t="s">
        <v>2815</v>
      </c>
      <c r="C488">
        <v>1585</v>
      </c>
      <c r="D488">
        <v>99</v>
      </c>
      <c r="E488">
        <v>99</v>
      </c>
      <c r="F488" t="s">
        <v>2820</v>
      </c>
      <c r="G488" t="s">
        <v>2820</v>
      </c>
      <c r="H488">
        <f t="shared" si="10"/>
        <v>9</v>
      </c>
      <c r="M488" s="1">
        <v>2.4770901072770401E-3</v>
      </c>
      <c r="N488">
        <v>1595.94580078125</v>
      </c>
      <c r="O488">
        <v>532.98919999999896</v>
      </c>
      <c r="P488">
        <v>1595.94323730469</v>
      </c>
      <c r="Q488">
        <v>532.98834228515602</v>
      </c>
      <c r="R488">
        <v>3</v>
      </c>
      <c r="S488">
        <v>2</v>
      </c>
      <c r="T488">
        <v>11</v>
      </c>
      <c r="U488">
        <v>28.952100000000002</v>
      </c>
      <c r="V488">
        <v>195596</v>
      </c>
    </row>
    <row r="489" spans="1:22" x14ac:dyDescent="0.25">
      <c r="A489" t="s">
        <v>4092</v>
      </c>
      <c r="B489" t="s">
        <v>4093</v>
      </c>
      <c r="C489">
        <v>219</v>
      </c>
      <c r="D489">
        <v>98.2</v>
      </c>
      <c r="E489">
        <v>98.23</v>
      </c>
      <c r="F489" t="s">
        <v>4094</v>
      </c>
      <c r="G489" t="s">
        <v>4094</v>
      </c>
      <c r="H489">
        <f t="shared" si="10"/>
        <v>9</v>
      </c>
      <c r="M489" s="1">
        <v>6.1392001807689701E-3</v>
      </c>
      <c r="N489">
        <v>1595.94946289063</v>
      </c>
      <c r="O489">
        <v>532.99040000000002</v>
      </c>
      <c r="P489">
        <v>1595.94323730469</v>
      </c>
      <c r="Q489">
        <v>532.98834228515602</v>
      </c>
      <c r="R489">
        <v>3</v>
      </c>
      <c r="S489">
        <v>2</v>
      </c>
      <c r="T489">
        <v>13</v>
      </c>
      <c r="U489">
        <v>28.96022</v>
      </c>
      <c r="V489">
        <v>200416.5</v>
      </c>
    </row>
    <row r="490" spans="1:22" x14ac:dyDescent="0.25">
      <c r="A490" t="s">
        <v>4092</v>
      </c>
      <c r="B490" t="s">
        <v>4093</v>
      </c>
      <c r="C490">
        <v>153</v>
      </c>
      <c r="D490">
        <v>99</v>
      </c>
      <c r="E490">
        <v>99</v>
      </c>
      <c r="F490" t="s">
        <v>4095</v>
      </c>
      <c r="G490" t="s">
        <v>4095</v>
      </c>
      <c r="H490">
        <f t="shared" si="10"/>
        <v>8</v>
      </c>
      <c r="M490" s="1">
        <v>6.3335900194943003E-3</v>
      </c>
      <c r="N490">
        <v>1647.83203125</v>
      </c>
      <c r="O490">
        <v>824.92330000000004</v>
      </c>
      <c r="P490">
        <v>1647.82568359375</v>
      </c>
      <c r="Q490">
        <v>824.92010498046795</v>
      </c>
      <c r="R490">
        <v>2</v>
      </c>
      <c r="S490">
        <v>1</v>
      </c>
      <c r="T490">
        <v>11</v>
      </c>
      <c r="U490">
        <v>29.337700000000002</v>
      </c>
      <c r="V490">
        <v>216623</v>
      </c>
    </row>
    <row r="491" spans="1:22" x14ac:dyDescent="0.25">
      <c r="A491" t="s">
        <v>668</v>
      </c>
      <c r="B491" t="s">
        <v>669</v>
      </c>
      <c r="C491">
        <v>356</v>
      </c>
      <c r="D491">
        <v>98.6</v>
      </c>
      <c r="E491">
        <v>98.56</v>
      </c>
      <c r="F491" t="s">
        <v>670</v>
      </c>
      <c r="G491" t="s">
        <v>670</v>
      </c>
      <c r="H491">
        <f t="shared" si="10"/>
        <v>11</v>
      </c>
      <c r="M491" s="1">
        <v>7.5342501513659902E-3</v>
      </c>
      <c r="N491">
        <v>1599.91723632813</v>
      </c>
      <c r="O491">
        <v>800.96590000000003</v>
      </c>
      <c r="P491">
        <v>1599.90966796875</v>
      </c>
      <c r="Q491">
        <v>800.96209716796795</v>
      </c>
      <c r="R491">
        <v>2</v>
      </c>
      <c r="S491">
        <v>1</v>
      </c>
      <c r="T491">
        <v>16</v>
      </c>
      <c r="U491">
        <v>40.451149999999899</v>
      </c>
      <c r="V491">
        <v>136454.20000000001</v>
      </c>
    </row>
    <row r="492" spans="1:22" x14ac:dyDescent="0.25">
      <c r="A492" t="s">
        <v>2260</v>
      </c>
      <c r="B492" t="s">
        <v>2261</v>
      </c>
      <c r="C492">
        <v>278</v>
      </c>
      <c r="D492">
        <v>99</v>
      </c>
      <c r="E492">
        <v>99</v>
      </c>
      <c r="F492" t="s">
        <v>2262</v>
      </c>
      <c r="G492" t="s">
        <v>2262</v>
      </c>
      <c r="H492">
        <f t="shared" si="10"/>
        <v>14</v>
      </c>
      <c r="M492">
        <v>9.3650000000000001E-3</v>
      </c>
      <c r="N492">
        <v>1599.91906738281</v>
      </c>
      <c r="O492">
        <v>800.96680000000003</v>
      </c>
      <c r="P492">
        <v>1599.90966796875</v>
      </c>
      <c r="Q492">
        <v>800.96209716796795</v>
      </c>
      <c r="R492">
        <v>2</v>
      </c>
      <c r="S492">
        <v>1</v>
      </c>
      <c r="T492">
        <v>13</v>
      </c>
      <c r="U492">
        <v>40.464570000000002</v>
      </c>
      <c r="V492">
        <v>158457.9</v>
      </c>
    </row>
    <row r="493" spans="1:22" x14ac:dyDescent="0.25">
      <c r="A493" t="s">
        <v>3828</v>
      </c>
      <c r="B493" t="s">
        <v>3829</v>
      </c>
      <c r="C493">
        <v>22</v>
      </c>
      <c r="D493">
        <v>98.8</v>
      </c>
      <c r="E493">
        <v>98.78</v>
      </c>
      <c r="F493" t="s">
        <v>3830</v>
      </c>
      <c r="G493" t="s">
        <v>3830</v>
      </c>
      <c r="H493">
        <f t="shared" si="10"/>
        <v>15</v>
      </c>
      <c r="M493" s="1">
        <v>5.5017899721860903E-3</v>
      </c>
      <c r="N493">
        <v>1515.76245117188</v>
      </c>
      <c r="O493">
        <v>758.88850000000002</v>
      </c>
      <c r="P493">
        <v>1515.75695800781</v>
      </c>
      <c r="Q493">
        <v>758.8857421875</v>
      </c>
      <c r="R493">
        <v>2</v>
      </c>
      <c r="S493">
        <v>4</v>
      </c>
      <c r="T493">
        <v>13</v>
      </c>
      <c r="U493">
        <v>29.658850000000001</v>
      </c>
      <c r="V493">
        <v>236645.1</v>
      </c>
    </row>
    <row r="494" spans="1:22" x14ac:dyDescent="0.25">
      <c r="A494" t="s">
        <v>3828</v>
      </c>
      <c r="B494" t="s">
        <v>3829</v>
      </c>
      <c r="C494">
        <v>356</v>
      </c>
      <c r="D494">
        <v>99</v>
      </c>
      <c r="E494">
        <v>99</v>
      </c>
      <c r="F494" t="s">
        <v>3831</v>
      </c>
      <c r="G494" t="s">
        <v>3831</v>
      </c>
      <c r="H494">
        <f t="shared" si="10"/>
        <v>17</v>
      </c>
      <c r="L494" t="s">
        <v>295</v>
      </c>
      <c r="M494">
        <v>4.7869999999999996E-3</v>
      </c>
      <c r="N494">
        <v>1638.78002929688</v>
      </c>
      <c r="O494">
        <v>820.39729999999895</v>
      </c>
      <c r="P494">
        <v>1638.77526855469</v>
      </c>
      <c r="Q494">
        <v>820.39489746093705</v>
      </c>
      <c r="R494">
        <v>2</v>
      </c>
      <c r="S494">
        <v>2</v>
      </c>
      <c r="T494">
        <v>12</v>
      </c>
      <c r="U494">
        <v>56.855170000000001</v>
      </c>
      <c r="V494">
        <v>132955.299999999</v>
      </c>
    </row>
    <row r="495" spans="1:22" x14ac:dyDescent="0.25">
      <c r="A495" t="s">
        <v>3111</v>
      </c>
      <c r="B495" t="s">
        <v>3112</v>
      </c>
      <c r="C495">
        <v>214</v>
      </c>
      <c r="D495">
        <v>98.1</v>
      </c>
      <c r="E495">
        <v>98.14</v>
      </c>
      <c r="F495" t="s">
        <v>3113</v>
      </c>
      <c r="G495" t="s">
        <v>3113</v>
      </c>
      <c r="H495">
        <f t="shared" si="10"/>
        <v>9</v>
      </c>
      <c r="M495" s="1">
        <v>1.35140004567802E-3</v>
      </c>
      <c r="N495">
        <v>1515.75830078125</v>
      </c>
      <c r="O495">
        <v>758.88639999999896</v>
      </c>
      <c r="P495">
        <v>1515.75695800781</v>
      </c>
      <c r="Q495">
        <v>758.8857421875</v>
      </c>
      <c r="R495">
        <v>2</v>
      </c>
      <c r="S495">
        <v>3</v>
      </c>
      <c r="T495">
        <v>12</v>
      </c>
      <c r="U495">
        <v>29.578700000000001</v>
      </c>
      <c r="V495">
        <v>328409.40000000002</v>
      </c>
    </row>
    <row r="496" spans="1:22" x14ac:dyDescent="0.25">
      <c r="A496" t="s">
        <v>2402</v>
      </c>
      <c r="B496" t="s">
        <v>2403</v>
      </c>
      <c r="C496">
        <v>201</v>
      </c>
      <c r="D496">
        <v>97.6</v>
      </c>
      <c r="E496">
        <v>97.55</v>
      </c>
      <c r="F496" t="s">
        <v>2404</v>
      </c>
      <c r="G496" t="s">
        <v>2404</v>
      </c>
      <c r="H496">
        <f t="shared" si="10"/>
        <v>9</v>
      </c>
      <c r="M496" s="1">
        <v>5.5758100934326501E-3</v>
      </c>
      <c r="N496">
        <v>1891.87902832031</v>
      </c>
      <c r="O496">
        <v>946.94680000000005</v>
      </c>
      <c r="P496">
        <v>1891.87341308594</v>
      </c>
      <c r="Q496">
        <v>946.94396972656205</v>
      </c>
      <c r="R496">
        <v>2</v>
      </c>
      <c r="S496">
        <v>2</v>
      </c>
      <c r="T496">
        <v>17</v>
      </c>
      <c r="U496">
        <v>34.510309999999897</v>
      </c>
      <c r="V496">
        <v>301194.3</v>
      </c>
    </row>
    <row r="497" spans="1:22" x14ac:dyDescent="0.25">
      <c r="A497" t="s">
        <v>802</v>
      </c>
      <c r="B497" t="s">
        <v>803</v>
      </c>
      <c r="C497">
        <v>71</v>
      </c>
      <c r="D497">
        <v>99</v>
      </c>
      <c r="E497">
        <v>99</v>
      </c>
      <c r="F497" t="s">
        <v>437</v>
      </c>
      <c r="G497" t="s">
        <v>437</v>
      </c>
      <c r="H497">
        <f t="shared" si="10"/>
        <v>9</v>
      </c>
      <c r="M497">
        <v>6.43E-3</v>
      </c>
      <c r="N497">
        <v>1891.8798828125</v>
      </c>
      <c r="O497">
        <v>946.94719999999904</v>
      </c>
      <c r="P497">
        <v>1891.87341308594</v>
      </c>
      <c r="Q497">
        <v>946.94396972656205</v>
      </c>
      <c r="R497">
        <v>2</v>
      </c>
      <c r="S497">
        <v>2</v>
      </c>
      <c r="T497">
        <v>15</v>
      </c>
      <c r="U497">
        <v>34.503279999999897</v>
      </c>
      <c r="V497">
        <v>129234.4</v>
      </c>
    </row>
    <row r="498" spans="1:22" x14ac:dyDescent="0.25">
      <c r="A498" t="s">
        <v>3344</v>
      </c>
      <c r="B498" t="s">
        <v>3345</v>
      </c>
      <c r="C498">
        <v>320</v>
      </c>
      <c r="D498">
        <v>98.1</v>
      </c>
      <c r="E498">
        <v>98.11</v>
      </c>
      <c r="F498" t="s">
        <v>3346</v>
      </c>
      <c r="G498" t="s">
        <v>3346</v>
      </c>
      <c r="H498">
        <f t="shared" si="10"/>
        <v>9</v>
      </c>
      <c r="M498" s="1">
        <v>5.12172980234027E-3</v>
      </c>
      <c r="N498">
        <v>1702.96691894531</v>
      </c>
      <c r="O498">
        <v>852.49069999999904</v>
      </c>
      <c r="P498">
        <v>1702.96179199219</v>
      </c>
      <c r="Q498">
        <v>852.48815917968705</v>
      </c>
      <c r="R498">
        <v>2</v>
      </c>
      <c r="S498">
        <v>2</v>
      </c>
      <c r="T498">
        <v>17</v>
      </c>
      <c r="U498">
        <v>29.947220000000002</v>
      </c>
      <c r="V498">
        <v>147402.5</v>
      </c>
    </row>
    <row r="499" spans="1:22" x14ac:dyDescent="0.25">
      <c r="A499" t="s">
        <v>3539</v>
      </c>
      <c r="B499" t="s">
        <v>3540</v>
      </c>
      <c r="C499">
        <v>419</v>
      </c>
      <c r="D499">
        <v>99</v>
      </c>
      <c r="E499">
        <v>99</v>
      </c>
      <c r="F499" t="s">
        <v>3541</v>
      </c>
      <c r="G499" t="s">
        <v>3541</v>
      </c>
      <c r="H499">
        <f t="shared" si="10"/>
        <v>12</v>
      </c>
      <c r="M499" s="1">
        <v>5.3079501958563902E-4</v>
      </c>
      <c r="N499">
        <v>1702.96228027344</v>
      </c>
      <c r="O499">
        <v>568.66139999999905</v>
      </c>
      <c r="P499">
        <v>1702.96179199219</v>
      </c>
      <c r="Q499">
        <v>568.66119384765602</v>
      </c>
      <c r="R499">
        <v>3</v>
      </c>
      <c r="S499">
        <v>1</v>
      </c>
      <c r="T499">
        <v>10</v>
      </c>
      <c r="U499">
        <v>29.863779999999899</v>
      </c>
      <c r="V499">
        <v>139115.5</v>
      </c>
    </row>
    <row r="500" spans="1:22" x14ac:dyDescent="0.25">
      <c r="A500" t="s">
        <v>3176</v>
      </c>
      <c r="B500" t="s">
        <v>3177</v>
      </c>
      <c r="C500">
        <v>494</v>
      </c>
      <c r="D500">
        <v>98.8</v>
      </c>
      <c r="E500">
        <v>98.84</v>
      </c>
      <c r="F500" t="s">
        <v>3178</v>
      </c>
      <c r="G500" t="s">
        <v>3178</v>
      </c>
      <c r="H500">
        <f t="shared" si="10"/>
        <v>9</v>
      </c>
      <c r="M500" s="1">
        <v>-2.34847003594041E-3</v>
      </c>
      <c r="N500">
        <v>1145.63940429688</v>
      </c>
      <c r="O500">
        <v>382.88709999999901</v>
      </c>
      <c r="P500">
        <v>1145.64172363281</v>
      </c>
      <c r="Q500">
        <v>382.88787841796801</v>
      </c>
      <c r="R500">
        <v>3</v>
      </c>
      <c r="S500">
        <v>2</v>
      </c>
      <c r="T500">
        <v>12</v>
      </c>
      <c r="U500">
        <v>19.716950000000001</v>
      </c>
      <c r="V500">
        <v>1539684</v>
      </c>
    </row>
    <row r="501" spans="1:22" x14ac:dyDescent="0.25">
      <c r="A501" t="s">
        <v>2790</v>
      </c>
      <c r="B501" t="s">
        <v>2791</v>
      </c>
      <c r="C501">
        <v>114</v>
      </c>
      <c r="D501">
        <v>99</v>
      </c>
      <c r="E501">
        <v>99</v>
      </c>
      <c r="F501" t="s">
        <v>2792</v>
      </c>
      <c r="G501" t="s">
        <v>2792</v>
      </c>
      <c r="H501">
        <f t="shared" si="10"/>
        <v>14</v>
      </c>
      <c r="M501" s="1">
        <v>1.71580002643167E-3</v>
      </c>
      <c r="N501">
        <v>1189.67370605469</v>
      </c>
      <c r="O501">
        <v>397.5652</v>
      </c>
      <c r="P501">
        <v>1189.67199707031</v>
      </c>
      <c r="Q501">
        <v>397.56460571289102</v>
      </c>
      <c r="R501">
        <v>3</v>
      </c>
      <c r="S501">
        <v>15</v>
      </c>
      <c r="T501">
        <v>11</v>
      </c>
      <c r="U501">
        <v>32.348129999999898</v>
      </c>
      <c r="V501">
        <v>1349378</v>
      </c>
    </row>
    <row r="502" spans="1:22" x14ac:dyDescent="0.25">
      <c r="A502" t="s">
        <v>2790</v>
      </c>
      <c r="B502" t="s">
        <v>2791</v>
      </c>
      <c r="C502">
        <v>248</v>
      </c>
      <c r="D502">
        <v>98.8</v>
      </c>
      <c r="E502">
        <v>98.8</v>
      </c>
      <c r="F502" t="s">
        <v>2793</v>
      </c>
      <c r="G502" t="s">
        <v>2793</v>
      </c>
      <c r="H502">
        <f t="shared" si="10"/>
        <v>18</v>
      </c>
      <c r="M502" s="1">
        <v>1.17977999616414E-3</v>
      </c>
      <c r="N502">
        <v>1189.67321777344</v>
      </c>
      <c r="O502">
        <v>595.84389999999905</v>
      </c>
      <c r="P502">
        <v>1189.67199707031</v>
      </c>
      <c r="Q502">
        <v>595.84326171875</v>
      </c>
      <c r="R502">
        <v>2</v>
      </c>
      <c r="S502">
        <v>13</v>
      </c>
      <c r="T502">
        <v>12</v>
      </c>
      <c r="U502">
        <v>32.5852</v>
      </c>
      <c r="V502">
        <v>27749060</v>
      </c>
    </row>
    <row r="503" spans="1:22" x14ac:dyDescent="0.25">
      <c r="A503" t="s">
        <v>2545</v>
      </c>
      <c r="B503" t="s">
        <v>2546</v>
      </c>
      <c r="C503">
        <v>84</v>
      </c>
      <c r="D503">
        <v>97.8</v>
      </c>
      <c r="E503">
        <v>97.82</v>
      </c>
      <c r="F503" t="s">
        <v>2547</v>
      </c>
      <c r="G503" t="s">
        <v>2547</v>
      </c>
      <c r="H503">
        <f t="shared" si="10"/>
        <v>13</v>
      </c>
      <c r="M503">
        <v>-3.421E-3</v>
      </c>
      <c r="N503">
        <v>1186.61730957031</v>
      </c>
      <c r="O503">
        <v>594.31590000000006</v>
      </c>
      <c r="P503">
        <v>1186.62072753906</v>
      </c>
      <c r="Q503">
        <v>594.317626953125</v>
      </c>
      <c r="R503">
        <v>2</v>
      </c>
      <c r="S503">
        <v>2</v>
      </c>
      <c r="T503">
        <v>13</v>
      </c>
      <c r="U503">
        <v>22.346029999999899</v>
      </c>
      <c r="V503">
        <v>1597140</v>
      </c>
    </row>
    <row r="504" spans="1:22" x14ac:dyDescent="0.25">
      <c r="A504" t="s">
        <v>2545</v>
      </c>
      <c r="B504" t="s">
        <v>2546</v>
      </c>
      <c r="C504">
        <v>76</v>
      </c>
      <c r="D504">
        <v>98.8</v>
      </c>
      <c r="E504">
        <v>98.83</v>
      </c>
      <c r="F504" t="s">
        <v>2548</v>
      </c>
      <c r="G504" t="s">
        <v>2548</v>
      </c>
      <c r="H504">
        <f t="shared" si="10"/>
        <v>15</v>
      </c>
      <c r="M504" s="1">
        <v>8.1375399604439701E-3</v>
      </c>
      <c r="N504">
        <v>1730.93969726563</v>
      </c>
      <c r="O504">
        <v>866.47709999999904</v>
      </c>
      <c r="P504">
        <v>1730.93151855469</v>
      </c>
      <c r="Q504">
        <v>866.47302246093705</v>
      </c>
      <c r="R504">
        <v>2</v>
      </c>
      <c r="S504">
        <v>1</v>
      </c>
      <c r="T504">
        <v>18</v>
      </c>
      <c r="U504">
        <v>50.19462</v>
      </c>
      <c r="V504">
        <v>265367.8</v>
      </c>
    </row>
    <row r="505" spans="1:22" x14ac:dyDescent="0.25">
      <c r="A505" t="s">
        <v>2545</v>
      </c>
      <c r="B505" t="s">
        <v>2546</v>
      </c>
      <c r="C505">
        <v>63</v>
      </c>
      <c r="D505">
        <v>97.5</v>
      </c>
      <c r="E505">
        <v>97.51</v>
      </c>
      <c r="F505" t="s">
        <v>2549</v>
      </c>
      <c r="G505" t="s">
        <v>2549</v>
      </c>
      <c r="H505">
        <f t="shared" si="10"/>
        <v>12</v>
      </c>
      <c r="M505" s="1">
        <v>9.1140996664762393E-3</v>
      </c>
      <c r="N505">
        <v>1730.94067382813</v>
      </c>
      <c r="O505">
        <v>866.47760000000005</v>
      </c>
      <c r="P505">
        <v>1730.93151855469</v>
      </c>
      <c r="Q505">
        <v>866.47302246093705</v>
      </c>
      <c r="R505">
        <v>2</v>
      </c>
      <c r="S505">
        <v>1</v>
      </c>
      <c r="T505">
        <v>12</v>
      </c>
      <c r="U505">
        <v>50.120199999999897</v>
      </c>
      <c r="V505">
        <v>111169.3</v>
      </c>
    </row>
    <row r="506" spans="1:22" x14ac:dyDescent="0.25">
      <c r="A506" t="s">
        <v>2686</v>
      </c>
      <c r="B506" t="s">
        <v>2687</v>
      </c>
      <c r="C506">
        <v>171</v>
      </c>
      <c r="D506">
        <v>99</v>
      </c>
      <c r="E506">
        <v>99</v>
      </c>
      <c r="F506" t="s">
        <v>2688</v>
      </c>
      <c r="G506" t="s">
        <v>2688</v>
      </c>
      <c r="H506">
        <f t="shared" si="10"/>
        <v>12</v>
      </c>
      <c r="M506">
        <v>1.908E-3</v>
      </c>
      <c r="N506">
        <v>1116.740234375</v>
      </c>
      <c r="O506">
        <v>559.37739999999906</v>
      </c>
      <c r="P506">
        <v>1116.73828125</v>
      </c>
      <c r="Q506">
        <v>559.37640380859295</v>
      </c>
      <c r="R506">
        <v>2</v>
      </c>
      <c r="S506">
        <v>1</v>
      </c>
      <c r="T506">
        <v>11</v>
      </c>
      <c r="U506">
        <v>31.522670000000002</v>
      </c>
      <c r="V506">
        <v>671484.2</v>
      </c>
    </row>
    <row r="507" spans="1:22" x14ac:dyDescent="0.25">
      <c r="A507" t="s">
        <v>2595</v>
      </c>
      <c r="B507" t="s">
        <v>2596</v>
      </c>
      <c r="C507">
        <v>217</v>
      </c>
      <c r="D507">
        <v>99</v>
      </c>
      <c r="E507">
        <v>99</v>
      </c>
      <c r="F507" t="s">
        <v>2597</v>
      </c>
      <c r="G507" t="s">
        <v>2597</v>
      </c>
      <c r="H507">
        <f t="shared" si="10"/>
        <v>16</v>
      </c>
      <c r="M507" s="1">
        <v>1.9077500328421499E-3</v>
      </c>
      <c r="N507">
        <v>1116.740234375</v>
      </c>
      <c r="O507">
        <v>559.37739999999906</v>
      </c>
      <c r="P507">
        <v>1116.73828125</v>
      </c>
      <c r="Q507">
        <v>559.37640380859295</v>
      </c>
      <c r="R507">
        <v>2</v>
      </c>
      <c r="S507">
        <v>1</v>
      </c>
      <c r="T507">
        <v>11</v>
      </c>
      <c r="U507">
        <v>31.476050000000001</v>
      </c>
      <c r="V507">
        <v>1038279</v>
      </c>
    </row>
    <row r="508" spans="1:22" x14ac:dyDescent="0.25">
      <c r="A508" t="s">
        <v>2861</v>
      </c>
      <c r="B508" t="s">
        <v>2862</v>
      </c>
      <c r="C508">
        <v>596</v>
      </c>
      <c r="D508">
        <v>98.5</v>
      </c>
      <c r="E508">
        <v>98.52</v>
      </c>
      <c r="F508" t="s">
        <v>2863</v>
      </c>
      <c r="G508" t="s">
        <v>2863</v>
      </c>
      <c r="H508">
        <f t="shared" si="10"/>
        <v>12</v>
      </c>
      <c r="M508" s="1">
        <v>6.5181599929928702E-3</v>
      </c>
      <c r="N508">
        <v>1510.82092285156</v>
      </c>
      <c r="O508">
        <v>756.41769999999894</v>
      </c>
      <c r="P508">
        <v>1510.81433105469</v>
      </c>
      <c r="Q508">
        <v>756.41448974609295</v>
      </c>
      <c r="R508">
        <v>2</v>
      </c>
      <c r="S508">
        <v>1</v>
      </c>
      <c r="T508">
        <v>13</v>
      </c>
      <c r="U508">
        <v>45.468870000000003</v>
      </c>
      <c r="V508">
        <v>237654.5</v>
      </c>
    </row>
    <row r="509" spans="1:22" x14ac:dyDescent="0.25">
      <c r="A509" t="s">
        <v>2825</v>
      </c>
      <c r="B509" t="s">
        <v>2826</v>
      </c>
      <c r="C509">
        <v>118</v>
      </c>
      <c r="D509">
        <v>98.5</v>
      </c>
      <c r="E509">
        <v>98.54</v>
      </c>
      <c r="F509" t="s">
        <v>2827</v>
      </c>
      <c r="G509" t="s">
        <v>2827</v>
      </c>
      <c r="H509">
        <f t="shared" si="10"/>
        <v>21</v>
      </c>
      <c r="M509" s="1">
        <v>6.2814299017190803E-3</v>
      </c>
      <c r="N509">
        <v>1970.96484375</v>
      </c>
      <c r="O509">
        <v>986.48969999999895</v>
      </c>
      <c r="P509">
        <v>1970.95849609375</v>
      </c>
      <c r="Q509">
        <v>986.486572265625</v>
      </c>
      <c r="R509">
        <v>2</v>
      </c>
      <c r="S509">
        <v>1</v>
      </c>
      <c r="T509">
        <v>13</v>
      </c>
      <c r="U509">
        <v>47.7425</v>
      </c>
      <c r="V509">
        <v>123166.8</v>
      </c>
    </row>
    <row r="510" spans="1:22" x14ac:dyDescent="0.25">
      <c r="A510" t="s">
        <v>3384</v>
      </c>
      <c r="B510" t="s">
        <v>3385</v>
      </c>
      <c r="C510">
        <v>518</v>
      </c>
      <c r="D510">
        <v>97.7</v>
      </c>
      <c r="E510">
        <v>97.68</v>
      </c>
      <c r="F510" t="s">
        <v>3386</v>
      </c>
      <c r="G510" t="s">
        <v>3386</v>
      </c>
      <c r="H510">
        <f t="shared" si="10"/>
        <v>9</v>
      </c>
      <c r="M510" s="1">
        <v>3.3517400734126498E-3</v>
      </c>
      <c r="N510">
        <v>1970.9619140625</v>
      </c>
      <c r="O510">
        <v>986.48820000000001</v>
      </c>
      <c r="P510">
        <v>1970.95849609375</v>
      </c>
      <c r="Q510">
        <v>986.486572265625</v>
      </c>
      <c r="R510">
        <v>2</v>
      </c>
      <c r="S510">
        <v>1</v>
      </c>
      <c r="T510">
        <v>10</v>
      </c>
      <c r="U510">
        <v>47.765790000000003</v>
      </c>
      <c r="V510">
        <v>66397.25</v>
      </c>
    </row>
    <row r="511" spans="1:22" x14ac:dyDescent="0.25">
      <c r="A511" t="s">
        <v>3857</v>
      </c>
      <c r="B511" t="s">
        <v>3858</v>
      </c>
      <c r="C511">
        <v>199</v>
      </c>
      <c r="D511">
        <v>97.7</v>
      </c>
      <c r="E511">
        <v>97.74</v>
      </c>
      <c r="F511" t="s">
        <v>543</v>
      </c>
      <c r="G511" t="s">
        <v>543</v>
      </c>
      <c r="H511">
        <f t="shared" si="10"/>
        <v>9</v>
      </c>
      <c r="M511" s="1">
        <v>1.0916800238192101E-2</v>
      </c>
      <c r="N511">
        <v>1703.91040039063</v>
      </c>
      <c r="O511">
        <v>568.97739999999897</v>
      </c>
      <c r="P511">
        <v>1703.89953613281</v>
      </c>
      <c r="Q511">
        <v>568.97375488281205</v>
      </c>
      <c r="R511">
        <v>3</v>
      </c>
      <c r="S511">
        <v>1</v>
      </c>
      <c r="T511">
        <v>11</v>
      </c>
      <c r="U511">
        <v>45.59975</v>
      </c>
      <c r="V511">
        <v>231796.9</v>
      </c>
    </row>
    <row r="512" spans="1:22" x14ac:dyDescent="0.25">
      <c r="A512" t="s">
        <v>1433</v>
      </c>
      <c r="B512" t="s">
        <v>1434</v>
      </c>
      <c r="C512">
        <v>175</v>
      </c>
      <c r="D512">
        <v>99</v>
      </c>
      <c r="E512">
        <v>99</v>
      </c>
      <c r="F512" t="s">
        <v>1435</v>
      </c>
      <c r="G512" t="s">
        <v>1435</v>
      </c>
      <c r="H512">
        <f t="shared" si="10"/>
        <v>18</v>
      </c>
      <c r="M512" s="1">
        <v>1.05505995452404E-2</v>
      </c>
      <c r="N512">
        <v>1703.91003417969</v>
      </c>
      <c r="O512">
        <v>568.97730000000001</v>
      </c>
      <c r="P512">
        <v>1703.89953613281</v>
      </c>
      <c r="Q512">
        <v>568.97375488281205</v>
      </c>
      <c r="R512">
        <v>3</v>
      </c>
      <c r="S512">
        <v>1</v>
      </c>
      <c r="T512">
        <v>12</v>
      </c>
      <c r="U512">
        <v>45.698480000000004</v>
      </c>
      <c r="V512">
        <v>234139.4</v>
      </c>
    </row>
    <row r="513" spans="1:22" x14ac:dyDescent="0.25">
      <c r="A513" t="s">
        <v>1474</v>
      </c>
      <c r="B513" t="s">
        <v>1475</v>
      </c>
      <c r="C513">
        <v>50</v>
      </c>
      <c r="D513">
        <v>99</v>
      </c>
      <c r="E513">
        <v>99</v>
      </c>
      <c r="F513" t="s">
        <v>206</v>
      </c>
      <c r="G513" t="s">
        <v>206</v>
      </c>
      <c r="H513">
        <f t="shared" si="10"/>
        <v>9</v>
      </c>
      <c r="M513">
        <v>3.9280000000000001E-3</v>
      </c>
      <c r="N513">
        <v>1148.61169433594</v>
      </c>
      <c r="O513">
        <v>575.31309999999905</v>
      </c>
      <c r="P513">
        <v>1148.60778808594</v>
      </c>
      <c r="Q513">
        <v>575.31115722656205</v>
      </c>
      <c r="R513">
        <v>2</v>
      </c>
      <c r="S513">
        <v>3</v>
      </c>
      <c r="T513">
        <v>13</v>
      </c>
      <c r="U513">
        <v>35.697519999999898</v>
      </c>
      <c r="V513">
        <v>305593.09999999899</v>
      </c>
    </row>
    <row r="514" spans="1:22" x14ac:dyDescent="0.25">
      <c r="A514" t="s">
        <v>142</v>
      </c>
      <c r="B514" t="s">
        <v>143</v>
      </c>
      <c r="C514">
        <v>520</v>
      </c>
      <c r="D514">
        <v>99</v>
      </c>
      <c r="E514">
        <v>99</v>
      </c>
      <c r="F514" t="s">
        <v>411</v>
      </c>
      <c r="G514" t="s">
        <v>411</v>
      </c>
      <c r="H514">
        <f t="shared" si="10"/>
        <v>15</v>
      </c>
      <c r="M514" s="1">
        <v>-1.4983699657023001E-3</v>
      </c>
      <c r="N514">
        <v>1166.59301757813</v>
      </c>
      <c r="O514">
        <v>584.30380000000002</v>
      </c>
      <c r="P514">
        <v>1166.59448242188</v>
      </c>
      <c r="Q514">
        <v>584.30450439453102</v>
      </c>
      <c r="R514">
        <v>2</v>
      </c>
      <c r="S514">
        <v>2</v>
      </c>
      <c r="T514">
        <v>12</v>
      </c>
      <c r="U514">
        <v>18.89077</v>
      </c>
      <c r="V514">
        <v>1154285</v>
      </c>
    </row>
    <row r="515" spans="1:22" x14ac:dyDescent="0.25">
      <c r="A515" t="s">
        <v>142</v>
      </c>
      <c r="B515" t="s">
        <v>143</v>
      </c>
      <c r="C515">
        <v>518</v>
      </c>
      <c r="D515">
        <v>99</v>
      </c>
      <c r="E515">
        <v>99</v>
      </c>
      <c r="F515" t="s">
        <v>277</v>
      </c>
      <c r="G515" t="s">
        <v>277</v>
      </c>
      <c r="H515">
        <f t="shared" ref="H515:H578" si="11">LEN(G515)</f>
        <v>17</v>
      </c>
      <c r="M515">
        <v>1.8060000000000001E-3</v>
      </c>
      <c r="N515">
        <v>1034.58911132813</v>
      </c>
      <c r="O515">
        <v>518.30179999999905</v>
      </c>
      <c r="P515">
        <v>1034.58728027344</v>
      </c>
      <c r="Q515">
        <v>518.30090332031205</v>
      </c>
      <c r="R515">
        <v>2</v>
      </c>
      <c r="S515">
        <v>11</v>
      </c>
      <c r="T515">
        <v>11</v>
      </c>
      <c r="U515">
        <v>23.5124</v>
      </c>
      <c r="V515">
        <v>552716700</v>
      </c>
    </row>
    <row r="516" spans="1:22" x14ac:dyDescent="0.25">
      <c r="A516" t="s">
        <v>142</v>
      </c>
      <c r="B516" t="s">
        <v>143</v>
      </c>
      <c r="C516">
        <v>522</v>
      </c>
      <c r="D516">
        <v>99</v>
      </c>
      <c r="E516">
        <v>99</v>
      </c>
      <c r="F516" t="s">
        <v>248</v>
      </c>
      <c r="G516" t="s">
        <v>248</v>
      </c>
      <c r="H516">
        <f t="shared" si="11"/>
        <v>13</v>
      </c>
      <c r="M516" s="1">
        <v>1.8578600429463999E-4</v>
      </c>
      <c r="N516">
        <v>1156.61303710938</v>
      </c>
      <c r="O516">
        <v>579.31380000000001</v>
      </c>
      <c r="P516">
        <v>1156.61279296875</v>
      </c>
      <c r="Q516">
        <v>579.31365966796795</v>
      </c>
      <c r="R516">
        <v>2</v>
      </c>
      <c r="S516">
        <v>2</v>
      </c>
      <c r="T516">
        <v>13</v>
      </c>
      <c r="U516">
        <v>44.1756999999999</v>
      </c>
      <c r="V516">
        <v>1306249</v>
      </c>
    </row>
    <row r="517" spans="1:22" x14ac:dyDescent="0.25">
      <c r="A517" t="s">
        <v>142</v>
      </c>
      <c r="B517" t="s">
        <v>143</v>
      </c>
      <c r="C517">
        <v>521</v>
      </c>
      <c r="D517">
        <v>99</v>
      </c>
      <c r="E517">
        <v>99</v>
      </c>
      <c r="F517" t="s">
        <v>190</v>
      </c>
      <c r="G517" t="s">
        <v>190</v>
      </c>
      <c r="H517">
        <f t="shared" si="11"/>
        <v>14</v>
      </c>
      <c r="M517" s="1">
        <v>2.49326997436583E-3</v>
      </c>
      <c r="N517">
        <v>1051.49682617188</v>
      </c>
      <c r="O517">
        <v>526.75570000000005</v>
      </c>
      <c r="P517">
        <v>1051.49426269531</v>
      </c>
      <c r="Q517">
        <v>526.75445556640602</v>
      </c>
      <c r="R517">
        <v>2</v>
      </c>
      <c r="S517">
        <v>2</v>
      </c>
      <c r="T517">
        <v>12</v>
      </c>
      <c r="U517">
        <v>32.446330000000003</v>
      </c>
      <c r="V517">
        <v>6603297</v>
      </c>
    </row>
    <row r="518" spans="1:22" x14ac:dyDescent="0.25">
      <c r="A518" t="s">
        <v>142</v>
      </c>
      <c r="B518" t="s">
        <v>143</v>
      </c>
      <c r="C518">
        <v>286</v>
      </c>
      <c r="D518">
        <v>97.2</v>
      </c>
      <c r="E518">
        <v>97.21</v>
      </c>
      <c r="F518" t="s">
        <v>3020</v>
      </c>
      <c r="G518" t="s">
        <v>3020</v>
      </c>
      <c r="H518">
        <f t="shared" si="11"/>
        <v>16</v>
      </c>
      <c r="M518" s="1">
        <v>4.8480201512575202E-3</v>
      </c>
      <c r="N518">
        <v>1135.61083984375</v>
      </c>
      <c r="O518">
        <v>568.81269999999904</v>
      </c>
      <c r="P518">
        <v>1135.60595703125</v>
      </c>
      <c r="Q518">
        <v>568.81024169921795</v>
      </c>
      <c r="R518">
        <v>2</v>
      </c>
      <c r="S518">
        <v>3</v>
      </c>
      <c r="T518">
        <v>13</v>
      </c>
      <c r="U518">
        <v>49.2988199999999</v>
      </c>
      <c r="V518">
        <v>2385813</v>
      </c>
    </row>
    <row r="519" spans="1:22" x14ac:dyDescent="0.25">
      <c r="A519" t="s">
        <v>142</v>
      </c>
      <c r="B519" t="s">
        <v>143</v>
      </c>
      <c r="C519">
        <v>522</v>
      </c>
      <c r="D519">
        <v>98.3</v>
      </c>
      <c r="E519">
        <v>98.28</v>
      </c>
      <c r="F519" t="s">
        <v>248</v>
      </c>
      <c r="G519" t="s">
        <v>248</v>
      </c>
      <c r="H519">
        <f t="shared" si="11"/>
        <v>13</v>
      </c>
      <c r="L519" t="s">
        <v>2776</v>
      </c>
      <c r="M519" s="1">
        <v>1.02490000426769E-2</v>
      </c>
      <c r="N519">
        <v>1922.93981933594</v>
      </c>
      <c r="O519">
        <v>962.47720000000004</v>
      </c>
      <c r="P519">
        <v>1922.92956542969</v>
      </c>
      <c r="Q519">
        <v>962.47204589843705</v>
      </c>
      <c r="R519">
        <v>2</v>
      </c>
      <c r="S519">
        <v>1</v>
      </c>
      <c r="T519">
        <v>10</v>
      </c>
      <c r="U519">
        <v>45.736800000000002</v>
      </c>
      <c r="V519">
        <v>279452.2</v>
      </c>
    </row>
    <row r="520" spans="1:22" x14ac:dyDescent="0.25">
      <c r="A520" t="s">
        <v>4441</v>
      </c>
      <c r="B520" t="s">
        <v>4442</v>
      </c>
      <c r="C520">
        <v>276</v>
      </c>
      <c r="D520">
        <v>99</v>
      </c>
      <c r="E520">
        <v>99</v>
      </c>
      <c r="F520" t="s">
        <v>4443</v>
      </c>
      <c r="G520" t="s">
        <v>4443</v>
      </c>
      <c r="H520">
        <f t="shared" si="11"/>
        <v>17</v>
      </c>
      <c r="M520" s="1">
        <v>3.3141698804684E-4</v>
      </c>
      <c r="N520">
        <v>1135.60632324219</v>
      </c>
      <c r="O520">
        <v>568.81039999999905</v>
      </c>
      <c r="P520">
        <v>1135.60595703125</v>
      </c>
      <c r="Q520">
        <v>568.81024169921795</v>
      </c>
      <c r="R520">
        <v>2</v>
      </c>
      <c r="S520">
        <v>3</v>
      </c>
      <c r="T520">
        <v>12</v>
      </c>
      <c r="U520">
        <v>49.389119999999899</v>
      </c>
      <c r="V520">
        <v>1106488</v>
      </c>
    </row>
    <row r="521" spans="1:22" x14ac:dyDescent="0.25">
      <c r="A521" t="s">
        <v>4441</v>
      </c>
      <c r="B521" t="s">
        <v>4442</v>
      </c>
      <c r="C521">
        <v>274</v>
      </c>
      <c r="D521">
        <v>99</v>
      </c>
      <c r="E521">
        <v>99</v>
      </c>
      <c r="F521" t="s">
        <v>4444</v>
      </c>
      <c r="G521" t="s">
        <v>4444</v>
      </c>
      <c r="H521">
        <f t="shared" si="11"/>
        <v>19</v>
      </c>
      <c r="M521" s="1">
        <v>2.5240299873985301E-4</v>
      </c>
      <c r="N521">
        <v>1024.58544921875</v>
      </c>
      <c r="O521">
        <v>513.29999999999905</v>
      </c>
      <c r="P521">
        <v>1024.58520507813</v>
      </c>
      <c r="Q521">
        <v>513.29986572265602</v>
      </c>
      <c r="R521">
        <v>2</v>
      </c>
      <c r="S521">
        <v>2</v>
      </c>
      <c r="T521">
        <v>11</v>
      </c>
      <c r="U521">
        <v>37.4238</v>
      </c>
      <c r="V521">
        <v>4973199</v>
      </c>
    </row>
    <row r="522" spans="1:22" x14ac:dyDescent="0.25">
      <c r="A522" t="s">
        <v>3267</v>
      </c>
      <c r="B522" t="s">
        <v>3268</v>
      </c>
      <c r="C522">
        <v>679</v>
      </c>
      <c r="D522">
        <v>99</v>
      </c>
      <c r="E522">
        <v>99</v>
      </c>
      <c r="F522" t="s">
        <v>362</v>
      </c>
      <c r="G522" t="s">
        <v>362</v>
      </c>
      <c r="H522">
        <f t="shared" si="11"/>
        <v>9</v>
      </c>
      <c r="M522">
        <v>6.1899999999999998E-4</v>
      </c>
      <c r="N522">
        <v>1024.58581542969</v>
      </c>
      <c r="O522">
        <v>513.30020000000002</v>
      </c>
      <c r="P522">
        <v>1024.58520507813</v>
      </c>
      <c r="Q522">
        <v>513.29986572265602</v>
      </c>
      <c r="R522">
        <v>2</v>
      </c>
      <c r="S522">
        <v>2</v>
      </c>
      <c r="T522">
        <v>12</v>
      </c>
      <c r="U522">
        <v>37.402749999999898</v>
      </c>
      <c r="V522">
        <v>1566087</v>
      </c>
    </row>
    <row r="523" spans="1:22" x14ac:dyDescent="0.25">
      <c r="A523" t="s">
        <v>3614</v>
      </c>
      <c r="B523" t="s">
        <v>3615</v>
      </c>
      <c r="C523">
        <v>631</v>
      </c>
      <c r="D523">
        <v>99</v>
      </c>
      <c r="E523">
        <v>99</v>
      </c>
      <c r="F523" t="s">
        <v>3616</v>
      </c>
      <c r="G523" t="s">
        <v>3616</v>
      </c>
      <c r="H523">
        <f t="shared" si="11"/>
        <v>9</v>
      </c>
      <c r="M523" s="1">
        <v>4.0516601875424402E-3</v>
      </c>
      <c r="N523">
        <v>1065.61242675781</v>
      </c>
      <c r="O523">
        <v>533.81349999999895</v>
      </c>
      <c r="P523">
        <v>1065.6083984375</v>
      </c>
      <c r="Q523">
        <v>533.81146240234295</v>
      </c>
      <c r="R523">
        <v>2</v>
      </c>
      <c r="S523">
        <v>1</v>
      </c>
      <c r="T523">
        <v>12</v>
      </c>
      <c r="U523">
        <v>33.911769999999898</v>
      </c>
      <c r="V523">
        <v>1098539</v>
      </c>
    </row>
    <row r="524" spans="1:22" x14ac:dyDescent="0.25">
      <c r="A524" t="s">
        <v>3037</v>
      </c>
      <c r="B524" t="s">
        <v>3038</v>
      </c>
      <c r="C524">
        <v>92</v>
      </c>
      <c r="D524">
        <v>99</v>
      </c>
      <c r="E524">
        <v>99</v>
      </c>
      <c r="F524" t="s">
        <v>3039</v>
      </c>
      <c r="G524" t="s">
        <v>3039</v>
      </c>
      <c r="H524">
        <f t="shared" si="11"/>
        <v>17</v>
      </c>
      <c r="M524" s="1">
        <v>4.0516601875424402E-3</v>
      </c>
      <c r="N524">
        <v>1065.61242675781</v>
      </c>
      <c r="O524">
        <v>533.81349999999895</v>
      </c>
      <c r="P524">
        <v>1065.6083984375</v>
      </c>
      <c r="Q524">
        <v>533.81146240234295</v>
      </c>
      <c r="R524">
        <v>2</v>
      </c>
      <c r="S524">
        <v>1</v>
      </c>
      <c r="T524">
        <v>13</v>
      </c>
      <c r="U524">
        <v>33.900379999999899</v>
      </c>
      <c r="V524">
        <v>679682.4</v>
      </c>
    </row>
    <row r="525" spans="1:22" x14ac:dyDescent="0.25">
      <c r="A525" t="s">
        <v>3501</v>
      </c>
      <c r="B525" t="s">
        <v>3502</v>
      </c>
      <c r="C525">
        <v>240</v>
      </c>
      <c r="D525">
        <v>99</v>
      </c>
      <c r="E525">
        <v>99</v>
      </c>
      <c r="F525" t="s">
        <v>3503</v>
      </c>
      <c r="G525" t="s">
        <v>3503</v>
      </c>
      <c r="H525">
        <f t="shared" si="11"/>
        <v>15</v>
      </c>
      <c r="M525" s="1">
        <v>4.0852800011634801E-3</v>
      </c>
      <c r="N525">
        <v>1027.56042480469</v>
      </c>
      <c r="O525">
        <v>514.78750000000002</v>
      </c>
      <c r="P525">
        <v>1027.55627441406</v>
      </c>
      <c r="Q525">
        <v>514.78546142578102</v>
      </c>
      <c r="R525">
        <v>2</v>
      </c>
      <c r="S525">
        <v>6</v>
      </c>
      <c r="T525">
        <v>12</v>
      </c>
      <c r="U525">
        <v>27.081219999999899</v>
      </c>
      <c r="V525">
        <v>1532559</v>
      </c>
    </row>
    <row r="526" spans="1:22" x14ac:dyDescent="0.25">
      <c r="A526" t="s">
        <v>2523</v>
      </c>
      <c r="B526" t="s">
        <v>2524</v>
      </c>
      <c r="C526">
        <v>209</v>
      </c>
      <c r="D526">
        <v>98.6</v>
      </c>
      <c r="E526">
        <v>98.61</v>
      </c>
      <c r="F526" t="s">
        <v>2525</v>
      </c>
      <c r="G526" t="s">
        <v>2525</v>
      </c>
      <c r="H526">
        <f t="shared" si="11"/>
        <v>16</v>
      </c>
      <c r="M526" s="1">
        <v>4.6956301666796103E-3</v>
      </c>
      <c r="N526">
        <v>1027.56103515625</v>
      </c>
      <c r="O526">
        <v>514.78779999999904</v>
      </c>
      <c r="P526">
        <v>1027.55627441406</v>
      </c>
      <c r="Q526">
        <v>514.78546142578102</v>
      </c>
      <c r="R526">
        <v>2</v>
      </c>
      <c r="S526">
        <v>8</v>
      </c>
      <c r="T526">
        <v>12</v>
      </c>
      <c r="U526">
        <v>27.082830000000001</v>
      </c>
      <c r="V526">
        <v>1855676</v>
      </c>
    </row>
    <row r="527" spans="1:22" x14ac:dyDescent="0.25">
      <c r="A527" t="s">
        <v>3014</v>
      </c>
      <c r="B527" t="s">
        <v>3015</v>
      </c>
      <c r="C527">
        <v>187</v>
      </c>
      <c r="D527">
        <v>99</v>
      </c>
      <c r="E527">
        <v>99</v>
      </c>
      <c r="F527" t="s">
        <v>3016</v>
      </c>
      <c r="G527" t="s">
        <v>3016</v>
      </c>
      <c r="H527">
        <f t="shared" si="11"/>
        <v>9</v>
      </c>
      <c r="M527" s="1">
        <v>1.49163999594748E-3</v>
      </c>
      <c r="N527">
        <v>1053.51147460938</v>
      </c>
      <c r="O527">
        <v>527.76300000000003</v>
      </c>
      <c r="P527">
        <v>1053.51000976563</v>
      </c>
      <c r="Q527">
        <v>527.76226806640602</v>
      </c>
      <c r="R527">
        <v>2</v>
      </c>
      <c r="S527">
        <v>1</v>
      </c>
      <c r="T527">
        <v>11</v>
      </c>
      <c r="U527">
        <v>40.863680000000002</v>
      </c>
      <c r="V527">
        <v>1024597</v>
      </c>
    </row>
    <row r="528" spans="1:22" x14ac:dyDescent="0.25">
      <c r="A528" t="s">
        <v>2234</v>
      </c>
      <c r="B528" t="s">
        <v>2235</v>
      </c>
      <c r="C528">
        <v>1246</v>
      </c>
      <c r="D528">
        <v>96.7</v>
      </c>
      <c r="E528">
        <v>96.71</v>
      </c>
      <c r="F528" t="s">
        <v>2236</v>
      </c>
      <c r="G528" t="s">
        <v>2236</v>
      </c>
      <c r="H528">
        <f t="shared" si="11"/>
        <v>8</v>
      </c>
      <c r="M528" s="1">
        <v>2.10199994035065E-3</v>
      </c>
      <c r="N528">
        <v>1053.51208496094</v>
      </c>
      <c r="O528">
        <v>527.76329999999905</v>
      </c>
      <c r="P528">
        <v>1053.51000976563</v>
      </c>
      <c r="Q528">
        <v>527.76226806640602</v>
      </c>
      <c r="R528">
        <v>2</v>
      </c>
      <c r="S528">
        <v>1</v>
      </c>
      <c r="T528">
        <v>11</v>
      </c>
      <c r="U528">
        <v>40.872900000000001</v>
      </c>
      <c r="V528">
        <v>554490.6</v>
      </c>
    </row>
    <row r="529" spans="1:22" x14ac:dyDescent="0.25">
      <c r="A529" t="s">
        <v>2673</v>
      </c>
      <c r="B529" t="s">
        <v>2674</v>
      </c>
      <c r="C529">
        <v>753</v>
      </c>
      <c r="D529">
        <v>98.8</v>
      </c>
      <c r="E529">
        <v>98.79</v>
      </c>
      <c r="F529" t="s">
        <v>2675</v>
      </c>
      <c r="G529" t="s">
        <v>2675</v>
      </c>
      <c r="H529">
        <f t="shared" si="11"/>
        <v>9</v>
      </c>
      <c r="M529" s="1">
        <v>-8.5830199532210805E-4</v>
      </c>
      <c r="N529">
        <v>997.51190185546795</v>
      </c>
      <c r="O529">
        <v>499.76319999999902</v>
      </c>
      <c r="P529">
        <v>997.51275634765602</v>
      </c>
      <c r="Q529">
        <v>499.76364135742102</v>
      </c>
      <c r="R529">
        <v>2</v>
      </c>
      <c r="S529">
        <v>3</v>
      </c>
      <c r="T529">
        <v>13</v>
      </c>
      <c r="U529">
        <v>22.101980000000001</v>
      </c>
      <c r="V529">
        <v>26662560</v>
      </c>
    </row>
    <row r="530" spans="1:22" x14ac:dyDescent="0.25">
      <c r="A530" t="s">
        <v>944</v>
      </c>
      <c r="B530" t="s">
        <v>945</v>
      </c>
      <c r="C530">
        <v>2418</v>
      </c>
      <c r="D530">
        <v>98.8</v>
      </c>
      <c r="E530">
        <v>98.8</v>
      </c>
      <c r="F530" t="s">
        <v>946</v>
      </c>
      <c r="G530" t="s">
        <v>946</v>
      </c>
      <c r="H530">
        <f t="shared" si="11"/>
        <v>9</v>
      </c>
      <c r="M530" s="1">
        <v>-3.0898599652573401E-4</v>
      </c>
      <c r="N530">
        <v>997.512451171875</v>
      </c>
      <c r="O530">
        <v>499.76350000000002</v>
      </c>
      <c r="P530">
        <v>997.51275634765602</v>
      </c>
      <c r="Q530">
        <v>499.76364135742102</v>
      </c>
      <c r="R530">
        <v>2</v>
      </c>
      <c r="S530">
        <v>5</v>
      </c>
      <c r="T530">
        <v>13</v>
      </c>
      <c r="U530">
        <v>22.219370000000001</v>
      </c>
      <c r="V530">
        <v>7492947</v>
      </c>
    </row>
    <row r="531" spans="1:22" x14ac:dyDescent="0.25">
      <c r="A531" t="s">
        <v>2173</v>
      </c>
      <c r="B531" t="s">
        <v>2174</v>
      </c>
      <c r="C531">
        <v>267</v>
      </c>
      <c r="D531">
        <v>98.5</v>
      </c>
      <c r="E531">
        <v>98.45</v>
      </c>
      <c r="F531" t="s">
        <v>2175</v>
      </c>
      <c r="G531" t="s">
        <v>2175</v>
      </c>
      <c r="H531">
        <f t="shared" si="11"/>
        <v>9</v>
      </c>
      <c r="M531" s="1">
        <v>3.9118598215281903E-3</v>
      </c>
      <c r="N531">
        <v>1060.57385253906</v>
      </c>
      <c r="O531">
        <v>531.29420000000005</v>
      </c>
      <c r="P531">
        <v>1060.56994628906</v>
      </c>
      <c r="Q531">
        <v>531.292236328125</v>
      </c>
      <c r="R531">
        <v>2</v>
      </c>
      <c r="S531">
        <v>1</v>
      </c>
      <c r="T531">
        <v>9</v>
      </c>
      <c r="U531">
        <v>33.896630000000002</v>
      </c>
      <c r="V531">
        <v>268839.2</v>
      </c>
    </row>
    <row r="532" spans="1:22" x14ac:dyDescent="0.25">
      <c r="A532" t="s">
        <v>3676</v>
      </c>
      <c r="B532" t="s">
        <v>3677</v>
      </c>
      <c r="C532">
        <v>182</v>
      </c>
      <c r="D532">
        <v>97.4</v>
      </c>
      <c r="E532">
        <v>97.35</v>
      </c>
      <c r="F532" t="s">
        <v>3678</v>
      </c>
      <c r="G532" t="s">
        <v>3678</v>
      </c>
      <c r="H532">
        <f t="shared" si="11"/>
        <v>9</v>
      </c>
      <c r="M532" s="1">
        <v>3.10079008340836E-3</v>
      </c>
      <c r="N532">
        <v>1844.01867675781</v>
      </c>
      <c r="O532">
        <v>615.68020000000001</v>
      </c>
      <c r="P532">
        <v>1844.015625</v>
      </c>
      <c r="Q532">
        <v>615.67913818359295</v>
      </c>
      <c r="R532">
        <v>3</v>
      </c>
      <c r="S532">
        <v>2</v>
      </c>
      <c r="T532">
        <v>17</v>
      </c>
      <c r="U532">
        <v>29.313949999999899</v>
      </c>
      <c r="V532">
        <v>573569.30000000005</v>
      </c>
    </row>
    <row r="533" spans="1:22" x14ac:dyDescent="0.25">
      <c r="A533" t="s">
        <v>3674</v>
      </c>
      <c r="B533" t="s">
        <v>3675</v>
      </c>
      <c r="C533">
        <v>307</v>
      </c>
      <c r="D533">
        <v>99</v>
      </c>
      <c r="E533">
        <v>99</v>
      </c>
      <c r="F533" t="s">
        <v>389</v>
      </c>
      <c r="G533" t="s">
        <v>389</v>
      </c>
      <c r="H533">
        <f t="shared" si="11"/>
        <v>9</v>
      </c>
      <c r="M533" s="1">
        <v>9.2090498656034504E-3</v>
      </c>
      <c r="N533">
        <v>1676.83630371094</v>
      </c>
      <c r="O533">
        <v>839.42539999999894</v>
      </c>
      <c r="P533">
        <v>1676.82702636719</v>
      </c>
      <c r="Q533">
        <v>839.42083740234295</v>
      </c>
      <c r="R533">
        <v>2</v>
      </c>
      <c r="S533">
        <v>1</v>
      </c>
      <c r="T533">
        <v>13</v>
      </c>
      <c r="U533">
        <v>44.417839999999899</v>
      </c>
      <c r="V533">
        <v>232019.5</v>
      </c>
    </row>
    <row r="534" spans="1:22" x14ac:dyDescent="0.25">
      <c r="A534" t="s">
        <v>810</v>
      </c>
      <c r="B534" t="s">
        <v>811</v>
      </c>
      <c r="C534">
        <v>244</v>
      </c>
      <c r="D534">
        <v>98.2</v>
      </c>
      <c r="E534">
        <v>98.15</v>
      </c>
      <c r="F534" t="s">
        <v>812</v>
      </c>
      <c r="G534" t="s">
        <v>812</v>
      </c>
      <c r="H534">
        <f t="shared" si="11"/>
        <v>9</v>
      </c>
      <c r="M534" s="1">
        <v>8.6457701399922403E-4</v>
      </c>
      <c r="N534">
        <v>985.51025390625</v>
      </c>
      <c r="O534">
        <v>493.76240000000001</v>
      </c>
      <c r="P534">
        <v>985.50933837890602</v>
      </c>
      <c r="Q534">
        <v>493.761962890625</v>
      </c>
      <c r="R534">
        <v>2</v>
      </c>
      <c r="S534">
        <v>2</v>
      </c>
      <c r="T534">
        <v>12</v>
      </c>
      <c r="U534">
        <v>25.593129999999899</v>
      </c>
      <c r="V534">
        <v>6438632</v>
      </c>
    </row>
    <row r="535" spans="1:22" x14ac:dyDescent="0.25">
      <c r="A535" t="s">
        <v>2882</v>
      </c>
      <c r="B535" t="s">
        <v>2883</v>
      </c>
      <c r="C535">
        <v>5</v>
      </c>
      <c r="D535">
        <v>99</v>
      </c>
      <c r="E535">
        <v>99</v>
      </c>
      <c r="F535" t="s">
        <v>2884</v>
      </c>
      <c r="G535" t="s">
        <v>2884</v>
      </c>
      <c r="H535">
        <f t="shared" si="11"/>
        <v>9</v>
      </c>
      <c r="M535" s="1">
        <v>1.29181996453553E-3</v>
      </c>
      <c r="N535">
        <v>985.51068115234295</v>
      </c>
      <c r="O535">
        <v>493.76260000000002</v>
      </c>
      <c r="P535">
        <v>985.50933837890602</v>
      </c>
      <c r="Q535">
        <v>493.761962890625</v>
      </c>
      <c r="R535">
        <v>2</v>
      </c>
      <c r="S535">
        <v>3</v>
      </c>
      <c r="T535">
        <v>11</v>
      </c>
      <c r="U535">
        <v>25.653770000000002</v>
      </c>
      <c r="V535">
        <v>4289088</v>
      </c>
    </row>
    <row r="536" spans="1:22" x14ac:dyDescent="0.25">
      <c r="A536" t="s">
        <v>4119</v>
      </c>
      <c r="B536" t="s">
        <v>4120</v>
      </c>
      <c r="C536">
        <v>453</v>
      </c>
      <c r="D536">
        <v>98.9</v>
      </c>
      <c r="E536">
        <v>98.9</v>
      </c>
      <c r="F536" t="s">
        <v>4121</v>
      </c>
      <c r="G536" t="s">
        <v>4121</v>
      </c>
      <c r="H536">
        <f t="shared" si="11"/>
        <v>9</v>
      </c>
      <c r="M536">
        <v>5.1159999999999999E-3</v>
      </c>
      <c r="N536">
        <v>1176.54223632813</v>
      </c>
      <c r="O536">
        <v>589.27840000000003</v>
      </c>
      <c r="P536">
        <v>1176.537109375</v>
      </c>
      <c r="Q536">
        <v>589.27581787109295</v>
      </c>
      <c r="R536">
        <v>2</v>
      </c>
      <c r="S536">
        <v>3</v>
      </c>
      <c r="T536">
        <v>11</v>
      </c>
      <c r="U536">
        <v>22.254380000000001</v>
      </c>
      <c r="V536">
        <v>107822.9</v>
      </c>
    </row>
    <row r="537" spans="1:22" x14ac:dyDescent="0.25">
      <c r="A537" t="s">
        <v>2176</v>
      </c>
      <c r="B537" t="s">
        <v>2177</v>
      </c>
      <c r="C537">
        <v>814</v>
      </c>
      <c r="D537">
        <v>98.1</v>
      </c>
      <c r="E537">
        <v>98.06</v>
      </c>
      <c r="F537" t="s">
        <v>2178</v>
      </c>
      <c r="G537" t="s">
        <v>2178</v>
      </c>
      <c r="H537">
        <f t="shared" si="11"/>
        <v>9</v>
      </c>
      <c r="M537" s="1">
        <v>7.3602600023150401E-3</v>
      </c>
      <c r="N537">
        <v>1362.59143066406</v>
      </c>
      <c r="O537">
        <v>682.303</v>
      </c>
      <c r="P537">
        <v>1362.583984375</v>
      </c>
      <c r="Q537">
        <v>682.29931640625</v>
      </c>
      <c r="R537">
        <v>2</v>
      </c>
      <c r="S537">
        <v>2</v>
      </c>
      <c r="T537">
        <v>10</v>
      </c>
      <c r="U537">
        <v>39.94444</v>
      </c>
      <c r="V537">
        <v>116733.1</v>
      </c>
    </row>
    <row r="538" spans="1:22" x14ac:dyDescent="0.25">
      <c r="A538" t="s">
        <v>335</v>
      </c>
      <c r="B538" t="s">
        <v>336</v>
      </c>
      <c r="C538">
        <v>31</v>
      </c>
      <c r="D538">
        <v>99</v>
      </c>
      <c r="E538">
        <v>99</v>
      </c>
      <c r="F538" t="s">
        <v>424</v>
      </c>
      <c r="G538" t="s">
        <v>424</v>
      </c>
      <c r="H538">
        <f t="shared" si="11"/>
        <v>9</v>
      </c>
      <c r="M538" s="1">
        <v>3.59552004374564E-3</v>
      </c>
      <c r="N538">
        <v>1146.58581542969</v>
      </c>
      <c r="O538">
        <v>574.30020000000002</v>
      </c>
      <c r="P538">
        <v>1146.58215332031</v>
      </c>
      <c r="Q538">
        <v>574.29840087890602</v>
      </c>
      <c r="R538">
        <v>2</v>
      </c>
      <c r="S538">
        <v>6</v>
      </c>
      <c r="T538">
        <v>12</v>
      </c>
      <c r="U538">
        <v>27.588930000000001</v>
      </c>
      <c r="V538">
        <v>6932164</v>
      </c>
    </row>
    <row r="539" spans="1:22" x14ac:dyDescent="0.25">
      <c r="A539" t="s">
        <v>135</v>
      </c>
      <c r="B539" t="s">
        <v>136</v>
      </c>
      <c r="C539">
        <v>240</v>
      </c>
      <c r="D539">
        <v>98.1</v>
      </c>
      <c r="E539">
        <v>98.14</v>
      </c>
      <c r="F539" t="s">
        <v>1507</v>
      </c>
      <c r="G539" t="s">
        <v>1507</v>
      </c>
      <c r="H539">
        <f t="shared" si="11"/>
        <v>10</v>
      </c>
      <c r="M539" s="1">
        <v>3.3949199132621202E-4</v>
      </c>
      <c r="N539">
        <v>1600.83251953125</v>
      </c>
      <c r="O539">
        <v>801.42349999999897</v>
      </c>
      <c r="P539">
        <v>1600.83215332031</v>
      </c>
      <c r="Q539">
        <v>801.42333984375</v>
      </c>
      <c r="R539">
        <v>2</v>
      </c>
      <c r="S539">
        <v>2</v>
      </c>
      <c r="T539">
        <v>16</v>
      </c>
      <c r="U539">
        <v>27.48845</v>
      </c>
      <c r="V539">
        <v>141197.799999999</v>
      </c>
    </row>
    <row r="540" spans="1:22" x14ac:dyDescent="0.25">
      <c r="A540" t="s">
        <v>1508</v>
      </c>
      <c r="B540" t="s">
        <v>1509</v>
      </c>
      <c r="C540">
        <v>1147</v>
      </c>
      <c r="D540">
        <v>97.3</v>
      </c>
      <c r="E540">
        <v>97.34</v>
      </c>
      <c r="F540" t="s">
        <v>1510</v>
      </c>
      <c r="G540" t="s">
        <v>1510</v>
      </c>
      <c r="H540">
        <f t="shared" si="11"/>
        <v>9</v>
      </c>
      <c r="M540" s="1">
        <v>5.3443699143826901E-3</v>
      </c>
      <c r="N540">
        <v>1600.83752441406</v>
      </c>
      <c r="O540">
        <v>801.42600000000004</v>
      </c>
      <c r="P540">
        <v>1600.83215332031</v>
      </c>
      <c r="Q540">
        <v>801.42333984375</v>
      </c>
      <c r="R540">
        <v>2</v>
      </c>
      <c r="S540">
        <v>2</v>
      </c>
      <c r="T540">
        <v>18</v>
      </c>
      <c r="U540">
        <v>27.5047999999999</v>
      </c>
      <c r="V540">
        <v>127195.5</v>
      </c>
    </row>
    <row r="541" spans="1:22" x14ac:dyDescent="0.25">
      <c r="A541" t="s">
        <v>526</v>
      </c>
      <c r="B541" t="s">
        <v>527</v>
      </c>
      <c r="C541">
        <v>626</v>
      </c>
      <c r="D541">
        <v>98.8</v>
      </c>
      <c r="E541">
        <v>98.78</v>
      </c>
      <c r="F541" t="s">
        <v>2611</v>
      </c>
      <c r="G541" t="s">
        <v>2611</v>
      </c>
      <c r="H541">
        <f t="shared" si="11"/>
        <v>9</v>
      </c>
      <c r="L541" t="s">
        <v>295</v>
      </c>
      <c r="M541" s="1">
        <v>6.7018601112067604E-3</v>
      </c>
      <c r="N541">
        <v>2285.22680664063</v>
      </c>
      <c r="O541">
        <v>762.74959999999896</v>
      </c>
      <c r="P541">
        <v>2285.22021484375</v>
      </c>
      <c r="Q541">
        <v>762.747314453125</v>
      </c>
      <c r="R541">
        <v>3</v>
      </c>
      <c r="S541">
        <v>3</v>
      </c>
      <c r="T541">
        <v>13</v>
      </c>
      <c r="U541">
        <v>52.835320000000003</v>
      </c>
      <c r="V541">
        <v>640946.6</v>
      </c>
    </row>
    <row r="542" spans="1:22" x14ac:dyDescent="0.25">
      <c r="A542" t="s">
        <v>4148</v>
      </c>
      <c r="B542" t="s">
        <v>4149</v>
      </c>
      <c r="C542">
        <v>225</v>
      </c>
      <c r="D542">
        <v>99</v>
      </c>
      <c r="E542">
        <v>99</v>
      </c>
      <c r="F542" t="s">
        <v>4150</v>
      </c>
      <c r="G542" t="s">
        <v>4150</v>
      </c>
      <c r="H542">
        <f t="shared" si="11"/>
        <v>9</v>
      </c>
      <c r="M542" s="1">
        <v>7.7725402079522601E-3</v>
      </c>
      <c r="N542">
        <v>1825.95129394531</v>
      </c>
      <c r="O542">
        <v>913.98289999999895</v>
      </c>
      <c r="P542">
        <v>1825.94348144531</v>
      </c>
      <c r="Q542">
        <v>913.97900390625</v>
      </c>
      <c r="R542">
        <v>2</v>
      </c>
      <c r="S542">
        <v>2</v>
      </c>
      <c r="T542">
        <v>21</v>
      </c>
      <c r="U542">
        <v>29.05087</v>
      </c>
      <c r="V542">
        <v>182614.9</v>
      </c>
    </row>
    <row r="543" spans="1:22" x14ac:dyDescent="0.25">
      <c r="A543" t="s">
        <v>505</v>
      </c>
      <c r="B543" t="s">
        <v>506</v>
      </c>
      <c r="C543">
        <v>345</v>
      </c>
      <c r="D543">
        <v>99</v>
      </c>
      <c r="E543">
        <v>99</v>
      </c>
      <c r="F543" t="s">
        <v>507</v>
      </c>
      <c r="G543" t="s">
        <v>507</v>
      </c>
      <c r="H543">
        <f t="shared" si="11"/>
        <v>8</v>
      </c>
      <c r="M543" s="1">
        <v>3.3780001103878E-3</v>
      </c>
      <c r="N543">
        <v>1825.94689941406</v>
      </c>
      <c r="O543">
        <v>913.98069999999905</v>
      </c>
      <c r="P543">
        <v>1825.94348144531</v>
      </c>
      <c r="Q543">
        <v>913.97900390625</v>
      </c>
      <c r="R543">
        <v>2</v>
      </c>
      <c r="S543">
        <v>2</v>
      </c>
      <c r="T543">
        <v>21</v>
      </c>
      <c r="U543">
        <v>29.056950000000001</v>
      </c>
      <c r="V543">
        <v>268837.8</v>
      </c>
    </row>
    <row r="544" spans="1:22" x14ac:dyDescent="0.25">
      <c r="A544" t="s">
        <v>505</v>
      </c>
      <c r="B544" t="s">
        <v>506</v>
      </c>
      <c r="C544">
        <v>425</v>
      </c>
      <c r="D544">
        <v>99</v>
      </c>
      <c r="E544">
        <v>99</v>
      </c>
      <c r="F544" t="s">
        <v>2531</v>
      </c>
      <c r="G544" t="s">
        <v>2531</v>
      </c>
      <c r="H544">
        <f t="shared" si="11"/>
        <v>14</v>
      </c>
      <c r="M544" s="1">
        <v>1.0377299971878501E-2</v>
      </c>
      <c r="N544">
        <v>2110.08129882813</v>
      </c>
      <c r="O544">
        <v>704.36770000000001</v>
      </c>
      <c r="P544">
        <v>2110.07080078125</v>
      </c>
      <c r="Q544">
        <v>704.36419677734295</v>
      </c>
      <c r="R544">
        <v>3</v>
      </c>
      <c r="S544">
        <v>2</v>
      </c>
      <c r="T544">
        <v>11</v>
      </c>
      <c r="U544">
        <v>31.606480000000001</v>
      </c>
      <c r="V544">
        <v>190279.4</v>
      </c>
    </row>
    <row r="545" spans="1:22" x14ac:dyDescent="0.25">
      <c r="A545" t="s">
        <v>505</v>
      </c>
      <c r="B545" t="s">
        <v>506</v>
      </c>
      <c r="C545">
        <v>2416</v>
      </c>
      <c r="D545">
        <v>97.6</v>
      </c>
      <c r="E545">
        <v>97.63</v>
      </c>
      <c r="F545" t="s">
        <v>2532</v>
      </c>
      <c r="G545" t="s">
        <v>2532</v>
      </c>
      <c r="H545">
        <f t="shared" si="11"/>
        <v>9</v>
      </c>
      <c r="M545" s="1">
        <v>6.23212987557054E-3</v>
      </c>
      <c r="N545">
        <v>1640.95239257813</v>
      </c>
      <c r="O545">
        <v>547.9914</v>
      </c>
      <c r="P545">
        <v>1640.94616699219</v>
      </c>
      <c r="Q545">
        <v>547.98931884765602</v>
      </c>
      <c r="R545">
        <v>3</v>
      </c>
      <c r="S545">
        <v>1</v>
      </c>
      <c r="T545">
        <v>17</v>
      </c>
      <c r="U545">
        <v>37.5538799999999</v>
      </c>
      <c r="V545">
        <v>813273.8</v>
      </c>
    </row>
    <row r="546" spans="1:22" x14ac:dyDescent="0.25">
      <c r="A546" t="s">
        <v>1896</v>
      </c>
      <c r="B546" t="s">
        <v>1897</v>
      </c>
      <c r="C546">
        <v>1063</v>
      </c>
      <c r="D546">
        <v>99</v>
      </c>
      <c r="E546">
        <v>99</v>
      </c>
      <c r="F546" t="s">
        <v>1898</v>
      </c>
      <c r="G546" t="s">
        <v>1898</v>
      </c>
      <c r="H546">
        <f t="shared" si="11"/>
        <v>10</v>
      </c>
      <c r="M546" s="1">
        <v>6.23212987557054E-3</v>
      </c>
      <c r="N546">
        <v>1640.95239257813</v>
      </c>
      <c r="O546">
        <v>547.9914</v>
      </c>
      <c r="P546">
        <v>1640.94616699219</v>
      </c>
      <c r="Q546">
        <v>547.98931884765602</v>
      </c>
      <c r="R546">
        <v>3</v>
      </c>
      <c r="S546">
        <v>2</v>
      </c>
      <c r="T546">
        <v>16</v>
      </c>
      <c r="U546">
        <v>37.530119999999897</v>
      </c>
      <c r="V546">
        <v>733251</v>
      </c>
    </row>
    <row r="547" spans="1:22" x14ac:dyDescent="0.25">
      <c r="A547" t="s">
        <v>2432</v>
      </c>
      <c r="B547" t="s">
        <v>2433</v>
      </c>
      <c r="C547">
        <v>109</v>
      </c>
      <c r="D547">
        <v>98.7</v>
      </c>
      <c r="E547">
        <v>98.68</v>
      </c>
      <c r="F547" t="s">
        <v>2434</v>
      </c>
      <c r="G547" t="s">
        <v>2434</v>
      </c>
      <c r="H547">
        <f t="shared" si="11"/>
        <v>9</v>
      </c>
      <c r="M547" s="1">
        <v>-5.36626996472478E-3</v>
      </c>
      <c r="N547">
        <v>1845.90551757813</v>
      </c>
      <c r="O547">
        <v>923.96</v>
      </c>
      <c r="P547">
        <v>1845.91088867188</v>
      </c>
      <c r="Q547">
        <v>923.96270751953102</v>
      </c>
      <c r="R547">
        <v>2</v>
      </c>
      <c r="S547">
        <v>1</v>
      </c>
      <c r="T547">
        <v>8</v>
      </c>
      <c r="U547">
        <v>55.026069999999898</v>
      </c>
      <c r="V547">
        <v>65864.13</v>
      </c>
    </row>
    <row r="548" spans="1:22" x14ac:dyDescent="0.25">
      <c r="A548" t="s">
        <v>2432</v>
      </c>
      <c r="B548" t="s">
        <v>2433</v>
      </c>
      <c r="C548">
        <v>109</v>
      </c>
      <c r="D548">
        <v>99</v>
      </c>
      <c r="E548">
        <v>99</v>
      </c>
      <c r="F548" t="s">
        <v>2434</v>
      </c>
      <c r="G548" t="s">
        <v>2434</v>
      </c>
      <c r="H548">
        <f t="shared" si="11"/>
        <v>9</v>
      </c>
      <c r="L548" t="s">
        <v>47</v>
      </c>
      <c r="M548" s="1">
        <v>5.8150599943473903E-4</v>
      </c>
      <c r="N548">
        <v>2004.02502441406</v>
      </c>
      <c r="O548">
        <v>669.01559999999904</v>
      </c>
      <c r="P548">
        <v>2004.0244140625</v>
      </c>
      <c r="Q548">
        <v>669.01544189453102</v>
      </c>
      <c r="R548">
        <v>3</v>
      </c>
      <c r="S548">
        <v>1</v>
      </c>
      <c r="T548">
        <v>9</v>
      </c>
      <c r="U548">
        <v>23.8917299999999</v>
      </c>
      <c r="V548">
        <v>160005.299999999</v>
      </c>
    </row>
    <row r="549" spans="1:22" x14ac:dyDescent="0.25">
      <c r="A549" t="s">
        <v>21</v>
      </c>
      <c r="B549" t="s">
        <v>22</v>
      </c>
      <c r="C549">
        <v>30</v>
      </c>
      <c r="D549">
        <v>99</v>
      </c>
      <c r="E549">
        <v>99</v>
      </c>
      <c r="F549" t="s">
        <v>23</v>
      </c>
      <c r="G549" t="s">
        <v>23</v>
      </c>
      <c r="H549">
        <f t="shared" si="11"/>
        <v>9</v>
      </c>
      <c r="M549" s="1">
        <v>8.7938802316784807E-3</v>
      </c>
      <c r="N549">
        <v>1845.91967773438</v>
      </c>
      <c r="O549">
        <v>923.96709999999905</v>
      </c>
      <c r="P549">
        <v>1845.91088867188</v>
      </c>
      <c r="Q549">
        <v>923.96270751953102</v>
      </c>
      <c r="R549">
        <v>2</v>
      </c>
      <c r="S549">
        <v>1</v>
      </c>
      <c r="T549">
        <v>7</v>
      </c>
      <c r="U549">
        <v>55.060980000000001</v>
      </c>
      <c r="V549">
        <v>54874.76</v>
      </c>
    </row>
    <row r="550" spans="1:22" x14ac:dyDescent="0.25">
      <c r="A550" t="s">
        <v>310</v>
      </c>
      <c r="B550" t="s">
        <v>311</v>
      </c>
      <c r="C550">
        <v>49</v>
      </c>
      <c r="D550">
        <v>98.6</v>
      </c>
      <c r="E550">
        <v>98.61</v>
      </c>
      <c r="F550" t="s">
        <v>312</v>
      </c>
      <c r="G550" t="s">
        <v>312</v>
      </c>
      <c r="H550">
        <f t="shared" si="11"/>
        <v>9</v>
      </c>
      <c r="M550" s="1">
        <v>6.8424497731029901E-3</v>
      </c>
      <c r="N550">
        <v>1197.66149902344</v>
      </c>
      <c r="O550">
        <v>599.83799999999906</v>
      </c>
      <c r="P550">
        <v>1197.65466308594</v>
      </c>
      <c r="Q550">
        <v>599.83459472656205</v>
      </c>
      <c r="R550">
        <v>2</v>
      </c>
      <c r="S550">
        <v>3</v>
      </c>
      <c r="T550">
        <v>9</v>
      </c>
      <c r="U550">
        <v>55.665700000000001</v>
      </c>
      <c r="V550">
        <v>84510.47</v>
      </c>
    </row>
    <row r="551" spans="1:22" x14ac:dyDescent="0.25">
      <c r="A551" t="s">
        <v>310</v>
      </c>
      <c r="B551" t="s">
        <v>311</v>
      </c>
      <c r="C551">
        <v>49</v>
      </c>
      <c r="D551">
        <v>97.4</v>
      </c>
      <c r="E551">
        <v>97.38</v>
      </c>
      <c r="F551" t="s">
        <v>312</v>
      </c>
      <c r="G551" t="s">
        <v>312</v>
      </c>
      <c r="H551">
        <f t="shared" si="11"/>
        <v>9</v>
      </c>
      <c r="L551" t="s">
        <v>295</v>
      </c>
      <c r="M551" s="1">
        <v>-1.3218199601396901E-3</v>
      </c>
      <c r="N551">
        <v>1131.54821777344</v>
      </c>
      <c r="O551">
        <v>566.78139999999905</v>
      </c>
      <c r="P551">
        <v>1131.54956054688</v>
      </c>
      <c r="Q551">
        <v>566.78204345703102</v>
      </c>
      <c r="R551">
        <v>2</v>
      </c>
      <c r="S551">
        <v>2</v>
      </c>
      <c r="T551">
        <v>11</v>
      </c>
      <c r="U551">
        <v>23.6129</v>
      </c>
      <c r="V551">
        <v>441424.9</v>
      </c>
    </row>
    <row r="552" spans="1:22" x14ac:dyDescent="0.25">
      <c r="A552" t="s">
        <v>783</v>
      </c>
      <c r="B552" t="s">
        <v>784</v>
      </c>
      <c r="C552">
        <v>288</v>
      </c>
      <c r="D552">
        <v>97.7</v>
      </c>
      <c r="E552">
        <v>97.69</v>
      </c>
      <c r="F552" t="s">
        <v>785</v>
      </c>
      <c r="G552" t="s">
        <v>785</v>
      </c>
      <c r="H552">
        <f t="shared" si="11"/>
        <v>9</v>
      </c>
      <c r="M552" s="1">
        <v>-1.75518996547908E-3</v>
      </c>
      <c r="N552">
        <v>1494.85009765625</v>
      </c>
      <c r="O552">
        <v>748.43230000000005</v>
      </c>
      <c r="P552">
        <v>1494.85180664063</v>
      </c>
      <c r="Q552">
        <v>748.43316650390602</v>
      </c>
      <c r="R552">
        <v>2</v>
      </c>
      <c r="S552">
        <v>4</v>
      </c>
      <c r="T552">
        <v>16</v>
      </c>
      <c r="U552">
        <v>32.456620000000001</v>
      </c>
      <c r="V552">
        <v>162398.399999999</v>
      </c>
    </row>
    <row r="553" spans="1:22" x14ac:dyDescent="0.25">
      <c r="A553" t="s">
        <v>386</v>
      </c>
      <c r="B553" t="s">
        <v>387</v>
      </c>
      <c r="C553">
        <v>118</v>
      </c>
      <c r="D553">
        <v>99</v>
      </c>
      <c r="E553">
        <v>99</v>
      </c>
      <c r="F553" t="s">
        <v>388</v>
      </c>
      <c r="G553" t="s">
        <v>388</v>
      </c>
      <c r="H553">
        <f t="shared" si="11"/>
        <v>9</v>
      </c>
      <c r="M553" s="1">
        <v>2.2731299977749499E-3</v>
      </c>
      <c r="N553">
        <v>1494.85412597656</v>
      </c>
      <c r="O553">
        <v>748.43430000000001</v>
      </c>
      <c r="P553">
        <v>1494.85180664063</v>
      </c>
      <c r="Q553">
        <v>748.43316650390602</v>
      </c>
      <c r="R553">
        <v>2</v>
      </c>
      <c r="S553">
        <v>5</v>
      </c>
      <c r="T553">
        <v>19</v>
      </c>
      <c r="U553">
        <v>32.460430000000002</v>
      </c>
      <c r="V553">
        <v>328711.2</v>
      </c>
    </row>
    <row r="554" spans="1:22" x14ac:dyDescent="0.25">
      <c r="A554" t="s">
        <v>386</v>
      </c>
      <c r="B554" t="s">
        <v>387</v>
      </c>
      <c r="C554">
        <v>119</v>
      </c>
      <c r="D554">
        <v>99</v>
      </c>
      <c r="E554">
        <v>99</v>
      </c>
      <c r="F554" t="s">
        <v>1901</v>
      </c>
      <c r="G554" t="s">
        <v>1901</v>
      </c>
      <c r="H554">
        <f t="shared" si="11"/>
        <v>8</v>
      </c>
      <c r="M554" s="1">
        <v>6.2545798718929204E-3</v>
      </c>
      <c r="N554">
        <v>1678.82250976563</v>
      </c>
      <c r="O554">
        <v>840.41849999999897</v>
      </c>
      <c r="P554">
        <v>1678.81628417969</v>
      </c>
      <c r="Q554">
        <v>840.41540527343705</v>
      </c>
      <c r="R554">
        <v>2</v>
      </c>
      <c r="S554">
        <v>1</v>
      </c>
      <c r="T554">
        <v>13</v>
      </c>
      <c r="U554">
        <v>38.773119999999899</v>
      </c>
      <c r="V554">
        <v>83552.98</v>
      </c>
    </row>
    <row r="555" spans="1:22" x14ac:dyDescent="0.25">
      <c r="A555" t="s">
        <v>3433</v>
      </c>
      <c r="B555" t="s">
        <v>3434</v>
      </c>
      <c r="C555">
        <v>346</v>
      </c>
      <c r="D555">
        <v>97.8</v>
      </c>
      <c r="E555">
        <v>97.78</v>
      </c>
      <c r="F555" t="s">
        <v>3435</v>
      </c>
      <c r="G555" t="s">
        <v>3435</v>
      </c>
      <c r="H555">
        <f t="shared" si="11"/>
        <v>16</v>
      </c>
      <c r="M555" s="1">
        <v>-2.45403009466827E-3</v>
      </c>
      <c r="N555">
        <v>1155.66003417969</v>
      </c>
      <c r="O555">
        <v>386.22730000000001</v>
      </c>
      <c r="P555">
        <v>1155.66247558594</v>
      </c>
      <c r="Q555">
        <v>386.22811889648301</v>
      </c>
      <c r="R555">
        <v>3</v>
      </c>
      <c r="S555">
        <v>13</v>
      </c>
      <c r="T555">
        <v>10</v>
      </c>
      <c r="U555">
        <v>20.437670000000001</v>
      </c>
      <c r="V555">
        <v>680989.1</v>
      </c>
    </row>
    <row r="556" spans="1:22" x14ac:dyDescent="0.25">
      <c r="A556" t="s">
        <v>3433</v>
      </c>
      <c r="B556" t="s">
        <v>3434</v>
      </c>
      <c r="C556">
        <v>629</v>
      </c>
      <c r="D556">
        <v>99</v>
      </c>
      <c r="E556">
        <v>99</v>
      </c>
      <c r="F556" t="s">
        <v>3436</v>
      </c>
      <c r="G556" t="s">
        <v>3436</v>
      </c>
      <c r="H556">
        <f t="shared" si="11"/>
        <v>9</v>
      </c>
      <c r="M556" s="1">
        <v>3.7257000803947401E-3</v>
      </c>
      <c r="N556">
        <v>1216.68664550781</v>
      </c>
      <c r="O556">
        <v>406.56950000000001</v>
      </c>
      <c r="P556">
        <v>1216.68286132813</v>
      </c>
      <c r="Q556">
        <v>406.56823730468801</v>
      </c>
      <c r="R556">
        <v>3</v>
      </c>
      <c r="S556">
        <v>3</v>
      </c>
      <c r="T556">
        <v>8</v>
      </c>
      <c r="U556">
        <v>44.87867</v>
      </c>
      <c r="V556">
        <v>44576.9</v>
      </c>
    </row>
    <row r="557" spans="1:22" x14ac:dyDescent="0.25">
      <c r="A557" t="s">
        <v>3433</v>
      </c>
      <c r="B557" t="s">
        <v>3434</v>
      </c>
      <c r="C557">
        <v>411</v>
      </c>
      <c r="D557">
        <v>99</v>
      </c>
      <c r="E557">
        <v>99</v>
      </c>
      <c r="F557" t="s">
        <v>3437</v>
      </c>
      <c r="G557" t="s">
        <v>3437</v>
      </c>
      <c r="H557">
        <f t="shared" si="11"/>
        <v>16</v>
      </c>
      <c r="M557">
        <v>2.7320000000000001E-3</v>
      </c>
      <c r="N557">
        <v>1216.68566894531</v>
      </c>
      <c r="O557">
        <v>609.3501</v>
      </c>
      <c r="P557">
        <v>1216.68286132813</v>
      </c>
      <c r="Q557">
        <v>609.34875488281205</v>
      </c>
      <c r="R557">
        <v>2</v>
      </c>
      <c r="S557">
        <v>2</v>
      </c>
      <c r="T557">
        <v>11</v>
      </c>
      <c r="U557">
        <v>44.80742</v>
      </c>
      <c r="V557">
        <v>186717.9</v>
      </c>
    </row>
    <row r="558" spans="1:22" x14ac:dyDescent="0.25">
      <c r="A558" t="s">
        <v>3912</v>
      </c>
      <c r="B558" t="s">
        <v>3913</v>
      </c>
      <c r="C558">
        <v>132</v>
      </c>
      <c r="D558">
        <v>99</v>
      </c>
      <c r="E558">
        <v>99</v>
      </c>
      <c r="F558" t="s">
        <v>3914</v>
      </c>
      <c r="G558" t="s">
        <v>3914</v>
      </c>
      <c r="H558">
        <f t="shared" si="11"/>
        <v>16</v>
      </c>
      <c r="M558">
        <v>7.26E-3</v>
      </c>
      <c r="N558">
        <v>1891.89929199219</v>
      </c>
      <c r="O558">
        <v>631.6404</v>
      </c>
      <c r="P558">
        <v>1891.89208984375</v>
      </c>
      <c r="Q558">
        <v>631.637939453125</v>
      </c>
      <c r="R558">
        <v>3</v>
      </c>
      <c r="S558">
        <v>1</v>
      </c>
      <c r="T558">
        <v>9</v>
      </c>
      <c r="U558">
        <v>35.471829999999898</v>
      </c>
      <c r="V558">
        <v>159937.5</v>
      </c>
    </row>
    <row r="559" spans="1:22" x14ac:dyDescent="0.25">
      <c r="A559" t="s">
        <v>3912</v>
      </c>
      <c r="B559" t="s">
        <v>3913</v>
      </c>
      <c r="C559">
        <v>302</v>
      </c>
      <c r="D559">
        <v>96.8</v>
      </c>
      <c r="E559">
        <v>96.84</v>
      </c>
      <c r="F559" t="s">
        <v>3915</v>
      </c>
      <c r="G559" t="s">
        <v>3915</v>
      </c>
      <c r="H559">
        <f t="shared" si="11"/>
        <v>9</v>
      </c>
      <c r="M559" s="1">
        <v>8.9082000777125307E-3</v>
      </c>
      <c r="N559">
        <v>1891.90100097656</v>
      </c>
      <c r="O559">
        <v>631.64089999999896</v>
      </c>
      <c r="P559">
        <v>1891.89208984375</v>
      </c>
      <c r="Q559">
        <v>631.637939453125</v>
      </c>
      <c r="R559">
        <v>3</v>
      </c>
      <c r="S559">
        <v>2</v>
      </c>
      <c r="T559">
        <v>11</v>
      </c>
      <c r="U559">
        <v>35.521050000000002</v>
      </c>
      <c r="V559">
        <v>245024.1</v>
      </c>
    </row>
    <row r="560" spans="1:22" x14ac:dyDescent="0.25">
      <c r="A560" t="s">
        <v>2031</v>
      </c>
      <c r="B560" t="s">
        <v>2032</v>
      </c>
      <c r="C560">
        <v>44</v>
      </c>
      <c r="D560">
        <v>99</v>
      </c>
      <c r="E560">
        <v>99</v>
      </c>
      <c r="F560" t="s">
        <v>2033</v>
      </c>
      <c r="G560" t="s">
        <v>2033</v>
      </c>
      <c r="H560">
        <f t="shared" si="11"/>
        <v>16</v>
      </c>
      <c r="M560">
        <v>3.7980000000000002E-3</v>
      </c>
      <c r="N560">
        <v>1126.58093261719</v>
      </c>
      <c r="O560">
        <v>564.29769999999905</v>
      </c>
      <c r="P560">
        <v>1126.5771484375</v>
      </c>
      <c r="Q560">
        <v>564.29583740234295</v>
      </c>
      <c r="R560">
        <v>2</v>
      </c>
      <c r="S560">
        <v>12</v>
      </c>
      <c r="T560">
        <v>12</v>
      </c>
      <c r="U560">
        <v>28.762530000000002</v>
      </c>
      <c r="V560">
        <v>7243237</v>
      </c>
    </row>
    <row r="561" spans="1:22" x14ac:dyDescent="0.25">
      <c r="A561" t="s">
        <v>1228</v>
      </c>
      <c r="B561" t="s">
        <v>1229</v>
      </c>
      <c r="C561">
        <v>616</v>
      </c>
      <c r="D561">
        <v>99</v>
      </c>
      <c r="E561">
        <v>99</v>
      </c>
      <c r="F561" t="s">
        <v>1230</v>
      </c>
      <c r="G561" t="s">
        <v>1230</v>
      </c>
      <c r="H561">
        <f t="shared" si="11"/>
        <v>16</v>
      </c>
      <c r="M561" s="1">
        <v>-4.4283601455390401E-3</v>
      </c>
      <c r="N561">
        <v>1126.57263183594</v>
      </c>
      <c r="O561">
        <v>1127.58</v>
      </c>
      <c r="P561">
        <v>1126.5771484375</v>
      </c>
      <c r="Q561">
        <v>1127.58435058594</v>
      </c>
      <c r="R561">
        <v>1</v>
      </c>
      <c r="S561">
        <v>12</v>
      </c>
      <c r="T561">
        <v>11</v>
      </c>
      <c r="U561">
        <v>28.89058</v>
      </c>
      <c r="V561">
        <v>4903827</v>
      </c>
    </row>
    <row r="562" spans="1:22" x14ac:dyDescent="0.25">
      <c r="A562" t="s">
        <v>1228</v>
      </c>
      <c r="B562" t="s">
        <v>1229</v>
      </c>
      <c r="C562">
        <v>265</v>
      </c>
      <c r="D562">
        <v>98.2</v>
      </c>
      <c r="E562">
        <v>98.19</v>
      </c>
      <c r="F562" t="s">
        <v>1231</v>
      </c>
      <c r="G562" t="s">
        <v>1231</v>
      </c>
      <c r="H562">
        <f t="shared" si="11"/>
        <v>9</v>
      </c>
      <c r="M562">
        <v>2.1840000000000002E-3</v>
      </c>
      <c r="N562">
        <v>1293.71166992188</v>
      </c>
      <c r="O562">
        <v>647.86310000000003</v>
      </c>
      <c r="P562">
        <v>1293.70947265625</v>
      </c>
      <c r="Q562">
        <v>647.86199951171795</v>
      </c>
      <c r="R562">
        <v>2</v>
      </c>
      <c r="S562">
        <v>4</v>
      </c>
      <c r="T562">
        <v>10</v>
      </c>
      <c r="U562">
        <v>23.926749999999899</v>
      </c>
      <c r="V562">
        <v>696657.8</v>
      </c>
    </row>
    <row r="563" spans="1:22" x14ac:dyDescent="0.25">
      <c r="A563" t="s">
        <v>1228</v>
      </c>
      <c r="B563" t="s">
        <v>1229</v>
      </c>
      <c r="C563">
        <v>616</v>
      </c>
      <c r="D563">
        <v>98</v>
      </c>
      <c r="E563">
        <v>97.96</v>
      </c>
      <c r="F563" t="s">
        <v>1230</v>
      </c>
      <c r="G563" t="s">
        <v>1230</v>
      </c>
      <c r="H563">
        <f t="shared" si="11"/>
        <v>16</v>
      </c>
      <c r="L563" t="s">
        <v>43</v>
      </c>
      <c r="M563">
        <v>1.4382000000000001E-2</v>
      </c>
      <c r="N563">
        <v>1851.79431152344</v>
      </c>
      <c r="O563">
        <v>926.90440000000001</v>
      </c>
      <c r="P563">
        <v>1851.77990722656</v>
      </c>
      <c r="Q563">
        <v>926.897216796875</v>
      </c>
      <c r="R563">
        <v>2</v>
      </c>
      <c r="S563">
        <v>1</v>
      </c>
      <c r="T563">
        <v>12</v>
      </c>
      <c r="U563">
        <v>55.702370000000002</v>
      </c>
      <c r="V563">
        <v>41312.03</v>
      </c>
    </row>
    <row r="564" spans="1:22" x14ac:dyDescent="0.25">
      <c r="A564" t="s">
        <v>1453</v>
      </c>
      <c r="B564" t="s">
        <v>1454</v>
      </c>
      <c r="C564">
        <v>23</v>
      </c>
      <c r="D564">
        <v>99</v>
      </c>
      <c r="E564">
        <v>99</v>
      </c>
      <c r="F564" t="s">
        <v>1455</v>
      </c>
      <c r="G564" t="s">
        <v>1455</v>
      </c>
      <c r="H564">
        <f t="shared" si="11"/>
        <v>15</v>
      </c>
      <c r="M564" s="1">
        <v>1.3292899820953601E-3</v>
      </c>
      <c r="N564">
        <v>1293.71081542969</v>
      </c>
      <c r="O564">
        <v>647.86270000000002</v>
      </c>
      <c r="P564">
        <v>1293.70947265625</v>
      </c>
      <c r="Q564">
        <v>647.86199951171795</v>
      </c>
      <c r="R564">
        <v>2</v>
      </c>
      <c r="S564">
        <v>3</v>
      </c>
      <c r="T564">
        <v>10</v>
      </c>
      <c r="U564">
        <v>23.94707</v>
      </c>
      <c r="V564">
        <v>11252540</v>
      </c>
    </row>
    <row r="565" spans="1:22" x14ac:dyDescent="0.25">
      <c r="A565" t="s">
        <v>2102</v>
      </c>
      <c r="B565" t="s">
        <v>2103</v>
      </c>
      <c r="C565">
        <v>399</v>
      </c>
      <c r="D565">
        <v>99</v>
      </c>
      <c r="E565">
        <v>99</v>
      </c>
      <c r="F565" t="s">
        <v>2104</v>
      </c>
      <c r="G565" t="s">
        <v>2104</v>
      </c>
      <c r="H565">
        <f t="shared" si="11"/>
        <v>9</v>
      </c>
      <c r="L565" t="s">
        <v>47</v>
      </c>
      <c r="M565" s="1">
        <v>3.3528998494148303E-2</v>
      </c>
      <c r="N565">
        <v>1712.91809082031</v>
      </c>
      <c r="O565">
        <v>571.98</v>
      </c>
      <c r="P565">
        <v>1712.88464355469</v>
      </c>
      <c r="Q565">
        <v>571.96881103515602</v>
      </c>
      <c r="R565">
        <v>3</v>
      </c>
      <c r="S565">
        <v>1</v>
      </c>
      <c r="T565">
        <v>14</v>
      </c>
      <c r="U565">
        <v>28.896820000000002</v>
      </c>
      <c r="V565">
        <v>1276672</v>
      </c>
    </row>
    <row r="566" spans="1:22" x14ac:dyDescent="0.25">
      <c r="A566" t="s">
        <v>3586</v>
      </c>
      <c r="B566" t="s">
        <v>3587</v>
      </c>
      <c r="C566">
        <v>284</v>
      </c>
      <c r="D566">
        <v>99</v>
      </c>
      <c r="E566">
        <v>99</v>
      </c>
      <c r="F566" t="s">
        <v>3588</v>
      </c>
      <c r="G566" t="s">
        <v>3588</v>
      </c>
      <c r="H566">
        <f t="shared" si="11"/>
        <v>9</v>
      </c>
      <c r="M566" s="1">
        <v>2.2734699305146798E-3</v>
      </c>
      <c r="N566">
        <v>2028.87963867188</v>
      </c>
      <c r="O566">
        <v>677.30050000000006</v>
      </c>
      <c r="P566">
        <v>2028.87731933594</v>
      </c>
      <c r="Q566">
        <v>677.29974365234295</v>
      </c>
      <c r="R566">
        <v>3</v>
      </c>
      <c r="S566">
        <v>2</v>
      </c>
      <c r="T566">
        <v>11</v>
      </c>
      <c r="U566">
        <v>35.053620000000002</v>
      </c>
      <c r="V566">
        <v>172807.8</v>
      </c>
    </row>
    <row r="567" spans="1:22" x14ac:dyDescent="0.25">
      <c r="A567" t="s">
        <v>4666</v>
      </c>
      <c r="B567" t="s">
        <v>4667</v>
      </c>
      <c r="C567">
        <v>127</v>
      </c>
      <c r="D567">
        <v>99</v>
      </c>
      <c r="E567">
        <v>99</v>
      </c>
      <c r="F567" t="s">
        <v>4668</v>
      </c>
      <c r="G567" t="s">
        <v>4668</v>
      </c>
      <c r="H567">
        <f t="shared" si="11"/>
        <v>9</v>
      </c>
      <c r="M567" s="1">
        <v>1.66939003975131E-4</v>
      </c>
      <c r="N567">
        <v>958.49865722656205</v>
      </c>
      <c r="O567">
        <v>480.25659999999903</v>
      </c>
      <c r="P567">
        <v>958.49847412109295</v>
      </c>
      <c r="Q567">
        <v>480.25650024414102</v>
      </c>
      <c r="R567">
        <v>2</v>
      </c>
      <c r="S567">
        <v>1</v>
      </c>
      <c r="T567">
        <v>12</v>
      </c>
      <c r="U567">
        <v>22.938469999999899</v>
      </c>
      <c r="V567">
        <v>2230149</v>
      </c>
    </row>
    <row r="568" spans="1:22" x14ac:dyDescent="0.25">
      <c r="A568" t="s">
        <v>1083</v>
      </c>
      <c r="B568" t="s">
        <v>1084</v>
      </c>
      <c r="C568">
        <v>212</v>
      </c>
      <c r="D568">
        <v>98.3</v>
      </c>
      <c r="E568">
        <v>98.27</v>
      </c>
      <c r="F568" t="s">
        <v>1085</v>
      </c>
      <c r="G568" t="s">
        <v>1085</v>
      </c>
      <c r="H568">
        <f t="shared" si="11"/>
        <v>9</v>
      </c>
      <c r="M568" s="1">
        <v>6.7378499079495701E-4</v>
      </c>
      <c r="N568">
        <v>1144.64001464844</v>
      </c>
      <c r="O568">
        <v>573.32730000000004</v>
      </c>
      <c r="P568">
        <v>1144.63928222656</v>
      </c>
      <c r="Q568">
        <v>573.326904296875</v>
      </c>
      <c r="R568">
        <v>2</v>
      </c>
      <c r="S568">
        <v>18</v>
      </c>
      <c r="T568">
        <v>9</v>
      </c>
      <c r="U568">
        <v>51.672519999999899</v>
      </c>
      <c r="V568">
        <v>115336.7</v>
      </c>
    </row>
    <row r="569" spans="1:22" x14ac:dyDescent="0.25">
      <c r="A569" t="s">
        <v>3510</v>
      </c>
      <c r="B569" t="s">
        <v>3511</v>
      </c>
      <c r="C569">
        <v>194</v>
      </c>
      <c r="D569">
        <v>99</v>
      </c>
      <c r="E569">
        <v>99</v>
      </c>
      <c r="F569" t="s">
        <v>3512</v>
      </c>
      <c r="G569" t="s">
        <v>3512</v>
      </c>
      <c r="H569">
        <f t="shared" si="11"/>
        <v>9</v>
      </c>
      <c r="M569" s="1">
        <v>2.9931201133877E-3</v>
      </c>
      <c r="N569">
        <v>1144.64233398438</v>
      </c>
      <c r="O569">
        <v>573.32839999999896</v>
      </c>
      <c r="P569">
        <v>1144.63928222656</v>
      </c>
      <c r="Q569">
        <v>573.326904296875</v>
      </c>
      <c r="R569">
        <v>2</v>
      </c>
      <c r="S569">
        <v>13</v>
      </c>
      <c r="T569">
        <v>10</v>
      </c>
      <c r="U569">
        <v>51.5229</v>
      </c>
      <c r="V569">
        <v>851041.9</v>
      </c>
    </row>
    <row r="570" spans="1:22" x14ac:dyDescent="0.25">
      <c r="A570" t="s">
        <v>1036</v>
      </c>
      <c r="B570" t="s">
        <v>1037</v>
      </c>
      <c r="C570">
        <v>101</v>
      </c>
      <c r="D570">
        <v>99</v>
      </c>
      <c r="E570">
        <v>99</v>
      </c>
      <c r="F570" t="s">
        <v>1038</v>
      </c>
      <c r="G570" t="s">
        <v>1038</v>
      </c>
      <c r="H570">
        <f t="shared" si="11"/>
        <v>9</v>
      </c>
      <c r="M570" s="1">
        <v>3.5032199230045102E-3</v>
      </c>
      <c r="N570">
        <v>1128.70544433594</v>
      </c>
      <c r="O570">
        <v>565.36</v>
      </c>
      <c r="P570">
        <v>1128.70190429688</v>
      </c>
      <c r="Q570">
        <v>565.35821533203102</v>
      </c>
      <c r="R570">
        <v>2</v>
      </c>
      <c r="S570">
        <v>1</v>
      </c>
      <c r="T570">
        <v>12</v>
      </c>
      <c r="U570">
        <v>36.083170000000003</v>
      </c>
      <c r="V570">
        <v>610563.80000000005</v>
      </c>
    </row>
    <row r="571" spans="1:22" x14ac:dyDescent="0.25">
      <c r="A571" t="s">
        <v>684</v>
      </c>
      <c r="B571" t="s">
        <v>685</v>
      </c>
      <c r="C571">
        <v>62</v>
      </c>
      <c r="D571">
        <v>99</v>
      </c>
      <c r="E571">
        <v>99</v>
      </c>
      <c r="F571" t="s">
        <v>686</v>
      </c>
      <c r="G571" t="s">
        <v>686</v>
      </c>
      <c r="H571">
        <f t="shared" si="11"/>
        <v>19</v>
      </c>
      <c r="L571" t="s">
        <v>339</v>
      </c>
      <c r="M571" s="1">
        <v>3.2835700549185302E-3</v>
      </c>
      <c r="N571">
        <v>1117.55493164063</v>
      </c>
      <c r="O571">
        <v>559.78470000000004</v>
      </c>
      <c r="P571">
        <v>1117.55163574219</v>
      </c>
      <c r="Q571">
        <v>559.78308105468705</v>
      </c>
      <c r="R571">
        <v>2</v>
      </c>
      <c r="S571">
        <v>4</v>
      </c>
      <c r="T571">
        <v>14</v>
      </c>
      <c r="U571">
        <v>39.8247199999999</v>
      </c>
      <c r="V571">
        <v>14180140</v>
      </c>
    </row>
    <row r="572" spans="1:22" x14ac:dyDescent="0.25">
      <c r="A572" t="s">
        <v>864</v>
      </c>
      <c r="B572" t="s">
        <v>865</v>
      </c>
      <c r="C572">
        <v>920</v>
      </c>
      <c r="D572">
        <v>99</v>
      </c>
      <c r="E572">
        <v>99</v>
      </c>
      <c r="F572" t="s">
        <v>866</v>
      </c>
      <c r="G572" t="s">
        <v>866</v>
      </c>
      <c r="H572">
        <f t="shared" si="11"/>
        <v>17</v>
      </c>
      <c r="M572" s="1">
        <v>1.7432599561289001E-3</v>
      </c>
      <c r="N572">
        <v>1039.62683105469</v>
      </c>
      <c r="O572">
        <v>520.82069999999896</v>
      </c>
      <c r="P572">
        <v>1039.62512207031</v>
      </c>
      <c r="Q572">
        <v>520.81982421875</v>
      </c>
      <c r="R572">
        <v>2</v>
      </c>
      <c r="S572">
        <v>1</v>
      </c>
      <c r="T572">
        <v>11</v>
      </c>
      <c r="U572">
        <v>25.652570000000001</v>
      </c>
      <c r="V572">
        <v>71795220</v>
      </c>
    </row>
    <row r="573" spans="1:22" x14ac:dyDescent="0.25">
      <c r="A573" t="s">
        <v>4067</v>
      </c>
      <c r="B573" t="s">
        <v>4068</v>
      </c>
      <c r="C573">
        <v>654</v>
      </c>
      <c r="D573">
        <v>97.7</v>
      </c>
      <c r="E573">
        <v>97.7</v>
      </c>
      <c r="F573" t="s">
        <v>4069</v>
      </c>
      <c r="G573" t="s">
        <v>4069</v>
      </c>
      <c r="H573">
        <f t="shared" si="11"/>
        <v>9</v>
      </c>
      <c r="M573" s="1">
        <v>5.11300005018711E-3</v>
      </c>
      <c r="N573">
        <v>1218.66723632813</v>
      </c>
      <c r="O573">
        <v>407.22969999999901</v>
      </c>
      <c r="P573">
        <v>1218.66223144531</v>
      </c>
      <c r="Q573">
        <v>407.22799682617102</v>
      </c>
      <c r="R573">
        <v>3</v>
      </c>
      <c r="S573">
        <v>1</v>
      </c>
      <c r="T573">
        <v>13</v>
      </c>
      <c r="U573">
        <v>27.441379999999899</v>
      </c>
      <c r="V573">
        <v>3110140</v>
      </c>
    </row>
    <row r="574" spans="1:22" x14ac:dyDescent="0.25">
      <c r="A574" t="s">
        <v>4457</v>
      </c>
      <c r="B574" t="s">
        <v>4458</v>
      </c>
      <c r="C574">
        <v>380</v>
      </c>
      <c r="D574">
        <v>98.3</v>
      </c>
      <c r="E574">
        <v>98.29</v>
      </c>
      <c r="F574" t="s">
        <v>4459</v>
      </c>
      <c r="G574" t="s">
        <v>4459</v>
      </c>
      <c r="H574">
        <f t="shared" si="11"/>
        <v>9</v>
      </c>
      <c r="M574" s="1">
        <v>5.3876498714089402E-3</v>
      </c>
      <c r="N574">
        <v>1218.66760253906</v>
      </c>
      <c r="O574">
        <v>407.22980000000001</v>
      </c>
      <c r="P574">
        <v>1218.66223144531</v>
      </c>
      <c r="Q574">
        <v>407.22799682617102</v>
      </c>
      <c r="R574">
        <v>3</v>
      </c>
      <c r="S574">
        <v>1</v>
      </c>
      <c r="T574">
        <v>13</v>
      </c>
      <c r="U574">
        <v>27.4747699999999</v>
      </c>
      <c r="V574">
        <v>1373412</v>
      </c>
    </row>
    <row r="575" spans="1:22" x14ac:dyDescent="0.25">
      <c r="A575" t="s">
        <v>4640</v>
      </c>
      <c r="B575" t="s">
        <v>4641</v>
      </c>
      <c r="C575">
        <v>407</v>
      </c>
      <c r="D575">
        <v>97.3</v>
      </c>
      <c r="E575">
        <v>97.31</v>
      </c>
      <c r="F575" t="s">
        <v>4642</v>
      </c>
      <c r="G575" t="s">
        <v>4642</v>
      </c>
      <c r="H575">
        <f t="shared" si="11"/>
        <v>9</v>
      </c>
      <c r="M575" s="1">
        <v>1.44220003858209E-3</v>
      </c>
      <c r="N575">
        <v>1104.64184570313</v>
      </c>
      <c r="O575">
        <v>553.32820000000004</v>
      </c>
      <c r="P575">
        <v>1104.64038085938</v>
      </c>
      <c r="Q575">
        <v>553.32745361328102</v>
      </c>
      <c r="R575">
        <v>2</v>
      </c>
      <c r="S575">
        <v>4</v>
      </c>
      <c r="T575">
        <v>11</v>
      </c>
      <c r="U575">
        <v>28.84572</v>
      </c>
      <c r="V575">
        <v>520016.5</v>
      </c>
    </row>
    <row r="576" spans="1:22" x14ac:dyDescent="0.25">
      <c r="A576" t="s">
        <v>621</v>
      </c>
      <c r="B576" t="s">
        <v>622</v>
      </c>
      <c r="C576">
        <v>855</v>
      </c>
      <c r="D576">
        <v>98.5</v>
      </c>
      <c r="E576">
        <v>98.47</v>
      </c>
      <c r="F576" t="s">
        <v>623</v>
      </c>
      <c r="G576" t="s">
        <v>623</v>
      </c>
      <c r="H576">
        <f t="shared" si="11"/>
        <v>9</v>
      </c>
      <c r="M576" s="1">
        <v>-5.2825901657342902E-3</v>
      </c>
      <c r="N576">
        <v>1222.68823242188</v>
      </c>
      <c r="O576">
        <v>408.57</v>
      </c>
      <c r="P576">
        <v>1222.69348144531</v>
      </c>
      <c r="Q576">
        <v>408.57177734375</v>
      </c>
      <c r="R576">
        <v>3</v>
      </c>
      <c r="S576">
        <v>1</v>
      </c>
      <c r="T576">
        <v>11</v>
      </c>
      <c r="U576">
        <v>21.593779999999899</v>
      </c>
      <c r="V576">
        <v>625306.30000000005</v>
      </c>
    </row>
    <row r="577" spans="1:22" x14ac:dyDescent="0.25">
      <c r="A577" t="s">
        <v>1757</v>
      </c>
      <c r="B577" t="s">
        <v>1758</v>
      </c>
      <c r="C577">
        <v>669</v>
      </c>
      <c r="D577">
        <v>99</v>
      </c>
      <c r="E577">
        <v>99</v>
      </c>
      <c r="F577" t="s">
        <v>1759</v>
      </c>
      <c r="G577" t="s">
        <v>1759</v>
      </c>
      <c r="H577">
        <f t="shared" si="11"/>
        <v>17</v>
      </c>
      <c r="M577" s="1">
        <v>-5.2825901657342902E-3</v>
      </c>
      <c r="N577">
        <v>1222.68823242188</v>
      </c>
      <c r="O577">
        <v>408.57</v>
      </c>
      <c r="P577">
        <v>1222.69348144531</v>
      </c>
      <c r="Q577">
        <v>408.57177734375</v>
      </c>
      <c r="R577">
        <v>3</v>
      </c>
      <c r="S577">
        <v>2</v>
      </c>
      <c r="T577">
        <v>11</v>
      </c>
      <c r="U577">
        <v>21.53218</v>
      </c>
      <c r="V577">
        <v>764276</v>
      </c>
    </row>
    <row r="578" spans="1:22" x14ac:dyDescent="0.25">
      <c r="A578" t="s">
        <v>55</v>
      </c>
      <c r="B578" t="s">
        <v>56</v>
      </c>
      <c r="C578">
        <v>1201</v>
      </c>
      <c r="D578">
        <v>99</v>
      </c>
      <c r="E578">
        <v>99</v>
      </c>
      <c r="F578" t="s">
        <v>57</v>
      </c>
      <c r="G578" t="s">
        <v>57</v>
      </c>
      <c r="H578">
        <f t="shared" si="11"/>
        <v>9</v>
      </c>
      <c r="M578">
        <v>8.9259999999999999E-3</v>
      </c>
      <c r="N578">
        <v>1632.81970214844</v>
      </c>
      <c r="O578">
        <v>817.4171</v>
      </c>
      <c r="P578">
        <v>1632.81079101563</v>
      </c>
      <c r="Q578">
        <v>817.41265869140602</v>
      </c>
      <c r="R578">
        <v>2</v>
      </c>
      <c r="S578">
        <v>2</v>
      </c>
      <c r="T578">
        <v>11</v>
      </c>
      <c r="U578">
        <v>40.535980000000002</v>
      </c>
      <c r="V578">
        <v>100700.2</v>
      </c>
    </row>
    <row r="579" spans="1:22" x14ac:dyDescent="0.25">
      <c r="A579" t="s">
        <v>55</v>
      </c>
      <c r="B579" t="s">
        <v>56</v>
      </c>
      <c r="C579">
        <v>927</v>
      </c>
      <c r="D579">
        <v>99</v>
      </c>
      <c r="E579">
        <v>99</v>
      </c>
      <c r="F579" t="s">
        <v>4393</v>
      </c>
      <c r="G579" t="s">
        <v>4393</v>
      </c>
      <c r="H579">
        <f t="shared" ref="H579:H642" si="12">LEN(G579)</f>
        <v>16</v>
      </c>
      <c r="M579" s="1">
        <v>9.3125697458162904E-4</v>
      </c>
      <c r="N579">
        <v>1885.94311523438</v>
      </c>
      <c r="O579">
        <v>943.97879999999896</v>
      </c>
      <c r="P579">
        <v>1885.94213867188</v>
      </c>
      <c r="Q579">
        <v>943.97833251953102</v>
      </c>
      <c r="R579">
        <v>2</v>
      </c>
      <c r="S579">
        <v>1</v>
      </c>
      <c r="T579">
        <v>9</v>
      </c>
      <c r="U579">
        <v>55.949379999999898</v>
      </c>
      <c r="V579">
        <v>123455.1</v>
      </c>
    </row>
    <row r="580" spans="1:22" x14ac:dyDescent="0.25">
      <c r="A580" t="s">
        <v>1075</v>
      </c>
      <c r="B580" t="s">
        <v>1076</v>
      </c>
      <c r="C580">
        <v>3770</v>
      </c>
      <c r="D580">
        <v>98.5</v>
      </c>
      <c r="E580">
        <v>98.53</v>
      </c>
      <c r="F580" t="s">
        <v>1077</v>
      </c>
      <c r="G580" t="s">
        <v>1077</v>
      </c>
      <c r="H580">
        <f t="shared" si="12"/>
        <v>9</v>
      </c>
      <c r="M580">
        <v>3.251E-3</v>
      </c>
      <c r="N580">
        <v>1885.94543457031</v>
      </c>
      <c r="O580">
        <v>943.98</v>
      </c>
      <c r="P580">
        <v>1885.94213867188</v>
      </c>
      <c r="Q580">
        <v>943.97833251953102</v>
      </c>
      <c r="R580">
        <v>2</v>
      </c>
      <c r="S580">
        <v>1</v>
      </c>
      <c r="T580">
        <v>9</v>
      </c>
      <c r="U580">
        <v>55.947240000000001</v>
      </c>
      <c r="V580">
        <v>86542.98</v>
      </c>
    </row>
    <row r="581" spans="1:22" x14ac:dyDescent="0.25">
      <c r="A581" t="s">
        <v>3335</v>
      </c>
      <c r="B581" t="s">
        <v>3336</v>
      </c>
      <c r="C581">
        <v>143</v>
      </c>
      <c r="D581">
        <v>99</v>
      </c>
      <c r="E581">
        <v>99</v>
      </c>
      <c r="F581" t="s">
        <v>3337</v>
      </c>
      <c r="G581" t="s">
        <v>3337</v>
      </c>
      <c r="H581">
        <f t="shared" si="12"/>
        <v>9</v>
      </c>
      <c r="M581" s="1">
        <v>2.0264498889446302E-3</v>
      </c>
      <c r="N581">
        <v>1523.71240234375</v>
      </c>
      <c r="O581">
        <v>508.91140000000001</v>
      </c>
      <c r="P581">
        <v>1523.71032714844</v>
      </c>
      <c r="Q581">
        <v>508.91073608398301</v>
      </c>
      <c r="R581">
        <v>3</v>
      </c>
      <c r="S581">
        <v>2</v>
      </c>
      <c r="T581">
        <v>12</v>
      </c>
      <c r="U581">
        <v>28.703029999999899</v>
      </c>
      <c r="V581">
        <v>382915.8</v>
      </c>
    </row>
    <row r="582" spans="1:22" x14ac:dyDescent="0.25">
      <c r="A582" t="s">
        <v>3812</v>
      </c>
      <c r="B582" t="s">
        <v>3813</v>
      </c>
      <c r="C582">
        <v>337</v>
      </c>
      <c r="D582">
        <v>99</v>
      </c>
      <c r="E582">
        <v>99</v>
      </c>
      <c r="F582" t="s">
        <v>3814</v>
      </c>
      <c r="G582" t="s">
        <v>3814</v>
      </c>
      <c r="H582">
        <f t="shared" si="12"/>
        <v>15</v>
      </c>
      <c r="M582" s="1">
        <v>3.49128991365433E-3</v>
      </c>
      <c r="N582">
        <v>1523.7138671875</v>
      </c>
      <c r="O582">
        <v>508.9119</v>
      </c>
      <c r="P582">
        <v>1523.71032714844</v>
      </c>
      <c r="Q582">
        <v>508.91073608398301</v>
      </c>
      <c r="R582">
        <v>3</v>
      </c>
      <c r="S582">
        <v>2</v>
      </c>
      <c r="T582">
        <v>12</v>
      </c>
      <c r="U582">
        <v>28.6229499999999</v>
      </c>
      <c r="V582">
        <v>227500.4</v>
      </c>
    </row>
    <row r="583" spans="1:22" x14ac:dyDescent="0.25">
      <c r="A583" t="s">
        <v>3246</v>
      </c>
      <c r="B583" t="s">
        <v>3247</v>
      </c>
      <c r="C583">
        <v>586</v>
      </c>
      <c r="D583">
        <v>98.4</v>
      </c>
      <c r="E583">
        <v>98.36</v>
      </c>
      <c r="F583" t="s">
        <v>3248</v>
      </c>
      <c r="G583" t="s">
        <v>3248</v>
      </c>
      <c r="H583">
        <f t="shared" si="12"/>
        <v>10</v>
      </c>
      <c r="M583">
        <v>-2.8499999999999999E-4</v>
      </c>
      <c r="N583">
        <v>1189.64526367188</v>
      </c>
      <c r="O583">
        <v>595.82989999999904</v>
      </c>
      <c r="P583">
        <v>1189.6455078125</v>
      </c>
      <c r="Q583">
        <v>595.83001708984295</v>
      </c>
      <c r="R583">
        <v>2</v>
      </c>
      <c r="S583">
        <v>9</v>
      </c>
      <c r="T583">
        <v>14</v>
      </c>
      <c r="U583">
        <v>20.992349999999899</v>
      </c>
      <c r="V583">
        <v>3181480</v>
      </c>
    </row>
    <row r="584" spans="1:22" x14ac:dyDescent="0.25">
      <c r="A584" t="s">
        <v>2588</v>
      </c>
      <c r="B584" t="s">
        <v>2589</v>
      </c>
      <c r="C584">
        <v>99</v>
      </c>
      <c r="D584">
        <v>98.5</v>
      </c>
      <c r="E584">
        <v>98.48</v>
      </c>
      <c r="F584" t="s">
        <v>2590</v>
      </c>
      <c r="G584" t="s">
        <v>2590</v>
      </c>
      <c r="H584">
        <f t="shared" si="12"/>
        <v>9</v>
      </c>
      <c r="L584" t="s">
        <v>397</v>
      </c>
      <c r="M584" s="1">
        <v>4.4193197973072503E-3</v>
      </c>
      <c r="N584">
        <v>1064.62744140625</v>
      </c>
      <c r="O584">
        <v>533.32100000000003</v>
      </c>
      <c r="P584">
        <v>1064.623046875</v>
      </c>
      <c r="Q584">
        <v>533.31878662109295</v>
      </c>
      <c r="R584">
        <v>2</v>
      </c>
      <c r="S584">
        <v>2</v>
      </c>
      <c r="T584">
        <v>14</v>
      </c>
      <c r="U584">
        <v>38.776679999999899</v>
      </c>
      <c r="V584">
        <v>997087.8</v>
      </c>
    </row>
    <row r="585" spans="1:22" x14ac:dyDescent="0.25">
      <c r="A585" t="s">
        <v>3639</v>
      </c>
      <c r="B585" t="s">
        <v>3640</v>
      </c>
      <c r="C585">
        <v>260</v>
      </c>
      <c r="D585">
        <v>98.4</v>
      </c>
      <c r="E585">
        <v>98.42</v>
      </c>
      <c r="F585" t="s">
        <v>3641</v>
      </c>
      <c r="G585" t="s">
        <v>3641</v>
      </c>
      <c r="H585">
        <f t="shared" si="12"/>
        <v>9</v>
      </c>
      <c r="M585" s="1">
        <v>-3.2144701108336401E-3</v>
      </c>
      <c r="N585">
        <v>1189.64233398438</v>
      </c>
      <c r="O585">
        <v>595.82839999999896</v>
      </c>
      <c r="P585">
        <v>1189.6455078125</v>
      </c>
      <c r="Q585">
        <v>595.83001708984295</v>
      </c>
      <c r="R585">
        <v>2</v>
      </c>
      <c r="S585">
        <v>8</v>
      </c>
      <c r="T585">
        <v>14</v>
      </c>
      <c r="U585">
        <v>20.804680000000001</v>
      </c>
      <c r="V585">
        <v>11118460</v>
      </c>
    </row>
    <row r="586" spans="1:22" x14ac:dyDescent="0.25">
      <c r="A586" t="s">
        <v>813</v>
      </c>
      <c r="B586" t="s">
        <v>814</v>
      </c>
      <c r="C586">
        <v>116</v>
      </c>
      <c r="D586">
        <v>98.6</v>
      </c>
      <c r="E586">
        <v>98.59</v>
      </c>
      <c r="F586" t="s">
        <v>815</v>
      </c>
      <c r="G586" t="s">
        <v>815</v>
      </c>
      <c r="H586">
        <f t="shared" si="12"/>
        <v>9</v>
      </c>
      <c r="M586" s="1">
        <v>3.9632301777601103E-3</v>
      </c>
      <c r="N586">
        <v>1272.77062988281</v>
      </c>
      <c r="O586">
        <v>637.39260000000002</v>
      </c>
      <c r="P586">
        <v>1272.7666015625</v>
      </c>
      <c r="Q586">
        <v>637.390625</v>
      </c>
      <c r="R586">
        <v>2</v>
      </c>
      <c r="S586">
        <v>6</v>
      </c>
      <c r="T586">
        <v>13</v>
      </c>
      <c r="U586">
        <v>27.32348</v>
      </c>
      <c r="V586">
        <v>1283309</v>
      </c>
    </row>
    <row r="587" spans="1:22" x14ac:dyDescent="0.25">
      <c r="A587" t="s">
        <v>813</v>
      </c>
      <c r="B587" t="s">
        <v>814</v>
      </c>
      <c r="C587">
        <v>159</v>
      </c>
      <c r="D587">
        <v>99</v>
      </c>
      <c r="E587">
        <v>99</v>
      </c>
      <c r="F587" t="s">
        <v>816</v>
      </c>
      <c r="G587" t="s">
        <v>816</v>
      </c>
      <c r="H587">
        <f t="shared" si="12"/>
        <v>12</v>
      </c>
      <c r="M587" s="1">
        <v>4.1539799422025602E-3</v>
      </c>
      <c r="N587">
        <v>1065.67004394531</v>
      </c>
      <c r="O587">
        <v>533.84230000000002</v>
      </c>
      <c r="P587">
        <v>1065.66589355469</v>
      </c>
      <c r="Q587">
        <v>533.84020996093705</v>
      </c>
      <c r="R587">
        <v>2</v>
      </c>
      <c r="S587">
        <v>7</v>
      </c>
      <c r="T587">
        <v>9</v>
      </c>
      <c r="U587">
        <v>38.500819999999898</v>
      </c>
      <c r="V587">
        <v>393712.9</v>
      </c>
    </row>
    <row r="588" spans="1:22" x14ac:dyDescent="0.25">
      <c r="A588" t="s">
        <v>465</v>
      </c>
      <c r="B588" t="s">
        <v>466</v>
      </c>
      <c r="C588">
        <v>144</v>
      </c>
      <c r="D588">
        <v>98.7</v>
      </c>
      <c r="E588">
        <v>98.65</v>
      </c>
      <c r="F588" t="s">
        <v>467</v>
      </c>
      <c r="G588" t="s">
        <v>467</v>
      </c>
      <c r="H588">
        <f t="shared" si="12"/>
        <v>9</v>
      </c>
      <c r="M588" s="1">
        <v>2.3229198995977601E-3</v>
      </c>
      <c r="N588">
        <v>1065.66821289063</v>
      </c>
      <c r="O588">
        <v>533.84140000000002</v>
      </c>
      <c r="P588">
        <v>1065.66589355469</v>
      </c>
      <c r="Q588">
        <v>533.84020996093705</v>
      </c>
      <c r="R588">
        <v>2</v>
      </c>
      <c r="S588">
        <v>5</v>
      </c>
      <c r="T588">
        <v>11</v>
      </c>
      <c r="U588">
        <v>38.224449999999898</v>
      </c>
      <c r="V588">
        <v>984254.3</v>
      </c>
    </row>
    <row r="589" spans="1:22" x14ac:dyDescent="0.25">
      <c r="A589" t="s">
        <v>4156</v>
      </c>
      <c r="B589" t="s">
        <v>4157</v>
      </c>
      <c r="C589">
        <v>152</v>
      </c>
      <c r="D589">
        <v>99</v>
      </c>
      <c r="E589">
        <v>99</v>
      </c>
      <c r="F589" t="s">
        <v>4158</v>
      </c>
      <c r="G589" t="s">
        <v>4158</v>
      </c>
      <c r="H589">
        <f t="shared" si="12"/>
        <v>10</v>
      </c>
      <c r="M589" s="1">
        <v>1.1257999576628101E-2</v>
      </c>
      <c r="N589">
        <v>1719.83630371094</v>
      </c>
      <c r="O589">
        <v>860.92539999999894</v>
      </c>
      <c r="P589">
        <v>1719.82507324219</v>
      </c>
      <c r="Q589">
        <v>860.91979980468705</v>
      </c>
      <c r="R589">
        <v>2</v>
      </c>
      <c r="S589">
        <v>1</v>
      </c>
      <c r="T589">
        <v>9</v>
      </c>
      <c r="U589">
        <v>39.6275499999999</v>
      </c>
      <c r="V589">
        <v>75911.03</v>
      </c>
    </row>
    <row r="590" spans="1:22" x14ac:dyDescent="0.25">
      <c r="A590" t="s">
        <v>4156</v>
      </c>
      <c r="B590" t="s">
        <v>4157</v>
      </c>
      <c r="C590">
        <v>152</v>
      </c>
      <c r="D590">
        <v>99</v>
      </c>
      <c r="E590">
        <v>99</v>
      </c>
      <c r="F590" t="s">
        <v>4159</v>
      </c>
      <c r="G590" t="s">
        <v>4159</v>
      </c>
      <c r="H590">
        <f t="shared" si="12"/>
        <v>14</v>
      </c>
      <c r="M590" s="1">
        <v>4.6529099345207102E-3</v>
      </c>
      <c r="N590">
        <v>1277.72509765625</v>
      </c>
      <c r="O590">
        <v>639.86980000000005</v>
      </c>
      <c r="P590">
        <v>1277.72045898438</v>
      </c>
      <c r="Q590">
        <v>639.86749267578102</v>
      </c>
      <c r="R590">
        <v>2</v>
      </c>
      <c r="S590">
        <v>1</v>
      </c>
      <c r="T590">
        <v>12</v>
      </c>
      <c r="U590">
        <v>25.923829999999899</v>
      </c>
      <c r="V590">
        <v>1313458</v>
      </c>
    </row>
    <row r="591" spans="1:22" x14ac:dyDescent="0.25">
      <c r="A591" t="s">
        <v>3182</v>
      </c>
      <c r="B591" t="s">
        <v>3183</v>
      </c>
      <c r="C591">
        <v>4275</v>
      </c>
      <c r="D591">
        <v>99</v>
      </c>
      <c r="E591">
        <v>99</v>
      </c>
      <c r="F591" t="s">
        <v>3184</v>
      </c>
      <c r="G591" t="s">
        <v>3184</v>
      </c>
      <c r="H591">
        <f t="shared" si="12"/>
        <v>9</v>
      </c>
      <c r="M591" s="1">
        <v>4.7080698423087501E-3</v>
      </c>
      <c r="N591">
        <v>2055.07958984375</v>
      </c>
      <c r="O591">
        <v>686.03380000000004</v>
      </c>
      <c r="P591">
        <v>2055.07495117188</v>
      </c>
      <c r="Q591">
        <v>686.0322265625</v>
      </c>
      <c r="R591">
        <v>3</v>
      </c>
      <c r="S591">
        <v>1</v>
      </c>
      <c r="T591">
        <v>11</v>
      </c>
      <c r="U591">
        <v>34.054070000000003</v>
      </c>
      <c r="V591">
        <v>224313.5</v>
      </c>
    </row>
    <row r="592" spans="1:22" x14ac:dyDescent="0.25">
      <c r="A592" t="s">
        <v>3182</v>
      </c>
      <c r="B592" t="s">
        <v>3183</v>
      </c>
      <c r="C592">
        <v>2971</v>
      </c>
      <c r="D592">
        <v>98.7</v>
      </c>
      <c r="E592">
        <v>98.7</v>
      </c>
      <c r="F592" t="s">
        <v>3185</v>
      </c>
      <c r="G592" t="s">
        <v>3185</v>
      </c>
      <c r="H592">
        <f t="shared" si="12"/>
        <v>9</v>
      </c>
      <c r="M592">
        <v>4.8910000000000004E-3</v>
      </c>
      <c r="N592">
        <v>2055.07983398438</v>
      </c>
      <c r="O592">
        <v>686.03390000000002</v>
      </c>
      <c r="P592">
        <v>2055.07495117188</v>
      </c>
      <c r="Q592">
        <v>686.0322265625</v>
      </c>
      <c r="R592">
        <v>3</v>
      </c>
      <c r="S592">
        <v>1</v>
      </c>
      <c r="T592">
        <v>12</v>
      </c>
      <c r="U592">
        <v>34.056899999999899</v>
      </c>
      <c r="V592">
        <v>373707.9</v>
      </c>
    </row>
    <row r="593" spans="1:22" x14ac:dyDescent="0.25">
      <c r="A593" t="s">
        <v>3182</v>
      </c>
      <c r="B593" t="s">
        <v>3183</v>
      </c>
      <c r="C593">
        <v>4190</v>
      </c>
      <c r="D593">
        <v>97.3</v>
      </c>
      <c r="E593">
        <v>97.3</v>
      </c>
      <c r="F593" t="s">
        <v>3186</v>
      </c>
      <c r="G593" t="s">
        <v>3186</v>
      </c>
      <c r="H593">
        <f t="shared" si="12"/>
        <v>9</v>
      </c>
      <c r="M593" s="1">
        <v>-3.37277003563941E-3</v>
      </c>
      <c r="N593">
        <v>1169.63842773438</v>
      </c>
      <c r="O593">
        <v>585.82650000000001</v>
      </c>
      <c r="P593">
        <v>1169.64172363281</v>
      </c>
      <c r="Q593">
        <v>585.82818603515602</v>
      </c>
      <c r="R593">
        <v>2</v>
      </c>
      <c r="S593">
        <v>1</v>
      </c>
      <c r="T593">
        <v>12</v>
      </c>
      <c r="U593">
        <v>19.190750000000001</v>
      </c>
      <c r="V593">
        <v>823283.3</v>
      </c>
    </row>
    <row r="594" spans="1:22" x14ac:dyDescent="0.25">
      <c r="A594" t="s">
        <v>1024</v>
      </c>
      <c r="B594" t="s">
        <v>1025</v>
      </c>
      <c r="C594">
        <v>252</v>
      </c>
      <c r="D594">
        <v>99</v>
      </c>
      <c r="E594">
        <v>99</v>
      </c>
      <c r="F594" t="s">
        <v>1026</v>
      </c>
      <c r="G594" t="s">
        <v>1026</v>
      </c>
      <c r="H594">
        <f t="shared" si="12"/>
        <v>9</v>
      </c>
      <c r="M594" s="1">
        <v>-3.7389800418168302E-3</v>
      </c>
      <c r="N594">
        <v>1169.63806152344</v>
      </c>
      <c r="O594">
        <v>585.82629999999904</v>
      </c>
      <c r="P594">
        <v>1169.64172363281</v>
      </c>
      <c r="Q594">
        <v>585.82818603515602</v>
      </c>
      <c r="R594">
        <v>2</v>
      </c>
      <c r="S594">
        <v>1</v>
      </c>
      <c r="T594">
        <v>12</v>
      </c>
      <c r="U594">
        <v>19.170670000000001</v>
      </c>
      <c r="V594">
        <v>3057521</v>
      </c>
    </row>
    <row r="595" spans="1:22" x14ac:dyDescent="0.25">
      <c r="A595" t="s">
        <v>3196</v>
      </c>
      <c r="B595" t="s">
        <v>3197</v>
      </c>
      <c r="C595">
        <v>77</v>
      </c>
      <c r="D595">
        <v>97.5</v>
      </c>
      <c r="E595">
        <v>97.54</v>
      </c>
      <c r="F595" t="s">
        <v>3198</v>
      </c>
      <c r="G595" t="s">
        <v>3198</v>
      </c>
      <c r="H595">
        <f t="shared" si="12"/>
        <v>9</v>
      </c>
      <c r="M595" s="1">
        <v>9.6063700038939704E-4</v>
      </c>
      <c r="N595">
        <v>910.470458984375</v>
      </c>
      <c r="O595">
        <v>456.24250000000001</v>
      </c>
      <c r="P595">
        <v>910.469482421875</v>
      </c>
      <c r="Q595">
        <v>456.24200439453102</v>
      </c>
      <c r="R595">
        <v>2</v>
      </c>
      <c r="S595">
        <v>2</v>
      </c>
      <c r="T595">
        <v>12</v>
      </c>
      <c r="U595">
        <v>29.888300000000001</v>
      </c>
      <c r="V595">
        <v>826628.9</v>
      </c>
    </row>
    <row r="596" spans="1:22" x14ac:dyDescent="0.25">
      <c r="A596" t="s">
        <v>2873</v>
      </c>
      <c r="B596" t="s">
        <v>2874</v>
      </c>
      <c r="C596">
        <v>1685</v>
      </c>
      <c r="D596">
        <v>99</v>
      </c>
      <c r="E596">
        <v>99</v>
      </c>
      <c r="F596" t="s">
        <v>2875</v>
      </c>
      <c r="G596" t="s">
        <v>2875</v>
      </c>
      <c r="H596">
        <f t="shared" si="12"/>
        <v>9</v>
      </c>
      <c r="M596" s="1">
        <v>-1.0535200126469101E-3</v>
      </c>
      <c r="N596">
        <v>910.46844482421795</v>
      </c>
      <c r="O596">
        <v>456.24149999999901</v>
      </c>
      <c r="P596">
        <v>910.469482421875</v>
      </c>
      <c r="Q596">
        <v>456.24200439453102</v>
      </c>
      <c r="R596">
        <v>2</v>
      </c>
      <c r="S596">
        <v>2</v>
      </c>
      <c r="T596">
        <v>10</v>
      </c>
      <c r="U596">
        <v>29.550999999999899</v>
      </c>
      <c r="V596">
        <v>140878.20000000001</v>
      </c>
    </row>
    <row r="597" spans="1:22" x14ac:dyDescent="0.25">
      <c r="A597" t="s">
        <v>3154</v>
      </c>
      <c r="B597" t="s">
        <v>3155</v>
      </c>
      <c r="C597">
        <v>262</v>
      </c>
      <c r="D597">
        <v>99</v>
      </c>
      <c r="E597">
        <v>98.95</v>
      </c>
      <c r="F597" t="s">
        <v>3156</v>
      </c>
      <c r="G597" t="s">
        <v>3156</v>
      </c>
      <c r="H597">
        <f t="shared" si="12"/>
        <v>9</v>
      </c>
      <c r="M597" s="1">
        <v>1.30950997117907E-3</v>
      </c>
      <c r="N597">
        <v>1657.85827636719</v>
      </c>
      <c r="O597">
        <v>553.62670000000003</v>
      </c>
      <c r="P597">
        <v>1657.85693359375</v>
      </c>
      <c r="Q597">
        <v>553.62628173828102</v>
      </c>
      <c r="R597">
        <v>3</v>
      </c>
      <c r="S597">
        <v>1</v>
      </c>
      <c r="T597">
        <v>14</v>
      </c>
      <c r="U597">
        <v>39.19164</v>
      </c>
      <c r="V597">
        <v>422236.2</v>
      </c>
    </row>
    <row r="598" spans="1:22" x14ac:dyDescent="0.25">
      <c r="A598" t="s">
        <v>3154</v>
      </c>
      <c r="B598" t="s">
        <v>3155</v>
      </c>
      <c r="C598">
        <v>665</v>
      </c>
      <c r="D598">
        <v>98.1</v>
      </c>
      <c r="E598">
        <v>98.1</v>
      </c>
      <c r="F598" t="s">
        <v>3157</v>
      </c>
      <c r="G598" t="s">
        <v>3157</v>
      </c>
      <c r="H598">
        <f t="shared" si="12"/>
        <v>9</v>
      </c>
      <c r="M598" s="1">
        <v>-5.7954300427809401E-4</v>
      </c>
      <c r="N598">
        <v>1136.61181640625</v>
      </c>
      <c r="O598">
        <v>379.87790000000001</v>
      </c>
      <c r="P598">
        <v>1136.61242675781</v>
      </c>
      <c r="Q598">
        <v>379.87808227539102</v>
      </c>
      <c r="R598">
        <v>3</v>
      </c>
      <c r="S598">
        <v>3</v>
      </c>
      <c r="T598">
        <v>11</v>
      </c>
      <c r="U598">
        <v>22.0465699999999</v>
      </c>
      <c r="V598">
        <v>6696700</v>
      </c>
    </row>
    <row r="599" spans="1:22" x14ac:dyDescent="0.25">
      <c r="A599" t="s">
        <v>1030</v>
      </c>
      <c r="B599" t="s">
        <v>1031</v>
      </c>
      <c r="C599">
        <v>201</v>
      </c>
      <c r="D599">
        <v>99</v>
      </c>
      <c r="E599">
        <v>99</v>
      </c>
      <c r="F599" t="s">
        <v>1032</v>
      </c>
      <c r="G599" t="s">
        <v>1032</v>
      </c>
      <c r="H599">
        <f t="shared" si="12"/>
        <v>9</v>
      </c>
      <c r="M599" s="1">
        <v>-2.88120005279779E-3</v>
      </c>
      <c r="N599">
        <v>1791.99267578125</v>
      </c>
      <c r="O599">
        <v>897.00360000000001</v>
      </c>
      <c r="P599">
        <v>1791.99548339844</v>
      </c>
      <c r="Q599">
        <v>897.00506591796795</v>
      </c>
      <c r="R599">
        <v>2</v>
      </c>
      <c r="S599">
        <v>7</v>
      </c>
      <c r="T599">
        <v>21</v>
      </c>
      <c r="U599">
        <v>22.40042</v>
      </c>
      <c r="V599">
        <v>1158007</v>
      </c>
    </row>
    <row r="600" spans="1:22" x14ac:dyDescent="0.25">
      <c r="A600" t="s">
        <v>3891</v>
      </c>
      <c r="B600" t="s">
        <v>3892</v>
      </c>
      <c r="C600">
        <v>553</v>
      </c>
      <c r="D600">
        <v>99</v>
      </c>
      <c r="E600">
        <v>99</v>
      </c>
      <c r="F600" t="s">
        <v>358</v>
      </c>
      <c r="G600" t="s">
        <v>358</v>
      </c>
      <c r="H600">
        <f t="shared" si="12"/>
        <v>9</v>
      </c>
      <c r="M600" s="1">
        <v>-2.2231100592762201E-3</v>
      </c>
      <c r="N600">
        <v>1791.99328613281</v>
      </c>
      <c r="O600">
        <v>598.33839999999896</v>
      </c>
      <c r="P600">
        <v>1791.99548339844</v>
      </c>
      <c r="Q600">
        <v>598.339111328125</v>
      </c>
      <c r="R600">
        <v>3</v>
      </c>
      <c r="S600">
        <v>5</v>
      </c>
      <c r="T600">
        <v>16</v>
      </c>
      <c r="U600">
        <v>22.198149999999899</v>
      </c>
      <c r="V600">
        <v>1398046</v>
      </c>
    </row>
    <row r="601" spans="1:22" x14ac:dyDescent="0.25">
      <c r="A601" t="s">
        <v>2925</v>
      </c>
      <c r="B601" t="s">
        <v>2926</v>
      </c>
      <c r="C601">
        <v>661</v>
      </c>
      <c r="D601">
        <v>98.6</v>
      </c>
      <c r="E601">
        <v>98.55</v>
      </c>
      <c r="F601" t="s">
        <v>2927</v>
      </c>
      <c r="G601" t="s">
        <v>2927</v>
      </c>
      <c r="H601">
        <f t="shared" si="12"/>
        <v>9</v>
      </c>
      <c r="M601">
        <v>-2.032E-3</v>
      </c>
      <c r="N601">
        <v>1009.60125732422</v>
      </c>
      <c r="O601">
        <v>505.80790000000002</v>
      </c>
      <c r="P601">
        <v>1009.60327148438</v>
      </c>
      <c r="Q601">
        <v>505.80889892578102</v>
      </c>
      <c r="R601">
        <v>2</v>
      </c>
      <c r="S601">
        <v>6</v>
      </c>
      <c r="T601">
        <v>14</v>
      </c>
      <c r="U601">
        <v>21.99353</v>
      </c>
      <c r="V601">
        <v>3205531</v>
      </c>
    </row>
    <row r="602" spans="1:22" x14ac:dyDescent="0.25">
      <c r="A602" t="s">
        <v>1560</v>
      </c>
      <c r="B602" t="s">
        <v>1561</v>
      </c>
      <c r="C602">
        <v>24</v>
      </c>
      <c r="D602">
        <v>98.9</v>
      </c>
      <c r="E602">
        <v>98.86</v>
      </c>
      <c r="F602" t="s">
        <v>1562</v>
      </c>
      <c r="G602" t="s">
        <v>1562</v>
      </c>
      <c r="H602">
        <f t="shared" si="12"/>
        <v>10</v>
      </c>
      <c r="M602" s="1">
        <v>2.1975499112159001E-3</v>
      </c>
      <c r="N602">
        <v>960.54486083984295</v>
      </c>
      <c r="O602">
        <v>481.27969999999902</v>
      </c>
      <c r="P602">
        <v>960.54266357421795</v>
      </c>
      <c r="Q602">
        <v>481.27859497070301</v>
      </c>
      <c r="R602">
        <v>2</v>
      </c>
      <c r="S602">
        <v>1</v>
      </c>
      <c r="T602">
        <v>13</v>
      </c>
      <c r="U602">
        <v>36.9530999999999</v>
      </c>
      <c r="V602">
        <v>918433.8</v>
      </c>
    </row>
    <row r="603" spans="1:22" x14ac:dyDescent="0.25">
      <c r="A603" t="s">
        <v>1776</v>
      </c>
      <c r="B603" t="s">
        <v>1777</v>
      </c>
      <c r="C603">
        <v>213</v>
      </c>
      <c r="D603">
        <v>99</v>
      </c>
      <c r="E603">
        <v>99</v>
      </c>
      <c r="F603" t="s">
        <v>1778</v>
      </c>
      <c r="G603" t="s">
        <v>1778</v>
      </c>
      <c r="H603">
        <f t="shared" si="12"/>
        <v>13</v>
      </c>
      <c r="M603">
        <v>2.1979999999999999E-3</v>
      </c>
      <c r="N603">
        <v>960.54486083984295</v>
      </c>
      <c r="O603">
        <v>481.27969999999902</v>
      </c>
      <c r="P603">
        <v>960.54266357421795</v>
      </c>
      <c r="Q603">
        <v>481.27859497070301</v>
      </c>
      <c r="R603">
        <v>2</v>
      </c>
      <c r="S603">
        <v>1</v>
      </c>
      <c r="T603">
        <v>12</v>
      </c>
      <c r="U603">
        <v>36.911050000000003</v>
      </c>
      <c r="V603">
        <v>876321.6</v>
      </c>
    </row>
    <row r="604" spans="1:22" x14ac:dyDescent="0.25">
      <c r="A604" t="s">
        <v>1776</v>
      </c>
      <c r="B604" t="s">
        <v>1777</v>
      </c>
      <c r="C604">
        <v>145</v>
      </c>
      <c r="D604">
        <v>99</v>
      </c>
      <c r="E604">
        <v>99</v>
      </c>
      <c r="F604" t="s">
        <v>1779</v>
      </c>
      <c r="G604" t="s">
        <v>1779</v>
      </c>
      <c r="H604">
        <f t="shared" si="12"/>
        <v>13</v>
      </c>
      <c r="M604" s="1">
        <v>3.0632899142801801E-3</v>
      </c>
      <c r="N604">
        <v>960.527099609375</v>
      </c>
      <c r="O604">
        <v>481.27080000000001</v>
      </c>
      <c r="P604">
        <v>960.52398681640602</v>
      </c>
      <c r="Q604">
        <v>481.269287109375</v>
      </c>
      <c r="R604">
        <v>2</v>
      </c>
      <c r="S604">
        <v>2</v>
      </c>
      <c r="T604">
        <v>12</v>
      </c>
      <c r="U604">
        <v>37.346080000000001</v>
      </c>
      <c r="V604">
        <v>452897.1</v>
      </c>
    </row>
    <row r="605" spans="1:22" x14ac:dyDescent="0.25">
      <c r="A605" t="s">
        <v>1776</v>
      </c>
      <c r="B605" t="s">
        <v>1777</v>
      </c>
      <c r="C605">
        <v>2</v>
      </c>
      <c r="D605">
        <v>99</v>
      </c>
      <c r="E605">
        <v>99</v>
      </c>
      <c r="F605" t="s">
        <v>1780</v>
      </c>
      <c r="G605" t="s">
        <v>1780</v>
      </c>
      <c r="H605">
        <f t="shared" si="12"/>
        <v>14</v>
      </c>
      <c r="M605" s="1">
        <v>4.85975004266948E-4</v>
      </c>
      <c r="N605">
        <v>956.50445556640602</v>
      </c>
      <c r="O605">
        <v>479.2595</v>
      </c>
      <c r="P605">
        <v>956.50396728515602</v>
      </c>
      <c r="Q605">
        <v>479.25924682617102</v>
      </c>
      <c r="R605">
        <v>2</v>
      </c>
      <c r="S605">
        <v>1</v>
      </c>
      <c r="T605">
        <v>10</v>
      </c>
      <c r="U605">
        <v>22.662050000000001</v>
      </c>
      <c r="V605">
        <v>452376.8</v>
      </c>
    </row>
    <row r="606" spans="1:22" x14ac:dyDescent="0.25">
      <c r="A606" t="s">
        <v>1776</v>
      </c>
      <c r="B606" t="s">
        <v>1777</v>
      </c>
      <c r="C606">
        <v>2</v>
      </c>
      <c r="D606">
        <v>98.9</v>
      </c>
      <c r="E606">
        <v>98.86</v>
      </c>
      <c r="F606" t="s">
        <v>1781</v>
      </c>
      <c r="G606" t="s">
        <v>1781</v>
      </c>
      <c r="H606">
        <f t="shared" si="12"/>
        <v>16</v>
      </c>
      <c r="M606" s="1">
        <v>2.92737991549075E-3</v>
      </c>
      <c r="N606">
        <v>956.50689697265602</v>
      </c>
      <c r="O606">
        <v>479.26069999999902</v>
      </c>
      <c r="P606">
        <v>956.50396728515602</v>
      </c>
      <c r="Q606">
        <v>479.25924682617102</v>
      </c>
      <c r="R606">
        <v>2</v>
      </c>
      <c r="S606">
        <v>1</v>
      </c>
      <c r="T606">
        <v>10</v>
      </c>
      <c r="U606">
        <v>22.432469999999899</v>
      </c>
      <c r="V606">
        <v>184130.8</v>
      </c>
    </row>
    <row r="607" spans="1:22" x14ac:dyDescent="0.25">
      <c r="A607" t="s">
        <v>1776</v>
      </c>
      <c r="B607" t="s">
        <v>1777</v>
      </c>
      <c r="C607">
        <v>213</v>
      </c>
      <c r="D607">
        <v>98.9</v>
      </c>
      <c r="E607">
        <v>98.9</v>
      </c>
      <c r="F607" t="s">
        <v>1778</v>
      </c>
      <c r="G607" t="s">
        <v>1778</v>
      </c>
      <c r="H607">
        <f t="shared" si="12"/>
        <v>13</v>
      </c>
      <c r="L607" t="s">
        <v>43</v>
      </c>
      <c r="M607" s="1">
        <v>6.8875998258590603E-3</v>
      </c>
      <c r="N607">
        <v>1968.06372070313</v>
      </c>
      <c r="O607">
        <v>657.02850000000001</v>
      </c>
      <c r="P607">
        <v>1968.05676269531</v>
      </c>
      <c r="Q607">
        <v>657.02618408203102</v>
      </c>
      <c r="R607">
        <v>3</v>
      </c>
      <c r="S607">
        <v>1</v>
      </c>
      <c r="T607">
        <v>12</v>
      </c>
      <c r="U607">
        <v>40.201500000000003</v>
      </c>
      <c r="V607">
        <v>250567.4</v>
      </c>
    </row>
    <row r="608" spans="1:22" x14ac:dyDescent="0.25">
      <c r="A608" t="s">
        <v>1811</v>
      </c>
      <c r="B608" t="s">
        <v>1812</v>
      </c>
      <c r="C608">
        <v>45</v>
      </c>
      <c r="D608">
        <v>98.4</v>
      </c>
      <c r="E608">
        <v>98.44</v>
      </c>
      <c r="F608" t="s">
        <v>1813</v>
      </c>
      <c r="G608" t="s">
        <v>1813</v>
      </c>
      <c r="H608">
        <f t="shared" si="12"/>
        <v>9</v>
      </c>
      <c r="M608" s="1">
        <v>4.82475012540817E-3</v>
      </c>
      <c r="N608">
        <v>1020.56524658203</v>
      </c>
      <c r="O608">
        <v>511.28989999999902</v>
      </c>
      <c r="P608">
        <v>1020.56042480469</v>
      </c>
      <c r="Q608">
        <v>511.28747558593801</v>
      </c>
      <c r="R608">
        <v>2</v>
      </c>
      <c r="S608">
        <v>46</v>
      </c>
      <c r="T608">
        <v>14</v>
      </c>
      <c r="U608">
        <v>49.303820000000002</v>
      </c>
      <c r="V608">
        <v>178683600</v>
      </c>
    </row>
    <row r="609" spans="1:22" x14ac:dyDescent="0.25">
      <c r="A609" t="s">
        <v>1811</v>
      </c>
      <c r="B609" t="s">
        <v>1812</v>
      </c>
      <c r="C609">
        <v>2</v>
      </c>
      <c r="D609">
        <v>99</v>
      </c>
      <c r="E609">
        <v>99</v>
      </c>
      <c r="F609" t="s">
        <v>1814</v>
      </c>
      <c r="G609" t="s">
        <v>1814</v>
      </c>
      <c r="H609">
        <f t="shared" si="12"/>
        <v>18</v>
      </c>
      <c r="L609" t="s">
        <v>227</v>
      </c>
      <c r="M609" s="1">
        <v>3.8278501015156399E-3</v>
      </c>
      <c r="N609">
        <v>1065.50170898438</v>
      </c>
      <c r="O609">
        <v>533.75810000000001</v>
      </c>
      <c r="P609">
        <v>1065.49780273438</v>
      </c>
      <c r="Q609">
        <v>533.75622558593705</v>
      </c>
      <c r="R609">
        <v>2</v>
      </c>
      <c r="S609">
        <v>2</v>
      </c>
      <c r="T609">
        <v>12</v>
      </c>
      <c r="U609">
        <v>41.6676</v>
      </c>
      <c r="V609">
        <v>505704.6</v>
      </c>
    </row>
    <row r="610" spans="1:22" x14ac:dyDescent="0.25">
      <c r="A610" t="s">
        <v>449</v>
      </c>
      <c r="B610" t="s">
        <v>450</v>
      </c>
      <c r="C610">
        <v>4</v>
      </c>
      <c r="D610">
        <v>99</v>
      </c>
      <c r="E610">
        <v>99</v>
      </c>
      <c r="F610" t="s">
        <v>519</v>
      </c>
      <c r="G610" t="s">
        <v>519</v>
      </c>
      <c r="H610">
        <f t="shared" si="12"/>
        <v>9</v>
      </c>
      <c r="M610" s="1">
        <v>8.5746898548677499E-4</v>
      </c>
      <c r="N610">
        <v>1020.56127929688</v>
      </c>
      <c r="O610">
        <v>511.28789999999901</v>
      </c>
      <c r="P610">
        <v>1020.56042480469</v>
      </c>
      <c r="Q610">
        <v>511.28747558593801</v>
      </c>
      <c r="R610">
        <v>2</v>
      </c>
      <c r="S610">
        <v>42</v>
      </c>
      <c r="T610">
        <v>13</v>
      </c>
      <c r="U610">
        <v>49.333469999999899</v>
      </c>
      <c r="V610">
        <v>1515566</v>
      </c>
    </row>
    <row r="611" spans="1:22" x14ac:dyDescent="0.25">
      <c r="A611" t="s">
        <v>4185</v>
      </c>
      <c r="B611" t="s">
        <v>4186</v>
      </c>
      <c r="C611">
        <v>535</v>
      </c>
      <c r="D611">
        <v>98.6</v>
      </c>
      <c r="E611">
        <v>98.58</v>
      </c>
      <c r="F611" t="s">
        <v>4187</v>
      </c>
      <c r="G611" t="s">
        <v>4187</v>
      </c>
      <c r="H611">
        <f t="shared" si="12"/>
        <v>9</v>
      </c>
      <c r="L611" t="s">
        <v>116</v>
      </c>
      <c r="M611" s="1">
        <v>-2.6479799300432202E-2</v>
      </c>
      <c r="N611">
        <v>1478.79809570313</v>
      </c>
      <c r="O611">
        <v>740.40629999999896</v>
      </c>
      <c r="P611">
        <v>1478.82458496094</v>
      </c>
      <c r="Q611">
        <v>740.41955566406205</v>
      </c>
      <c r="R611">
        <v>2</v>
      </c>
      <c r="S611">
        <v>1</v>
      </c>
      <c r="T611">
        <v>10</v>
      </c>
      <c r="U611">
        <v>47.06812</v>
      </c>
      <c r="V611">
        <v>102402.5</v>
      </c>
    </row>
    <row r="612" spans="1:22" x14ac:dyDescent="0.25">
      <c r="A612" t="s">
        <v>2183</v>
      </c>
      <c r="B612" t="s">
        <v>2184</v>
      </c>
      <c r="C612">
        <v>76</v>
      </c>
      <c r="D612">
        <v>99</v>
      </c>
      <c r="E612">
        <v>99</v>
      </c>
      <c r="F612" t="s">
        <v>2185</v>
      </c>
      <c r="G612" t="s">
        <v>2185</v>
      </c>
      <c r="H612">
        <f t="shared" si="12"/>
        <v>23</v>
      </c>
      <c r="M612" s="1">
        <v>5.7827401906251803E-3</v>
      </c>
      <c r="N612">
        <v>1133.65026855469</v>
      </c>
      <c r="O612">
        <v>567.83240000000001</v>
      </c>
      <c r="P612">
        <v>1133.64440917969</v>
      </c>
      <c r="Q612">
        <v>567.82952880859295</v>
      </c>
      <c r="R612">
        <v>2</v>
      </c>
      <c r="S612">
        <v>1</v>
      </c>
      <c r="T612">
        <v>13</v>
      </c>
      <c r="U612">
        <v>56.779380000000003</v>
      </c>
      <c r="V612">
        <v>266566.09999999899</v>
      </c>
    </row>
    <row r="613" spans="1:22" x14ac:dyDescent="0.25">
      <c r="A613" t="s">
        <v>3937</v>
      </c>
      <c r="B613" t="s">
        <v>3938</v>
      </c>
      <c r="C613">
        <v>51</v>
      </c>
      <c r="D613">
        <v>99</v>
      </c>
      <c r="E613">
        <v>99</v>
      </c>
      <c r="F613" t="s">
        <v>3939</v>
      </c>
      <c r="G613" t="s">
        <v>3939</v>
      </c>
      <c r="H613">
        <f t="shared" si="12"/>
        <v>16</v>
      </c>
      <c r="M613" s="1">
        <v>5.0304102478548798E-4</v>
      </c>
      <c r="N613">
        <v>944.46087646484295</v>
      </c>
      <c r="O613">
        <v>473.23770000000002</v>
      </c>
      <c r="P613">
        <v>944.46032714843705</v>
      </c>
      <c r="Q613">
        <v>473.23745727539102</v>
      </c>
      <c r="R613">
        <v>2</v>
      </c>
      <c r="S613">
        <v>4</v>
      </c>
      <c r="T613">
        <v>9</v>
      </c>
      <c r="U613">
        <v>27.10108</v>
      </c>
      <c r="V613">
        <v>1055689</v>
      </c>
    </row>
    <row r="614" spans="1:22" x14ac:dyDescent="0.25">
      <c r="A614" t="s">
        <v>1874</v>
      </c>
      <c r="B614" t="s">
        <v>1875</v>
      </c>
      <c r="C614">
        <v>68</v>
      </c>
      <c r="D614">
        <v>99</v>
      </c>
      <c r="E614">
        <v>99</v>
      </c>
      <c r="F614" t="s">
        <v>1876</v>
      </c>
      <c r="G614" t="s">
        <v>1876</v>
      </c>
      <c r="H614">
        <f t="shared" si="12"/>
        <v>18</v>
      </c>
      <c r="M614">
        <v>-1.3079999999999999E-3</v>
      </c>
      <c r="N614">
        <v>1914.83312988281</v>
      </c>
      <c r="O614">
        <v>639.28499999999894</v>
      </c>
      <c r="P614">
        <v>1914.83435058594</v>
      </c>
      <c r="Q614">
        <v>639.285400390625</v>
      </c>
      <c r="R614">
        <v>3</v>
      </c>
      <c r="S614">
        <v>3</v>
      </c>
      <c r="T614">
        <v>16</v>
      </c>
      <c r="U614">
        <v>35.339570000000002</v>
      </c>
      <c r="V614">
        <v>279084.2</v>
      </c>
    </row>
    <row r="615" spans="1:22" x14ac:dyDescent="0.25">
      <c r="A615" t="s">
        <v>1874</v>
      </c>
      <c r="B615" t="s">
        <v>1875</v>
      </c>
      <c r="C615">
        <v>162</v>
      </c>
      <c r="D615">
        <v>99</v>
      </c>
      <c r="E615">
        <v>99</v>
      </c>
      <c r="F615" t="s">
        <v>1877</v>
      </c>
      <c r="G615" t="s">
        <v>1877</v>
      </c>
      <c r="H615">
        <f t="shared" si="12"/>
        <v>18</v>
      </c>
      <c r="M615">
        <v>8.1550000000000008E-3</v>
      </c>
      <c r="N615">
        <v>1784.796875</v>
      </c>
      <c r="O615">
        <v>893.40570000000002</v>
      </c>
      <c r="P615">
        <v>1784.78869628906</v>
      </c>
      <c r="Q615">
        <v>893.401611328125</v>
      </c>
      <c r="R615">
        <v>2</v>
      </c>
      <c r="S615">
        <v>1</v>
      </c>
      <c r="T615">
        <v>10</v>
      </c>
      <c r="U615">
        <v>41.134619999999899</v>
      </c>
      <c r="V615">
        <v>37556.730000000003</v>
      </c>
    </row>
    <row r="616" spans="1:22" x14ac:dyDescent="0.25">
      <c r="A616" t="s">
        <v>1874</v>
      </c>
      <c r="B616" t="s">
        <v>1875</v>
      </c>
      <c r="C616">
        <v>68</v>
      </c>
      <c r="D616">
        <v>99</v>
      </c>
      <c r="E616">
        <v>99</v>
      </c>
      <c r="F616" t="s">
        <v>1878</v>
      </c>
      <c r="G616" t="s">
        <v>1878</v>
      </c>
      <c r="H616">
        <f t="shared" si="12"/>
        <v>19</v>
      </c>
      <c r="M616" s="1">
        <v>1.2549700215458801E-2</v>
      </c>
      <c r="N616">
        <v>1784.80126953125</v>
      </c>
      <c r="O616">
        <v>893.40790000000004</v>
      </c>
      <c r="P616">
        <v>1784.78869628906</v>
      </c>
      <c r="Q616">
        <v>893.401611328125</v>
      </c>
      <c r="R616">
        <v>2</v>
      </c>
      <c r="S616">
        <v>1</v>
      </c>
      <c r="T616">
        <v>9</v>
      </c>
      <c r="U616">
        <v>41.174280000000003</v>
      </c>
      <c r="V616">
        <v>41335.160000000003</v>
      </c>
    </row>
    <row r="617" spans="1:22" x14ac:dyDescent="0.25">
      <c r="A617" t="s">
        <v>560</v>
      </c>
      <c r="B617" t="s">
        <v>561</v>
      </c>
      <c r="C617">
        <v>279</v>
      </c>
      <c r="D617">
        <v>99</v>
      </c>
      <c r="E617">
        <v>98.96</v>
      </c>
      <c r="F617" t="s">
        <v>562</v>
      </c>
      <c r="G617" t="s">
        <v>562</v>
      </c>
      <c r="H617">
        <f t="shared" si="12"/>
        <v>9</v>
      </c>
      <c r="M617" s="1">
        <v>3.0014200601726801E-3</v>
      </c>
      <c r="N617">
        <v>1673.86547851563</v>
      </c>
      <c r="O617">
        <v>837.94</v>
      </c>
      <c r="P617">
        <v>1673.86242675781</v>
      </c>
      <c r="Q617">
        <v>837.9384765625</v>
      </c>
      <c r="R617">
        <v>2</v>
      </c>
      <c r="S617">
        <v>2</v>
      </c>
      <c r="T617">
        <v>10</v>
      </c>
      <c r="U617">
        <v>50.776330000000002</v>
      </c>
      <c r="V617">
        <v>75252.88</v>
      </c>
    </row>
    <row r="618" spans="1:22" x14ac:dyDescent="0.25">
      <c r="A618" t="s">
        <v>1584</v>
      </c>
      <c r="B618" t="s">
        <v>1585</v>
      </c>
      <c r="C618">
        <v>404</v>
      </c>
      <c r="D618">
        <v>99</v>
      </c>
      <c r="E618">
        <v>99</v>
      </c>
      <c r="F618" t="s">
        <v>1586</v>
      </c>
      <c r="G618" t="s">
        <v>1586</v>
      </c>
      <c r="H618">
        <f t="shared" si="12"/>
        <v>9</v>
      </c>
      <c r="M618" s="1">
        <v>2.2532800212502501E-3</v>
      </c>
      <c r="N618">
        <v>902.50305175781205</v>
      </c>
      <c r="O618">
        <v>452.25880000000001</v>
      </c>
      <c r="P618">
        <v>902.50079345703102</v>
      </c>
      <c r="Q618">
        <v>452.25765991210801</v>
      </c>
      <c r="R618">
        <v>2</v>
      </c>
      <c r="S618">
        <v>2</v>
      </c>
      <c r="T618">
        <v>14</v>
      </c>
      <c r="U618">
        <v>40.255470000000003</v>
      </c>
      <c r="V618">
        <v>1170881</v>
      </c>
    </row>
    <row r="619" spans="1:22" x14ac:dyDescent="0.25">
      <c r="A619" t="s">
        <v>1584</v>
      </c>
      <c r="B619" t="s">
        <v>1585</v>
      </c>
      <c r="C619">
        <v>580</v>
      </c>
      <c r="D619">
        <v>99</v>
      </c>
      <c r="E619">
        <v>99</v>
      </c>
      <c r="F619" t="s">
        <v>1587</v>
      </c>
      <c r="G619" t="s">
        <v>1587</v>
      </c>
      <c r="H619">
        <f t="shared" si="12"/>
        <v>13</v>
      </c>
      <c r="M619">
        <v>3.3089999999999999E-3</v>
      </c>
      <c r="N619">
        <v>2069.94750976563</v>
      </c>
      <c r="O619">
        <v>690.98979999999904</v>
      </c>
      <c r="P619">
        <v>2069.9443359375</v>
      </c>
      <c r="Q619">
        <v>690.98870849609295</v>
      </c>
      <c r="R619">
        <v>3</v>
      </c>
      <c r="S619">
        <v>1</v>
      </c>
      <c r="T619">
        <v>13</v>
      </c>
      <c r="U619">
        <v>36.183720000000001</v>
      </c>
      <c r="V619">
        <v>112855.6</v>
      </c>
    </row>
    <row r="620" spans="1:22" x14ac:dyDescent="0.25">
      <c r="A620" t="s">
        <v>2067</v>
      </c>
      <c r="B620" t="s">
        <v>2068</v>
      </c>
      <c r="C620">
        <v>401</v>
      </c>
      <c r="D620">
        <v>99</v>
      </c>
      <c r="E620">
        <v>99</v>
      </c>
      <c r="F620" t="s">
        <v>2069</v>
      </c>
      <c r="G620" t="s">
        <v>2069</v>
      </c>
      <c r="H620">
        <f t="shared" si="12"/>
        <v>14</v>
      </c>
      <c r="M620" s="1">
        <v>5.3234398365020804E-3</v>
      </c>
      <c r="N620">
        <v>2069.94970703125</v>
      </c>
      <c r="O620">
        <v>690.9905</v>
      </c>
      <c r="P620">
        <v>2069.9443359375</v>
      </c>
      <c r="Q620">
        <v>690.98870849609295</v>
      </c>
      <c r="R620">
        <v>3</v>
      </c>
      <c r="S620">
        <v>2</v>
      </c>
      <c r="T620">
        <v>14</v>
      </c>
      <c r="U620">
        <v>36.216520000000003</v>
      </c>
      <c r="V620">
        <v>263510.90000000002</v>
      </c>
    </row>
    <row r="621" spans="1:22" x14ac:dyDescent="0.25">
      <c r="A621" t="s">
        <v>273</v>
      </c>
      <c r="B621" t="s">
        <v>274</v>
      </c>
      <c r="C621">
        <v>156</v>
      </c>
      <c r="D621">
        <v>98.4</v>
      </c>
      <c r="E621">
        <v>98.38</v>
      </c>
      <c r="F621" t="s">
        <v>275</v>
      </c>
      <c r="G621" t="s">
        <v>275</v>
      </c>
      <c r="H621">
        <f t="shared" si="12"/>
        <v>9</v>
      </c>
      <c r="M621">
        <v>4.6020000000000002E-3</v>
      </c>
      <c r="N621">
        <v>1746.73791503906</v>
      </c>
      <c r="O621">
        <v>874.37620000000004</v>
      </c>
      <c r="P621">
        <v>1746.73327636719</v>
      </c>
      <c r="Q621">
        <v>874.37390136718705</v>
      </c>
      <c r="R621">
        <v>2</v>
      </c>
      <c r="S621">
        <v>2</v>
      </c>
      <c r="T621">
        <v>16</v>
      </c>
      <c r="U621">
        <v>34.466520000000003</v>
      </c>
      <c r="V621">
        <v>219317.4</v>
      </c>
    </row>
    <row r="622" spans="1:22" x14ac:dyDescent="0.25">
      <c r="A622" t="s">
        <v>1864</v>
      </c>
      <c r="B622" t="s">
        <v>1865</v>
      </c>
      <c r="C622">
        <v>23</v>
      </c>
      <c r="D622">
        <v>99</v>
      </c>
      <c r="E622">
        <v>99</v>
      </c>
      <c r="F622" t="s">
        <v>1866</v>
      </c>
      <c r="G622" t="s">
        <v>1866</v>
      </c>
      <c r="H622">
        <f t="shared" si="12"/>
        <v>18</v>
      </c>
      <c r="M622" s="1">
        <v>1.1082000564783801E-3</v>
      </c>
      <c r="N622">
        <v>1930.81921386719</v>
      </c>
      <c r="O622">
        <v>966.41690000000006</v>
      </c>
      <c r="P622">
        <v>1930.81811523438</v>
      </c>
      <c r="Q622">
        <v>966.41632080078102</v>
      </c>
      <c r="R622">
        <v>2</v>
      </c>
      <c r="S622">
        <v>1</v>
      </c>
      <c r="T622">
        <v>10</v>
      </c>
      <c r="U622">
        <v>35.860149999999898</v>
      </c>
      <c r="V622">
        <v>148642</v>
      </c>
    </row>
    <row r="623" spans="1:22" x14ac:dyDescent="0.25">
      <c r="A623" t="s">
        <v>1864</v>
      </c>
      <c r="B623" t="s">
        <v>1865</v>
      </c>
      <c r="C623">
        <v>884</v>
      </c>
      <c r="D623">
        <v>99</v>
      </c>
      <c r="E623">
        <v>99</v>
      </c>
      <c r="F623" t="s">
        <v>1867</v>
      </c>
      <c r="G623" t="s">
        <v>1867</v>
      </c>
      <c r="H623">
        <f t="shared" si="12"/>
        <v>15</v>
      </c>
      <c r="M623">
        <v>-5.5400000000000002E-4</v>
      </c>
      <c r="N623">
        <v>914.500244140625</v>
      </c>
      <c r="O623">
        <v>458.25740000000002</v>
      </c>
      <c r="P623">
        <v>914.50079345703102</v>
      </c>
      <c r="Q623">
        <v>458.25765991210801</v>
      </c>
      <c r="R623">
        <v>2</v>
      </c>
      <c r="S623">
        <v>1</v>
      </c>
      <c r="T623">
        <v>12</v>
      </c>
      <c r="U623">
        <v>35.399470000000001</v>
      </c>
      <c r="V623">
        <v>289782.3</v>
      </c>
    </row>
    <row r="624" spans="1:22" x14ac:dyDescent="0.25">
      <c r="A624" t="s">
        <v>1864</v>
      </c>
      <c r="B624" t="s">
        <v>1865</v>
      </c>
      <c r="C624">
        <v>678</v>
      </c>
      <c r="D624">
        <v>99</v>
      </c>
      <c r="E624">
        <v>99</v>
      </c>
      <c r="F624" t="s">
        <v>1868</v>
      </c>
      <c r="G624" t="s">
        <v>1868</v>
      </c>
      <c r="H624">
        <f t="shared" si="12"/>
        <v>17</v>
      </c>
      <c r="M624" s="1">
        <v>1.58191996160895E-3</v>
      </c>
      <c r="N624">
        <v>980.51947021484295</v>
      </c>
      <c r="O624">
        <v>491.267</v>
      </c>
      <c r="P624">
        <v>980.51788330078102</v>
      </c>
      <c r="Q624">
        <v>491.26620483398301</v>
      </c>
      <c r="R624">
        <v>2</v>
      </c>
      <c r="S624">
        <v>2</v>
      </c>
      <c r="T624">
        <v>12</v>
      </c>
      <c r="U624">
        <v>37.961480000000002</v>
      </c>
      <c r="V624">
        <v>346535.9</v>
      </c>
    </row>
    <row r="625" spans="1:22" x14ac:dyDescent="0.25">
      <c r="A625" t="s">
        <v>1864</v>
      </c>
      <c r="B625" t="s">
        <v>1865</v>
      </c>
      <c r="C625">
        <v>137</v>
      </c>
      <c r="D625">
        <v>99</v>
      </c>
      <c r="E625">
        <v>98.98</v>
      </c>
      <c r="F625" t="s">
        <v>1869</v>
      </c>
      <c r="G625" t="s">
        <v>1869</v>
      </c>
      <c r="H625">
        <f t="shared" si="12"/>
        <v>15</v>
      </c>
      <c r="M625" s="1">
        <v>2.00915988534688E-3</v>
      </c>
      <c r="N625">
        <v>980.51989746093705</v>
      </c>
      <c r="O625">
        <v>491.2672</v>
      </c>
      <c r="P625">
        <v>980.51788330078102</v>
      </c>
      <c r="Q625">
        <v>491.26620483398301</v>
      </c>
      <c r="R625">
        <v>2</v>
      </c>
      <c r="S625">
        <v>3</v>
      </c>
      <c r="T625">
        <v>11</v>
      </c>
      <c r="U625">
        <v>37.9945799999999</v>
      </c>
      <c r="V625">
        <v>230009.3</v>
      </c>
    </row>
    <row r="626" spans="1:22" x14ac:dyDescent="0.25">
      <c r="A626" t="s">
        <v>1864</v>
      </c>
      <c r="B626" t="s">
        <v>1865</v>
      </c>
      <c r="C626">
        <v>23</v>
      </c>
      <c r="D626">
        <v>99</v>
      </c>
      <c r="E626">
        <v>99</v>
      </c>
      <c r="F626" t="s">
        <v>1870</v>
      </c>
      <c r="G626" t="s">
        <v>1870</v>
      </c>
      <c r="H626">
        <f t="shared" si="12"/>
        <v>21</v>
      </c>
      <c r="L626" t="s">
        <v>133</v>
      </c>
      <c r="M626" s="1">
        <v>1.9862500485032801E-3</v>
      </c>
      <c r="N626">
        <v>1619.8076171875</v>
      </c>
      <c r="O626">
        <v>810.91110000000003</v>
      </c>
      <c r="P626">
        <v>1619.8056640625</v>
      </c>
      <c r="Q626">
        <v>810.91009521484295</v>
      </c>
      <c r="R626">
        <v>2</v>
      </c>
      <c r="S626">
        <v>1</v>
      </c>
      <c r="T626">
        <v>13</v>
      </c>
      <c r="U626">
        <v>43.92295</v>
      </c>
      <c r="V626">
        <v>153860.1</v>
      </c>
    </row>
    <row r="627" spans="1:22" x14ac:dyDescent="0.25">
      <c r="A627" t="s">
        <v>2683</v>
      </c>
      <c r="B627" t="s">
        <v>2684</v>
      </c>
      <c r="C627">
        <v>678</v>
      </c>
      <c r="D627">
        <v>99</v>
      </c>
      <c r="E627">
        <v>99</v>
      </c>
      <c r="F627" t="s">
        <v>2685</v>
      </c>
      <c r="G627" t="s">
        <v>2685</v>
      </c>
      <c r="H627">
        <f t="shared" si="12"/>
        <v>11</v>
      </c>
      <c r="M627" s="1">
        <v>8.0228103324770806E-3</v>
      </c>
      <c r="N627">
        <v>1683.89123535156</v>
      </c>
      <c r="O627">
        <v>842.9529</v>
      </c>
      <c r="P627">
        <v>1683.88317871094</v>
      </c>
      <c r="Q627">
        <v>842.94885253906205</v>
      </c>
      <c r="R627">
        <v>2</v>
      </c>
      <c r="S627">
        <v>2</v>
      </c>
      <c r="T627">
        <v>18</v>
      </c>
      <c r="U627">
        <v>29.107119999999899</v>
      </c>
      <c r="V627">
        <v>374079</v>
      </c>
    </row>
    <row r="628" spans="1:22" x14ac:dyDescent="0.25">
      <c r="A628" t="s">
        <v>3815</v>
      </c>
      <c r="B628" t="s">
        <v>3816</v>
      </c>
      <c r="C628">
        <v>75</v>
      </c>
      <c r="D628">
        <v>97.2</v>
      </c>
      <c r="E628">
        <v>97.17</v>
      </c>
      <c r="F628" t="s">
        <v>3817</v>
      </c>
      <c r="G628" t="s">
        <v>3817</v>
      </c>
      <c r="H628">
        <f t="shared" si="12"/>
        <v>9</v>
      </c>
      <c r="M628">
        <v>8.0230000000000006E-3</v>
      </c>
      <c r="N628">
        <v>1683.89123535156</v>
      </c>
      <c r="O628">
        <v>842.9529</v>
      </c>
      <c r="P628">
        <v>1683.88317871094</v>
      </c>
      <c r="Q628">
        <v>842.94885253906205</v>
      </c>
      <c r="R628">
        <v>2</v>
      </c>
      <c r="S628">
        <v>2</v>
      </c>
      <c r="T628">
        <v>21</v>
      </c>
      <c r="U628">
        <v>29.128070000000001</v>
      </c>
      <c r="V628">
        <v>463353.2</v>
      </c>
    </row>
    <row r="629" spans="1:22" x14ac:dyDescent="0.25">
      <c r="A629" t="s">
        <v>3303</v>
      </c>
      <c r="B629" t="s">
        <v>3304</v>
      </c>
      <c r="C629">
        <v>18</v>
      </c>
      <c r="D629">
        <v>99</v>
      </c>
      <c r="E629">
        <v>99</v>
      </c>
      <c r="F629" t="s">
        <v>3305</v>
      </c>
      <c r="G629" t="s">
        <v>3305</v>
      </c>
      <c r="H629">
        <f t="shared" si="12"/>
        <v>9</v>
      </c>
      <c r="M629" s="1">
        <v>-1.00158003624528E-3</v>
      </c>
      <c r="N629">
        <v>1070.58630371094</v>
      </c>
      <c r="O629">
        <v>536.30039999999894</v>
      </c>
      <c r="P629">
        <v>1070.58728027344</v>
      </c>
      <c r="Q629">
        <v>536.30090332031205</v>
      </c>
      <c r="R629">
        <v>2</v>
      </c>
      <c r="S629">
        <v>3</v>
      </c>
      <c r="T629">
        <v>11</v>
      </c>
      <c r="U629">
        <v>19.6051199999999</v>
      </c>
      <c r="V629">
        <v>1130750</v>
      </c>
    </row>
    <row r="630" spans="1:22" x14ac:dyDescent="0.25">
      <c r="A630" t="s">
        <v>4379</v>
      </c>
      <c r="B630" t="s">
        <v>4380</v>
      </c>
      <c r="C630">
        <v>138</v>
      </c>
      <c r="D630">
        <v>99</v>
      </c>
      <c r="E630">
        <v>99</v>
      </c>
      <c r="F630" t="s">
        <v>4381</v>
      </c>
      <c r="G630" t="s">
        <v>4381</v>
      </c>
      <c r="H630">
        <f t="shared" si="12"/>
        <v>9</v>
      </c>
      <c r="M630" s="1">
        <v>-4.5893602073192501E-3</v>
      </c>
      <c r="N630">
        <v>1070.58264160156</v>
      </c>
      <c r="O630">
        <v>1071.5899999999899</v>
      </c>
      <c r="P630">
        <v>1070.58728027344</v>
      </c>
      <c r="Q630">
        <v>1071.59460449219</v>
      </c>
      <c r="R630">
        <v>1</v>
      </c>
      <c r="S630">
        <v>14</v>
      </c>
      <c r="T630">
        <v>13</v>
      </c>
      <c r="U630">
        <v>19.711600000000001</v>
      </c>
      <c r="V630">
        <v>5509147</v>
      </c>
    </row>
    <row r="631" spans="1:22" x14ac:dyDescent="0.25">
      <c r="A631" t="s">
        <v>4011</v>
      </c>
      <c r="B631" t="s">
        <v>4012</v>
      </c>
      <c r="C631">
        <v>9</v>
      </c>
      <c r="D631">
        <v>99</v>
      </c>
      <c r="E631">
        <v>99</v>
      </c>
      <c r="F631" t="s">
        <v>4013</v>
      </c>
      <c r="G631" t="s">
        <v>4013</v>
      </c>
      <c r="H631">
        <f t="shared" si="12"/>
        <v>16</v>
      </c>
      <c r="M631">
        <v>7.6000000000000004E-4</v>
      </c>
      <c r="N631">
        <v>1326.62121582031</v>
      </c>
      <c r="O631">
        <v>664.31790000000001</v>
      </c>
      <c r="P631">
        <v>1326.62048339844</v>
      </c>
      <c r="Q631">
        <v>664.31750488281205</v>
      </c>
      <c r="R631">
        <v>2</v>
      </c>
      <c r="S631">
        <v>1</v>
      </c>
      <c r="T631">
        <v>10</v>
      </c>
      <c r="U631">
        <v>25.15448</v>
      </c>
      <c r="V631">
        <v>126095.8</v>
      </c>
    </row>
    <row r="632" spans="1:22" x14ac:dyDescent="0.25">
      <c r="A632" t="s">
        <v>257</v>
      </c>
      <c r="B632" t="s">
        <v>258</v>
      </c>
      <c r="C632">
        <v>427</v>
      </c>
      <c r="D632">
        <v>99</v>
      </c>
      <c r="E632">
        <v>99</v>
      </c>
      <c r="F632" t="s">
        <v>259</v>
      </c>
      <c r="G632" t="s">
        <v>259</v>
      </c>
      <c r="H632">
        <f t="shared" si="12"/>
        <v>9</v>
      </c>
      <c r="M632" s="1">
        <v>8.6567597463726893E-3</v>
      </c>
      <c r="N632">
        <v>2022.98327636719</v>
      </c>
      <c r="O632">
        <v>675.33500000000004</v>
      </c>
      <c r="P632">
        <v>2022.974609375</v>
      </c>
      <c r="Q632">
        <v>675.33215332031205</v>
      </c>
      <c r="R632">
        <v>3</v>
      </c>
      <c r="S632">
        <v>2</v>
      </c>
      <c r="T632">
        <v>14</v>
      </c>
      <c r="U632">
        <v>38.598230000000001</v>
      </c>
      <c r="V632">
        <v>283381.3</v>
      </c>
    </row>
    <row r="633" spans="1:22" x14ac:dyDescent="0.25">
      <c r="A633" t="s">
        <v>635</v>
      </c>
      <c r="B633" t="s">
        <v>636</v>
      </c>
      <c r="C633">
        <v>47</v>
      </c>
      <c r="D633">
        <v>99</v>
      </c>
      <c r="E633">
        <v>99</v>
      </c>
      <c r="F633" t="s">
        <v>637</v>
      </c>
      <c r="G633" t="s">
        <v>637</v>
      </c>
      <c r="H633">
        <f t="shared" si="12"/>
        <v>9</v>
      </c>
      <c r="M633" s="1">
        <v>5.7292100973427198E-4</v>
      </c>
      <c r="N633">
        <v>1035.59704589844</v>
      </c>
      <c r="O633">
        <v>518.80579999999895</v>
      </c>
      <c r="P633">
        <v>1035.59643554688</v>
      </c>
      <c r="Q633">
        <v>518.80548095703102</v>
      </c>
      <c r="R633">
        <v>2</v>
      </c>
      <c r="S633">
        <v>1</v>
      </c>
      <c r="T633">
        <v>12</v>
      </c>
      <c r="U633">
        <v>35.723419999999898</v>
      </c>
      <c r="V633">
        <v>6705095</v>
      </c>
    </row>
    <row r="634" spans="1:22" x14ac:dyDescent="0.25">
      <c r="A634" t="s">
        <v>2442</v>
      </c>
      <c r="B634" t="s">
        <v>2443</v>
      </c>
      <c r="C634">
        <v>92</v>
      </c>
      <c r="D634">
        <v>97.1</v>
      </c>
      <c r="E634">
        <v>97.12</v>
      </c>
      <c r="F634" t="s">
        <v>2444</v>
      </c>
      <c r="G634" t="s">
        <v>2444</v>
      </c>
      <c r="H634">
        <f t="shared" si="12"/>
        <v>9</v>
      </c>
      <c r="M634" s="1">
        <v>-7.6949800131842505E-4</v>
      </c>
      <c r="N634">
        <v>1681.96069335938</v>
      </c>
      <c r="O634">
        <v>841.98760000000004</v>
      </c>
      <c r="P634">
        <v>1681.96142578125</v>
      </c>
      <c r="Q634">
        <v>841.98797607421795</v>
      </c>
      <c r="R634">
        <v>2</v>
      </c>
      <c r="S634">
        <v>1</v>
      </c>
      <c r="T634">
        <v>11</v>
      </c>
      <c r="U634">
        <v>36.748719999999899</v>
      </c>
      <c r="V634">
        <v>165302.20000000001</v>
      </c>
    </row>
    <row r="635" spans="1:22" x14ac:dyDescent="0.25">
      <c r="A635" t="s">
        <v>1596</v>
      </c>
      <c r="B635" t="s">
        <v>1597</v>
      </c>
      <c r="C635">
        <v>151</v>
      </c>
      <c r="D635">
        <v>99</v>
      </c>
      <c r="E635">
        <v>99</v>
      </c>
      <c r="F635" t="s">
        <v>1598</v>
      </c>
      <c r="G635" t="s">
        <v>1598</v>
      </c>
      <c r="H635">
        <f t="shared" si="12"/>
        <v>13</v>
      </c>
      <c r="M635" s="1">
        <v>1.02348998188972E-3</v>
      </c>
      <c r="N635">
        <v>1026.61962890625</v>
      </c>
      <c r="O635">
        <v>514.31709999999896</v>
      </c>
      <c r="P635">
        <v>1026.61853027344</v>
      </c>
      <c r="Q635">
        <v>514.31658935546795</v>
      </c>
      <c r="R635">
        <v>2</v>
      </c>
      <c r="S635">
        <v>3</v>
      </c>
      <c r="T635">
        <v>10</v>
      </c>
      <c r="U635">
        <v>48.368470000000002</v>
      </c>
      <c r="V635">
        <v>153479.799999999</v>
      </c>
    </row>
    <row r="636" spans="1:22" x14ac:dyDescent="0.25">
      <c r="A636" t="s">
        <v>2439</v>
      </c>
      <c r="B636" t="s">
        <v>2440</v>
      </c>
      <c r="C636">
        <v>197</v>
      </c>
      <c r="D636">
        <v>99</v>
      </c>
      <c r="E636">
        <v>99</v>
      </c>
      <c r="F636" t="s">
        <v>2441</v>
      </c>
      <c r="G636" t="s">
        <v>2441</v>
      </c>
      <c r="H636">
        <f t="shared" si="12"/>
        <v>9</v>
      </c>
      <c r="M636" s="1">
        <v>7.3119401931762704E-3</v>
      </c>
      <c r="N636">
        <v>2070.06079101563</v>
      </c>
      <c r="O636">
        <v>691.02750000000003</v>
      </c>
      <c r="P636">
        <v>2070.05346679688</v>
      </c>
      <c r="Q636">
        <v>691.02508544921795</v>
      </c>
      <c r="R636">
        <v>3</v>
      </c>
      <c r="S636">
        <v>1</v>
      </c>
      <c r="T636">
        <v>12</v>
      </c>
      <c r="U636">
        <v>35.175620000000002</v>
      </c>
      <c r="V636">
        <v>157503.70000000001</v>
      </c>
    </row>
    <row r="637" spans="1:22" x14ac:dyDescent="0.25">
      <c r="A637" t="s">
        <v>29</v>
      </c>
      <c r="B637" t="s">
        <v>30</v>
      </c>
      <c r="C637">
        <v>174</v>
      </c>
      <c r="D637">
        <v>98</v>
      </c>
      <c r="E637">
        <v>98.01</v>
      </c>
      <c r="F637" t="s">
        <v>31</v>
      </c>
      <c r="G637" t="s">
        <v>31</v>
      </c>
      <c r="H637">
        <f t="shared" si="12"/>
        <v>10</v>
      </c>
      <c r="M637" s="1">
        <v>1.39029999263585E-3</v>
      </c>
      <c r="N637">
        <v>1016.52648925781</v>
      </c>
      <c r="O637">
        <v>509.27050000000003</v>
      </c>
      <c r="P637">
        <v>1016.52508544922</v>
      </c>
      <c r="Q637">
        <v>509.26980590820301</v>
      </c>
      <c r="R637">
        <v>2</v>
      </c>
      <c r="S637">
        <v>4</v>
      </c>
      <c r="T637">
        <v>12</v>
      </c>
      <c r="U637">
        <v>27.91893</v>
      </c>
      <c r="V637">
        <v>41242460</v>
      </c>
    </row>
    <row r="638" spans="1:22" x14ac:dyDescent="0.25">
      <c r="A638" t="s">
        <v>3968</v>
      </c>
      <c r="B638" t="s">
        <v>3969</v>
      </c>
      <c r="C638">
        <v>181</v>
      </c>
      <c r="D638">
        <v>97.4</v>
      </c>
      <c r="E638">
        <v>97.37</v>
      </c>
      <c r="F638" t="s">
        <v>3970</v>
      </c>
      <c r="G638" t="s">
        <v>3970</v>
      </c>
      <c r="H638">
        <f t="shared" si="12"/>
        <v>8</v>
      </c>
      <c r="M638">
        <v>-1.4E-5</v>
      </c>
      <c r="N638">
        <v>1016.52508544922</v>
      </c>
      <c r="O638">
        <v>509.26979999999901</v>
      </c>
      <c r="P638">
        <v>1016.52508544922</v>
      </c>
      <c r="Q638">
        <v>509.26980590820301</v>
      </c>
      <c r="R638">
        <v>2</v>
      </c>
      <c r="S638">
        <v>5</v>
      </c>
      <c r="T638">
        <v>13</v>
      </c>
      <c r="U638">
        <v>27.734079999999899</v>
      </c>
      <c r="V638">
        <v>961661.4</v>
      </c>
    </row>
    <row r="639" spans="1:22" x14ac:dyDescent="0.25">
      <c r="A639" t="s">
        <v>4347</v>
      </c>
      <c r="B639" t="s">
        <v>4348</v>
      </c>
      <c r="C639">
        <v>208</v>
      </c>
      <c r="D639">
        <v>99</v>
      </c>
      <c r="E639">
        <v>99</v>
      </c>
      <c r="F639" t="s">
        <v>4349</v>
      </c>
      <c r="G639" t="s">
        <v>4349</v>
      </c>
      <c r="H639">
        <f t="shared" si="12"/>
        <v>8</v>
      </c>
      <c r="M639" s="1">
        <v>-6.8028401583433203E-3</v>
      </c>
      <c r="N639">
        <v>1769.03833007813</v>
      </c>
      <c r="O639">
        <v>885.52639999999894</v>
      </c>
      <c r="P639">
        <v>1769.04516601563</v>
      </c>
      <c r="Q639">
        <v>885.52984619140602</v>
      </c>
      <c r="R639">
        <v>2</v>
      </c>
      <c r="S639">
        <v>1</v>
      </c>
      <c r="T639">
        <v>11</v>
      </c>
      <c r="U639">
        <v>50.38758</v>
      </c>
      <c r="V639">
        <v>47745.46</v>
      </c>
    </row>
    <row r="640" spans="1:22" x14ac:dyDescent="0.25">
      <c r="A640" t="s">
        <v>4033</v>
      </c>
      <c r="B640" t="s">
        <v>4034</v>
      </c>
      <c r="C640">
        <v>321</v>
      </c>
      <c r="D640">
        <v>99</v>
      </c>
      <c r="E640">
        <v>99</v>
      </c>
      <c r="F640" t="s">
        <v>4035</v>
      </c>
      <c r="G640" t="s">
        <v>4035</v>
      </c>
      <c r="H640">
        <f t="shared" si="12"/>
        <v>9</v>
      </c>
      <c r="M640" s="1">
        <v>3.7022999022156E-3</v>
      </c>
      <c r="N640">
        <v>1404.78747558594</v>
      </c>
      <c r="O640">
        <v>703.40099999999904</v>
      </c>
      <c r="P640">
        <v>1404.78369140625</v>
      </c>
      <c r="Q640">
        <v>703.399169921875</v>
      </c>
      <c r="R640">
        <v>2</v>
      </c>
      <c r="S640">
        <v>4</v>
      </c>
      <c r="T640">
        <v>15</v>
      </c>
      <c r="U640">
        <v>24.18798</v>
      </c>
      <c r="V640">
        <v>668115.1</v>
      </c>
    </row>
    <row r="641" spans="1:22" x14ac:dyDescent="0.25">
      <c r="A641" t="s">
        <v>2833</v>
      </c>
      <c r="B641" t="s">
        <v>2834</v>
      </c>
      <c r="C641">
        <v>519</v>
      </c>
      <c r="D641">
        <v>99</v>
      </c>
      <c r="E641">
        <v>99</v>
      </c>
      <c r="F641" t="s">
        <v>2835</v>
      </c>
      <c r="G641" t="s">
        <v>2835</v>
      </c>
      <c r="H641">
        <f t="shared" si="12"/>
        <v>16</v>
      </c>
      <c r="M641" s="1">
        <v>3.4581599757075301E-3</v>
      </c>
      <c r="N641">
        <v>1404.78723144531</v>
      </c>
      <c r="O641">
        <v>703.40089999999896</v>
      </c>
      <c r="P641">
        <v>1404.78369140625</v>
      </c>
      <c r="Q641">
        <v>703.399169921875</v>
      </c>
      <c r="R641">
        <v>2</v>
      </c>
      <c r="S641">
        <v>3</v>
      </c>
      <c r="T641">
        <v>16</v>
      </c>
      <c r="U641">
        <v>24.152270000000001</v>
      </c>
      <c r="V641">
        <v>600096.6</v>
      </c>
    </row>
    <row r="642" spans="1:22" x14ac:dyDescent="0.25">
      <c r="A642" t="s">
        <v>3909</v>
      </c>
      <c r="B642" t="s">
        <v>3910</v>
      </c>
      <c r="C642">
        <v>88</v>
      </c>
      <c r="D642">
        <v>99</v>
      </c>
      <c r="E642">
        <v>99</v>
      </c>
      <c r="F642" t="s">
        <v>3911</v>
      </c>
      <c r="G642" t="s">
        <v>3911</v>
      </c>
      <c r="H642">
        <f t="shared" si="12"/>
        <v>9</v>
      </c>
      <c r="M642" s="1">
        <v>6.8475501611828804E-3</v>
      </c>
      <c r="N642">
        <v>1916.93371582031</v>
      </c>
      <c r="O642">
        <v>959.47410000000002</v>
      </c>
      <c r="P642">
        <v>1916.92687988281</v>
      </c>
      <c r="Q642">
        <v>959.470703125</v>
      </c>
      <c r="R642">
        <v>2</v>
      </c>
      <c r="S642">
        <v>4</v>
      </c>
      <c r="T642">
        <v>18</v>
      </c>
      <c r="U642">
        <v>38.550220000000003</v>
      </c>
      <c r="V642">
        <v>208811</v>
      </c>
    </row>
    <row r="643" spans="1:22" x14ac:dyDescent="0.25">
      <c r="A643" t="s">
        <v>3301</v>
      </c>
      <c r="B643" t="s">
        <v>3302</v>
      </c>
      <c r="C643">
        <v>248</v>
      </c>
      <c r="D643">
        <v>99</v>
      </c>
      <c r="E643">
        <v>99</v>
      </c>
      <c r="F643" t="s">
        <v>420</v>
      </c>
      <c r="G643" t="s">
        <v>420</v>
      </c>
      <c r="H643">
        <f t="shared" ref="H643:H706" si="13">LEN(G643)</f>
        <v>9</v>
      </c>
      <c r="M643" s="1">
        <v>8.1903198733925802E-3</v>
      </c>
      <c r="N643">
        <v>1916.93505859375</v>
      </c>
      <c r="O643">
        <v>959.47479999999905</v>
      </c>
      <c r="P643">
        <v>1916.92687988281</v>
      </c>
      <c r="Q643">
        <v>959.470703125</v>
      </c>
      <c r="R643">
        <v>2</v>
      </c>
      <c r="S643">
        <v>4</v>
      </c>
      <c r="T643">
        <v>20</v>
      </c>
      <c r="U643">
        <v>38.5254499999999</v>
      </c>
      <c r="V643">
        <v>263743</v>
      </c>
    </row>
    <row r="644" spans="1:22" x14ac:dyDescent="0.25">
      <c r="A644" t="s">
        <v>3735</v>
      </c>
      <c r="B644" t="s">
        <v>3736</v>
      </c>
      <c r="C644">
        <v>257</v>
      </c>
      <c r="D644">
        <v>99</v>
      </c>
      <c r="E644">
        <v>99</v>
      </c>
      <c r="F644" t="s">
        <v>3737</v>
      </c>
      <c r="G644" t="s">
        <v>3737</v>
      </c>
      <c r="H644">
        <f t="shared" si="13"/>
        <v>9</v>
      </c>
      <c r="M644" s="1">
        <v>1.264030020684E-2</v>
      </c>
      <c r="N644">
        <v>2045.03442382813</v>
      </c>
      <c r="O644">
        <v>682.68539999999905</v>
      </c>
      <c r="P644">
        <v>2045.02185058594</v>
      </c>
      <c r="Q644">
        <v>682.68121337890602</v>
      </c>
      <c r="R644">
        <v>3</v>
      </c>
      <c r="S644">
        <v>3</v>
      </c>
      <c r="T644">
        <v>16</v>
      </c>
      <c r="U644">
        <v>34.252850000000002</v>
      </c>
      <c r="V644">
        <v>156273.70000000001</v>
      </c>
    </row>
    <row r="645" spans="1:22" x14ac:dyDescent="0.25">
      <c r="A645" t="s">
        <v>4586</v>
      </c>
      <c r="B645" t="s">
        <v>4587</v>
      </c>
      <c r="C645">
        <v>409</v>
      </c>
      <c r="D645">
        <v>98.4</v>
      </c>
      <c r="E645">
        <v>98.37</v>
      </c>
      <c r="F645" t="s">
        <v>237</v>
      </c>
      <c r="G645" t="s">
        <v>237</v>
      </c>
      <c r="H645">
        <f t="shared" si="13"/>
        <v>9</v>
      </c>
      <c r="M645" s="1">
        <v>1.19078001007438E-2</v>
      </c>
      <c r="N645">
        <v>2045.03369140625</v>
      </c>
      <c r="O645">
        <v>682.68520000000001</v>
      </c>
      <c r="P645">
        <v>2045.02185058594</v>
      </c>
      <c r="Q645">
        <v>682.68121337890602</v>
      </c>
      <c r="R645">
        <v>3</v>
      </c>
      <c r="S645">
        <v>3</v>
      </c>
      <c r="T645">
        <v>17</v>
      </c>
      <c r="U645">
        <v>34.324849999999898</v>
      </c>
      <c r="V645">
        <v>229741.1</v>
      </c>
    </row>
    <row r="646" spans="1:22" x14ac:dyDescent="0.25">
      <c r="A646" t="s">
        <v>2311</v>
      </c>
      <c r="B646" t="s">
        <v>2312</v>
      </c>
      <c r="C646">
        <v>895</v>
      </c>
      <c r="D646">
        <v>98.1</v>
      </c>
      <c r="E646">
        <v>98.06</v>
      </c>
      <c r="F646" t="s">
        <v>2313</v>
      </c>
      <c r="G646" t="s">
        <v>2313</v>
      </c>
      <c r="H646">
        <f t="shared" si="13"/>
        <v>17</v>
      </c>
      <c r="M646" s="1">
        <v>5.8249798603355902E-3</v>
      </c>
      <c r="N646">
        <v>2102.04907226563</v>
      </c>
      <c r="O646">
        <v>701.69029999999896</v>
      </c>
      <c r="P646">
        <v>2102.04321289063</v>
      </c>
      <c r="Q646">
        <v>701.68835449218705</v>
      </c>
      <c r="R646">
        <v>3</v>
      </c>
      <c r="S646">
        <v>3</v>
      </c>
      <c r="T646">
        <v>17</v>
      </c>
      <c r="U646">
        <v>34.80068</v>
      </c>
      <c r="V646">
        <v>363580.8</v>
      </c>
    </row>
    <row r="647" spans="1:22" x14ac:dyDescent="0.25">
      <c r="A647" t="s">
        <v>2311</v>
      </c>
      <c r="B647" t="s">
        <v>2312</v>
      </c>
      <c r="C647">
        <v>671</v>
      </c>
      <c r="D647">
        <v>99</v>
      </c>
      <c r="E647">
        <v>99</v>
      </c>
      <c r="F647" t="s">
        <v>2314</v>
      </c>
      <c r="G647" t="s">
        <v>2314</v>
      </c>
      <c r="H647">
        <f t="shared" si="13"/>
        <v>12</v>
      </c>
      <c r="M647" s="1">
        <v>1.50210000574589E-2</v>
      </c>
      <c r="N647">
        <v>2232.18017578125</v>
      </c>
      <c r="O647">
        <v>745.06730000000005</v>
      </c>
      <c r="P647">
        <v>2232.1650390625</v>
      </c>
      <c r="Q647">
        <v>745.06231689453102</v>
      </c>
      <c r="R647">
        <v>3</v>
      </c>
      <c r="S647">
        <v>6</v>
      </c>
      <c r="T647">
        <v>16</v>
      </c>
      <c r="U647">
        <v>40.328769999999899</v>
      </c>
      <c r="V647">
        <v>1742206</v>
      </c>
    </row>
    <row r="648" spans="1:22" x14ac:dyDescent="0.25">
      <c r="A648" t="s">
        <v>2311</v>
      </c>
      <c r="B648" t="s">
        <v>2312</v>
      </c>
      <c r="C648">
        <v>670</v>
      </c>
      <c r="D648">
        <v>99</v>
      </c>
      <c r="E648">
        <v>99</v>
      </c>
      <c r="F648" t="s">
        <v>2315</v>
      </c>
      <c r="G648" t="s">
        <v>2315</v>
      </c>
      <c r="H648">
        <f t="shared" si="13"/>
        <v>13</v>
      </c>
      <c r="M648" s="1">
        <v>9.1960104182362608E-3</v>
      </c>
      <c r="N648">
        <v>2043.92749023438</v>
      </c>
      <c r="O648">
        <v>1022.971</v>
      </c>
      <c r="P648">
        <v>2043.91821289063</v>
      </c>
      <c r="Q648">
        <v>1022.96643066406</v>
      </c>
      <c r="R648">
        <v>2</v>
      </c>
      <c r="S648">
        <v>1</v>
      </c>
      <c r="T648">
        <v>9</v>
      </c>
      <c r="U648">
        <v>37.766399999999898</v>
      </c>
      <c r="V648">
        <v>45846.26</v>
      </c>
    </row>
    <row r="649" spans="1:22" x14ac:dyDescent="0.25">
      <c r="A649" t="s">
        <v>2311</v>
      </c>
      <c r="B649" t="s">
        <v>2312</v>
      </c>
      <c r="C649">
        <v>355</v>
      </c>
      <c r="D649">
        <v>99</v>
      </c>
      <c r="E649">
        <v>99</v>
      </c>
      <c r="F649" t="s">
        <v>2316</v>
      </c>
      <c r="G649" t="s">
        <v>2316</v>
      </c>
      <c r="H649">
        <f t="shared" si="13"/>
        <v>14</v>
      </c>
      <c r="M649" s="1">
        <v>-4.2249299585819201E-3</v>
      </c>
      <c r="N649">
        <v>1457.72546386719</v>
      </c>
      <c r="O649">
        <v>729.87</v>
      </c>
      <c r="P649">
        <v>1457.72961425781</v>
      </c>
      <c r="Q649">
        <v>729.87213134765602</v>
      </c>
      <c r="R649">
        <v>2</v>
      </c>
      <c r="S649">
        <v>2</v>
      </c>
      <c r="T649">
        <v>10</v>
      </c>
      <c r="U649">
        <v>26.205179999999899</v>
      </c>
      <c r="V649">
        <v>330926.8</v>
      </c>
    </row>
    <row r="650" spans="1:22" x14ac:dyDescent="0.25">
      <c r="A650" t="s">
        <v>2311</v>
      </c>
      <c r="B650" t="s">
        <v>2312</v>
      </c>
      <c r="C650">
        <v>683</v>
      </c>
      <c r="D650">
        <v>99</v>
      </c>
      <c r="E650">
        <v>99</v>
      </c>
      <c r="F650" t="s">
        <v>2317</v>
      </c>
      <c r="G650" t="s">
        <v>2317</v>
      </c>
      <c r="H650">
        <f t="shared" si="13"/>
        <v>12</v>
      </c>
      <c r="L650" t="s">
        <v>377</v>
      </c>
      <c r="M650" s="1">
        <v>1.2484099715948101E-3</v>
      </c>
      <c r="N650">
        <v>1176.60729980469</v>
      </c>
      <c r="O650">
        <v>589.31089999999904</v>
      </c>
      <c r="P650">
        <v>1176.60607910156</v>
      </c>
      <c r="Q650">
        <v>589.310302734375</v>
      </c>
      <c r="R650">
        <v>2</v>
      </c>
      <c r="S650">
        <v>1</v>
      </c>
      <c r="T650">
        <v>11</v>
      </c>
      <c r="U650">
        <v>29.70992</v>
      </c>
      <c r="V650">
        <v>231939.9</v>
      </c>
    </row>
    <row r="651" spans="1:22" x14ac:dyDescent="0.25">
      <c r="A651" t="s">
        <v>3879</v>
      </c>
      <c r="B651" t="s">
        <v>3880</v>
      </c>
      <c r="C651">
        <v>55</v>
      </c>
      <c r="D651">
        <v>98.4</v>
      </c>
      <c r="E651">
        <v>98.37</v>
      </c>
      <c r="F651" t="s">
        <v>3881</v>
      </c>
      <c r="G651" t="s">
        <v>3881</v>
      </c>
      <c r="H651">
        <f t="shared" si="13"/>
        <v>9</v>
      </c>
      <c r="M651" s="1">
        <v>1.02931996807456E-2</v>
      </c>
      <c r="N651">
        <v>1948.94812011719</v>
      </c>
      <c r="O651">
        <v>975.48130000000003</v>
      </c>
      <c r="P651">
        <v>1948.93774414063</v>
      </c>
      <c r="Q651">
        <v>975.47619628906205</v>
      </c>
      <c r="R651">
        <v>2</v>
      </c>
      <c r="S651">
        <v>1</v>
      </c>
      <c r="T651">
        <v>9</v>
      </c>
      <c r="U651">
        <v>37.29777</v>
      </c>
      <c r="V651">
        <v>102607.6</v>
      </c>
    </row>
    <row r="652" spans="1:22" x14ac:dyDescent="0.25">
      <c r="A652" t="s">
        <v>208</v>
      </c>
      <c r="B652" t="s">
        <v>209</v>
      </c>
      <c r="C652">
        <v>544</v>
      </c>
      <c r="D652">
        <v>99</v>
      </c>
      <c r="E652">
        <v>99</v>
      </c>
      <c r="F652" t="s">
        <v>210</v>
      </c>
      <c r="G652" t="s">
        <v>210</v>
      </c>
      <c r="H652">
        <f t="shared" si="13"/>
        <v>9</v>
      </c>
      <c r="M652">
        <v>1.4199E-2</v>
      </c>
      <c r="N652">
        <v>1948.95202636719</v>
      </c>
      <c r="O652">
        <v>975.48329999999896</v>
      </c>
      <c r="P652">
        <v>1948.93774414063</v>
      </c>
      <c r="Q652">
        <v>975.47619628906205</v>
      </c>
      <c r="R652">
        <v>2</v>
      </c>
      <c r="S652">
        <v>1</v>
      </c>
      <c r="T652">
        <v>14</v>
      </c>
      <c r="U652">
        <v>37.338619999999899</v>
      </c>
      <c r="V652">
        <v>132457.5</v>
      </c>
    </row>
    <row r="653" spans="1:22" x14ac:dyDescent="0.25">
      <c r="A653" t="s">
        <v>381</v>
      </c>
      <c r="B653" t="s">
        <v>382</v>
      </c>
      <c r="C653">
        <v>687</v>
      </c>
      <c r="D653">
        <v>99</v>
      </c>
      <c r="E653">
        <v>99</v>
      </c>
      <c r="F653" t="s">
        <v>3982</v>
      </c>
      <c r="G653" t="s">
        <v>3982</v>
      </c>
      <c r="H653">
        <f t="shared" si="13"/>
        <v>10</v>
      </c>
      <c r="M653" s="1">
        <v>3.21930996142328E-3</v>
      </c>
      <c r="N653">
        <v>1169.61853027344</v>
      </c>
      <c r="O653">
        <v>585.81650000000002</v>
      </c>
      <c r="P653">
        <v>1169.615234375</v>
      </c>
      <c r="Q653">
        <v>585.81494140625</v>
      </c>
      <c r="R653">
        <v>2</v>
      </c>
      <c r="S653">
        <v>1</v>
      </c>
      <c r="T653">
        <v>13</v>
      </c>
      <c r="U653">
        <v>30.744150000000001</v>
      </c>
      <c r="V653">
        <v>2252733</v>
      </c>
    </row>
    <row r="654" spans="1:22" x14ac:dyDescent="0.25">
      <c r="A654" t="s">
        <v>381</v>
      </c>
      <c r="B654" t="s">
        <v>382</v>
      </c>
      <c r="C654">
        <v>980</v>
      </c>
      <c r="D654">
        <v>98.1</v>
      </c>
      <c r="E654">
        <v>98.06</v>
      </c>
      <c r="F654" t="s">
        <v>3983</v>
      </c>
      <c r="G654" t="s">
        <v>3983</v>
      </c>
      <c r="H654">
        <f t="shared" si="13"/>
        <v>9</v>
      </c>
      <c r="M654" s="1">
        <v>3.9369499427266403E-4</v>
      </c>
      <c r="N654">
        <v>1076.60949707031</v>
      </c>
      <c r="O654">
        <v>539.31200000000001</v>
      </c>
      <c r="P654">
        <v>1076.60913085938</v>
      </c>
      <c r="Q654">
        <v>539.31182861328102</v>
      </c>
      <c r="R654">
        <v>2</v>
      </c>
      <c r="S654">
        <v>2</v>
      </c>
      <c r="T654">
        <v>12</v>
      </c>
      <c r="U654">
        <v>29.361329999999899</v>
      </c>
      <c r="V654">
        <v>6011607</v>
      </c>
    </row>
    <row r="655" spans="1:22" x14ac:dyDescent="0.25">
      <c r="A655" t="s">
        <v>3332</v>
      </c>
      <c r="B655" t="s">
        <v>3333</v>
      </c>
      <c r="C655">
        <v>318</v>
      </c>
      <c r="D655">
        <v>99</v>
      </c>
      <c r="E655">
        <v>99</v>
      </c>
      <c r="F655" t="s">
        <v>3334</v>
      </c>
      <c r="G655" t="s">
        <v>3334</v>
      </c>
      <c r="H655">
        <f t="shared" si="13"/>
        <v>9</v>
      </c>
      <c r="M655" s="1">
        <v>1.73647003248334E-3</v>
      </c>
      <c r="N655">
        <v>1076.61083984375</v>
      </c>
      <c r="O655">
        <v>539.31269999999904</v>
      </c>
      <c r="P655">
        <v>1076.60913085938</v>
      </c>
      <c r="Q655">
        <v>539.31182861328102</v>
      </c>
      <c r="R655">
        <v>2</v>
      </c>
      <c r="S655">
        <v>1</v>
      </c>
      <c r="T655">
        <v>12</v>
      </c>
      <c r="U655">
        <v>29.36543</v>
      </c>
      <c r="V655">
        <v>6817404</v>
      </c>
    </row>
    <row r="656" spans="1:22" x14ac:dyDescent="0.25">
      <c r="A656" t="s">
        <v>302</v>
      </c>
      <c r="B656" t="s">
        <v>303</v>
      </c>
      <c r="C656">
        <v>723</v>
      </c>
      <c r="D656">
        <v>99</v>
      </c>
      <c r="E656">
        <v>99</v>
      </c>
      <c r="F656" t="s">
        <v>304</v>
      </c>
      <c r="G656" t="s">
        <v>304</v>
      </c>
      <c r="H656">
        <f t="shared" si="13"/>
        <v>9</v>
      </c>
      <c r="L656" t="s">
        <v>295</v>
      </c>
      <c r="M656" s="1">
        <v>2.5756401009857598E-3</v>
      </c>
      <c r="N656">
        <v>2142.12817382813</v>
      </c>
      <c r="O656">
        <v>715.05</v>
      </c>
      <c r="P656">
        <v>2142.12548828125</v>
      </c>
      <c r="Q656">
        <v>715.04913330078102</v>
      </c>
      <c r="R656">
        <v>3</v>
      </c>
      <c r="S656">
        <v>1</v>
      </c>
      <c r="T656">
        <v>10</v>
      </c>
      <c r="U656">
        <v>21.486519999999899</v>
      </c>
      <c r="V656">
        <v>118813.3</v>
      </c>
    </row>
    <row r="657" spans="1:22" x14ac:dyDescent="0.25">
      <c r="A657" t="s">
        <v>2342</v>
      </c>
      <c r="B657" t="s">
        <v>2343</v>
      </c>
      <c r="C657">
        <v>355</v>
      </c>
      <c r="D657">
        <v>99</v>
      </c>
      <c r="E657">
        <v>99</v>
      </c>
      <c r="F657" t="s">
        <v>2344</v>
      </c>
      <c r="G657" t="s">
        <v>2344</v>
      </c>
      <c r="H657">
        <f t="shared" si="13"/>
        <v>9</v>
      </c>
      <c r="M657">
        <v>-5.8999999999999998E-5</v>
      </c>
      <c r="N657">
        <v>1092.59265136719</v>
      </c>
      <c r="O657">
        <v>1093.5999999999899</v>
      </c>
      <c r="P657">
        <v>1092.5927734375</v>
      </c>
      <c r="Q657">
        <v>1093.59997558594</v>
      </c>
      <c r="R657">
        <v>1</v>
      </c>
      <c r="S657">
        <v>4</v>
      </c>
      <c r="T657">
        <v>12</v>
      </c>
      <c r="U657">
        <v>26.939319999999899</v>
      </c>
      <c r="V657">
        <v>8064344</v>
      </c>
    </row>
    <row r="658" spans="1:22" x14ac:dyDescent="0.25">
      <c r="A658" t="s">
        <v>3474</v>
      </c>
      <c r="B658" t="s">
        <v>3475</v>
      </c>
      <c r="C658">
        <v>294</v>
      </c>
      <c r="D658">
        <v>98.2</v>
      </c>
      <c r="E658">
        <v>98.15</v>
      </c>
      <c r="F658" t="s">
        <v>3476</v>
      </c>
      <c r="G658" t="s">
        <v>3476</v>
      </c>
      <c r="H658">
        <f t="shared" si="13"/>
        <v>9</v>
      </c>
      <c r="M658">
        <v>-5.8999999999999998E-5</v>
      </c>
      <c r="N658">
        <v>1092.59265136719</v>
      </c>
      <c r="O658">
        <v>1093.5999999999899</v>
      </c>
      <c r="P658">
        <v>1092.5927734375</v>
      </c>
      <c r="Q658">
        <v>1093.59997558594</v>
      </c>
      <c r="R658">
        <v>1</v>
      </c>
      <c r="S658">
        <v>5</v>
      </c>
      <c r="T658">
        <v>11</v>
      </c>
      <c r="U658">
        <v>26.8093</v>
      </c>
      <c r="V658">
        <v>10504760</v>
      </c>
    </row>
    <row r="659" spans="1:22" x14ac:dyDescent="0.25">
      <c r="A659" t="s">
        <v>4649</v>
      </c>
      <c r="B659" t="s">
        <v>4650</v>
      </c>
      <c r="C659">
        <v>336</v>
      </c>
      <c r="D659">
        <v>97.8</v>
      </c>
      <c r="E659">
        <v>97.81</v>
      </c>
      <c r="F659" t="s">
        <v>4651</v>
      </c>
      <c r="G659" t="s">
        <v>4651</v>
      </c>
      <c r="H659">
        <f t="shared" si="13"/>
        <v>9</v>
      </c>
      <c r="L659" t="s">
        <v>295</v>
      </c>
      <c r="M659" s="1">
        <v>6.9543197751045201E-3</v>
      </c>
      <c r="N659">
        <v>3123.248046875</v>
      </c>
      <c r="O659">
        <v>1042.0899999999899</v>
      </c>
      <c r="P659">
        <v>3123.2412109375</v>
      </c>
      <c r="Q659">
        <v>1042.08764648438</v>
      </c>
      <c r="R659">
        <v>3</v>
      </c>
      <c r="S659">
        <v>1</v>
      </c>
      <c r="T659">
        <v>11</v>
      </c>
      <c r="U659">
        <v>34.532519999999899</v>
      </c>
      <c r="V659">
        <v>221681.1</v>
      </c>
    </row>
    <row r="660" spans="1:22" x14ac:dyDescent="0.25">
      <c r="A660" t="s">
        <v>4320</v>
      </c>
      <c r="B660" t="s">
        <v>4321</v>
      </c>
      <c r="C660">
        <v>257</v>
      </c>
      <c r="D660">
        <v>99</v>
      </c>
      <c r="E660">
        <v>99</v>
      </c>
      <c r="F660" t="s">
        <v>4322</v>
      </c>
      <c r="G660" t="s">
        <v>4322</v>
      </c>
      <c r="H660">
        <f t="shared" si="13"/>
        <v>11</v>
      </c>
      <c r="M660" s="1">
        <v>-1.08560000080615E-3</v>
      </c>
      <c r="N660">
        <v>967.48248291015602</v>
      </c>
      <c r="O660">
        <v>484.74849999999901</v>
      </c>
      <c r="P660">
        <v>967.48352050781205</v>
      </c>
      <c r="Q660">
        <v>484.74905395507801</v>
      </c>
      <c r="R660">
        <v>2</v>
      </c>
      <c r="S660">
        <v>2</v>
      </c>
      <c r="T660">
        <v>10</v>
      </c>
      <c r="U660">
        <v>18.925470000000001</v>
      </c>
      <c r="V660">
        <v>163516.799999999</v>
      </c>
    </row>
    <row r="661" spans="1:22" x14ac:dyDescent="0.25">
      <c r="A661" t="s">
        <v>1572</v>
      </c>
      <c r="B661" t="s">
        <v>1573</v>
      </c>
      <c r="C661">
        <v>257</v>
      </c>
      <c r="D661">
        <v>99</v>
      </c>
      <c r="E661">
        <v>99</v>
      </c>
      <c r="F661" t="s">
        <v>1574</v>
      </c>
      <c r="G661" t="s">
        <v>1574</v>
      </c>
      <c r="H661">
        <f t="shared" si="13"/>
        <v>9</v>
      </c>
      <c r="M661">
        <v>9.0799999999999995E-4</v>
      </c>
      <c r="N661">
        <v>1143.69982910156</v>
      </c>
      <c r="O661">
        <v>572.85720000000003</v>
      </c>
      <c r="P661">
        <v>1143.69885253906</v>
      </c>
      <c r="Q661">
        <v>572.85675048828102</v>
      </c>
      <c r="R661">
        <v>2</v>
      </c>
      <c r="S661">
        <v>2</v>
      </c>
      <c r="T661">
        <v>11</v>
      </c>
      <c r="U661">
        <v>25.128530000000001</v>
      </c>
      <c r="V661">
        <v>3091796</v>
      </c>
    </row>
    <row r="662" spans="1:22" x14ac:dyDescent="0.25">
      <c r="A662" t="s">
        <v>1572</v>
      </c>
      <c r="B662" t="s">
        <v>1573</v>
      </c>
      <c r="C662">
        <v>343</v>
      </c>
      <c r="D662">
        <v>98.3</v>
      </c>
      <c r="E662">
        <v>98.29</v>
      </c>
      <c r="F662" t="s">
        <v>1575</v>
      </c>
      <c r="G662" t="s">
        <v>1575</v>
      </c>
      <c r="H662">
        <f t="shared" si="13"/>
        <v>19</v>
      </c>
      <c r="M662" s="1">
        <v>3.1049100216478101E-3</v>
      </c>
      <c r="N662">
        <v>1143.70202636719</v>
      </c>
      <c r="O662">
        <v>572.85829999999896</v>
      </c>
      <c r="P662">
        <v>1143.69885253906</v>
      </c>
      <c r="Q662">
        <v>572.85675048828102</v>
      </c>
      <c r="R662">
        <v>2</v>
      </c>
      <c r="S662">
        <v>2</v>
      </c>
      <c r="T662">
        <v>11</v>
      </c>
      <c r="U662">
        <v>25.15493</v>
      </c>
      <c r="V662">
        <v>9949429</v>
      </c>
    </row>
    <row r="663" spans="1:22" x14ac:dyDescent="0.25">
      <c r="A663" t="s">
        <v>3024</v>
      </c>
      <c r="B663" t="s">
        <v>3025</v>
      </c>
      <c r="C663">
        <v>174</v>
      </c>
      <c r="D663">
        <v>99</v>
      </c>
      <c r="E663">
        <v>99</v>
      </c>
      <c r="F663" t="s">
        <v>3026</v>
      </c>
      <c r="G663" t="s">
        <v>3026</v>
      </c>
      <c r="H663">
        <f t="shared" si="13"/>
        <v>16</v>
      </c>
      <c r="M663" s="1">
        <v>3.6213800194673202E-4</v>
      </c>
      <c r="N663">
        <v>967.55670166015602</v>
      </c>
      <c r="O663">
        <v>484.78559999999902</v>
      </c>
      <c r="P663">
        <v>967.55633544921795</v>
      </c>
      <c r="Q663">
        <v>484.78543090820301</v>
      </c>
      <c r="R663">
        <v>2</v>
      </c>
      <c r="S663">
        <v>4</v>
      </c>
      <c r="T663">
        <v>11</v>
      </c>
      <c r="U663">
        <v>18.985900000000001</v>
      </c>
      <c r="V663">
        <v>109117.9</v>
      </c>
    </row>
    <row r="664" spans="1:22" x14ac:dyDescent="0.25">
      <c r="A664" t="s">
        <v>4343</v>
      </c>
      <c r="B664" t="s">
        <v>4344</v>
      </c>
      <c r="C664">
        <v>69</v>
      </c>
      <c r="D664">
        <v>98.2</v>
      </c>
      <c r="E664">
        <v>98.2</v>
      </c>
      <c r="F664" t="s">
        <v>4345</v>
      </c>
      <c r="G664" t="s">
        <v>4345</v>
      </c>
      <c r="H664">
        <f t="shared" si="13"/>
        <v>10</v>
      </c>
      <c r="M664" s="1">
        <v>-3.0558300204575101E-3</v>
      </c>
      <c r="N664">
        <v>967.55328369140602</v>
      </c>
      <c r="O664">
        <v>484.78390000000002</v>
      </c>
      <c r="P664">
        <v>967.55633544921795</v>
      </c>
      <c r="Q664">
        <v>484.78543090820301</v>
      </c>
      <c r="R664">
        <v>2</v>
      </c>
      <c r="S664">
        <v>4</v>
      </c>
      <c r="T664">
        <v>12</v>
      </c>
      <c r="U664">
        <v>18.82837</v>
      </c>
      <c r="V664">
        <v>515694.2</v>
      </c>
    </row>
    <row r="665" spans="1:22" x14ac:dyDescent="0.25">
      <c r="A665" t="s">
        <v>4343</v>
      </c>
      <c r="B665" t="s">
        <v>4344</v>
      </c>
      <c r="C665">
        <v>69</v>
      </c>
      <c r="D665">
        <v>99</v>
      </c>
      <c r="E665">
        <v>99</v>
      </c>
      <c r="F665" t="s">
        <v>301</v>
      </c>
      <c r="G665" t="s">
        <v>301</v>
      </c>
      <c r="H665">
        <f t="shared" si="13"/>
        <v>9</v>
      </c>
      <c r="L665" t="s">
        <v>295</v>
      </c>
      <c r="M665" s="1">
        <v>1.8696900457143801E-2</v>
      </c>
      <c r="N665">
        <v>2372.1982421875</v>
      </c>
      <c r="O665">
        <v>791.74</v>
      </c>
      <c r="P665">
        <v>2372.17944335938</v>
      </c>
      <c r="Q665">
        <v>791.73376464843705</v>
      </c>
      <c r="R665">
        <v>3</v>
      </c>
      <c r="S665">
        <v>1</v>
      </c>
      <c r="T665">
        <v>10</v>
      </c>
      <c r="U665">
        <v>21.87012</v>
      </c>
      <c r="V665">
        <v>223270.7</v>
      </c>
    </row>
    <row r="666" spans="1:22" x14ac:dyDescent="0.25">
      <c r="A666" t="s">
        <v>652</v>
      </c>
      <c r="B666" t="s">
        <v>653</v>
      </c>
      <c r="C666">
        <v>49</v>
      </c>
      <c r="D666">
        <v>99</v>
      </c>
      <c r="E666">
        <v>99</v>
      </c>
      <c r="F666" t="s">
        <v>654</v>
      </c>
      <c r="G666" t="s">
        <v>654</v>
      </c>
      <c r="H666">
        <f t="shared" si="13"/>
        <v>9</v>
      </c>
      <c r="L666" t="s">
        <v>109</v>
      </c>
      <c r="M666" s="1">
        <v>-2.4337500799447198E-3</v>
      </c>
      <c r="N666">
        <v>1003.47729492188</v>
      </c>
      <c r="O666">
        <v>502.74590000000001</v>
      </c>
      <c r="P666">
        <v>1003.47967529297</v>
      </c>
      <c r="Q666">
        <v>502.74713134765602</v>
      </c>
      <c r="R666">
        <v>2</v>
      </c>
      <c r="S666">
        <v>3</v>
      </c>
      <c r="T666">
        <v>12</v>
      </c>
      <c r="U666">
        <v>20.834029999999899</v>
      </c>
      <c r="V666">
        <v>546517.9</v>
      </c>
    </row>
    <row r="667" spans="1:22" x14ac:dyDescent="0.25">
      <c r="A667" t="s">
        <v>1093</v>
      </c>
      <c r="B667" t="s">
        <v>1094</v>
      </c>
      <c r="C667">
        <v>188</v>
      </c>
      <c r="D667">
        <v>99</v>
      </c>
      <c r="E667">
        <v>99</v>
      </c>
      <c r="F667" t="s">
        <v>1095</v>
      </c>
      <c r="G667" t="s">
        <v>1095</v>
      </c>
      <c r="H667">
        <f t="shared" si="13"/>
        <v>9</v>
      </c>
      <c r="M667" s="1">
        <v>1.87802000436932E-3</v>
      </c>
      <c r="N667">
        <v>1182.59130859375</v>
      </c>
      <c r="O667">
        <v>592.30290000000002</v>
      </c>
      <c r="P667">
        <v>1182.58935546875</v>
      </c>
      <c r="Q667">
        <v>592.302001953125</v>
      </c>
      <c r="R667">
        <v>2</v>
      </c>
      <c r="S667">
        <v>2</v>
      </c>
      <c r="T667">
        <v>11</v>
      </c>
      <c r="U667">
        <v>25.861429999999899</v>
      </c>
      <c r="V667">
        <v>1259016</v>
      </c>
    </row>
    <row r="668" spans="1:22" x14ac:dyDescent="0.25">
      <c r="A668" t="s">
        <v>1093</v>
      </c>
      <c r="B668" t="s">
        <v>1094</v>
      </c>
      <c r="C668">
        <v>188</v>
      </c>
      <c r="D668">
        <v>99</v>
      </c>
      <c r="E668">
        <v>99</v>
      </c>
      <c r="F668" t="s">
        <v>1095</v>
      </c>
      <c r="G668" t="s">
        <v>1095</v>
      </c>
      <c r="H668">
        <f t="shared" si="13"/>
        <v>9</v>
      </c>
      <c r="L668" t="s">
        <v>1096</v>
      </c>
      <c r="M668" s="1">
        <v>3.8460601354017903E-4</v>
      </c>
      <c r="N668">
        <v>1484.75048828125</v>
      </c>
      <c r="O668">
        <v>743.38250000000005</v>
      </c>
      <c r="P668">
        <v>1484.75012207031</v>
      </c>
      <c r="Q668">
        <v>743.38232421875</v>
      </c>
      <c r="R668">
        <v>2</v>
      </c>
      <c r="S668">
        <v>2</v>
      </c>
      <c r="T668">
        <v>9</v>
      </c>
      <c r="U668">
        <v>27.26915</v>
      </c>
      <c r="V668">
        <v>413898.2</v>
      </c>
    </row>
    <row r="669" spans="1:22" x14ac:dyDescent="0.25">
      <c r="A669" t="s">
        <v>4655</v>
      </c>
      <c r="B669" t="s">
        <v>4656</v>
      </c>
      <c r="C669">
        <v>423</v>
      </c>
      <c r="D669">
        <v>99</v>
      </c>
      <c r="E669">
        <v>99</v>
      </c>
      <c r="F669" t="s">
        <v>4657</v>
      </c>
      <c r="G669" t="s">
        <v>4657</v>
      </c>
      <c r="H669">
        <f t="shared" si="13"/>
        <v>9</v>
      </c>
      <c r="M669" s="1">
        <v>1.68633996509015E-3</v>
      </c>
      <c r="N669">
        <v>1056.64208984375</v>
      </c>
      <c r="O669">
        <v>529.32830000000001</v>
      </c>
      <c r="P669">
        <v>1056.64038085938</v>
      </c>
      <c r="Q669">
        <v>529.32745361328102</v>
      </c>
      <c r="R669">
        <v>2</v>
      </c>
      <c r="S669">
        <v>2</v>
      </c>
      <c r="T669">
        <v>13</v>
      </c>
      <c r="U669">
        <v>30.1470699999999</v>
      </c>
      <c r="V669">
        <v>95329260</v>
      </c>
    </row>
    <row r="670" spans="1:22" x14ac:dyDescent="0.25">
      <c r="A670" t="s">
        <v>2146</v>
      </c>
      <c r="B670" t="s">
        <v>2147</v>
      </c>
      <c r="C670">
        <v>283</v>
      </c>
      <c r="D670">
        <v>99</v>
      </c>
      <c r="E670">
        <v>99</v>
      </c>
      <c r="F670" t="s">
        <v>2148</v>
      </c>
      <c r="G670" t="s">
        <v>2148</v>
      </c>
      <c r="H670">
        <f t="shared" si="13"/>
        <v>14</v>
      </c>
      <c r="M670" s="1">
        <v>2.29668989777565E-3</v>
      </c>
      <c r="N670">
        <v>1056.64270019531</v>
      </c>
      <c r="O670">
        <v>529.32860000000005</v>
      </c>
      <c r="P670">
        <v>1056.64038085938</v>
      </c>
      <c r="Q670">
        <v>529.32745361328102</v>
      </c>
      <c r="R670">
        <v>2</v>
      </c>
      <c r="S670">
        <v>3</v>
      </c>
      <c r="T670">
        <v>13</v>
      </c>
      <c r="U670">
        <v>30.107600000000001</v>
      </c>
      <c r="V670">
        <v>75805020</v>
      </c>
    </row>
    <row r="671" spans="1:22" x14ac:dyDescent="0.25">
      <c r="A671" t="s">
        <v>2146</v>
      </c>
      <c r="B671" t="s">
        <v>2147</v>
      </c>
      <c r="C671">
        <v>283</v>
      </c>
      <c r="D671">
        <v>99</v>
      </c>
      <c r="E671">
        <v>99</v>
      </c>
      <c r="F671" t="s">
        <v>2149</v>
      </c>
      <c r="G671" t="s">
        <v>2149</v>
      </c>
      <c r="H671">
        <f t="shared" si="13"/>
        <v>15</v>
      </c>
      <c r="M671" s="1">
        <v>2.5458498857915401E-3</v>
      </c>
      <c r="N671">
        <v>1059.51232910156</v>
      </c>
      <c r="O671">
        <v>530.76340000000005</v>
      </c>
      <c r="P671">
        <v>1059.509765625</v>
      </c>
      <c r="Q671">
        <v>530.76214599609295</v>
      </c>
      <c r="R671">
        <v>2</v>
      </c>
      <c r="S671">
        <v>2</v>
      </c>
      <c r="T671">
        <v>12</v>
      </c>
      <c r="U671">
        <v>24.020399999999899</v>
      </c>
      <c r="V671">
        <v>4361048</v>
      </c>
    </row>
    <row r="672" spans="1:22" x14ac:dyDescent="0.25">
      <c r="A672" t="s">
        <v>2146</v>
      </c>
      <c r="B672" t="s">
        <v>2147</v>
      </c>
      <c r="C672">
        <v>281</v>
      </c>
      <c r="D672">
        <v>99</v>
      </c>
      <c r="E672">
        <v>99</v>
      </c>
      <c r="F672" t="s">
        <v>2150</v>
      </c>
      <c r="G672" t="s">
        <v>2150</v>
      </c>
      <c r="H672">
        <f t="shared" si="13"/>
        <v>18</v>
      </c>
      <c r="M672" s="1">
        <v>2.6679199654609E-3</v>
      </c>
      <c r="N672">
        <v>1059.51245117188</v>
      </c>
      <c r="O672">
        <v>530.76350000000002</v>
      </c>
      <c r="P672">
        <v>1059.509765625</v>
      </c>
      <c r="Q672">
        <v>530.76214599609295</v>
      </c>
      <c r="R672">
        <v>2</v>
      </c>
      <c r="S672">
        <v>2</v>
      </c>
      <c r="T672">
        <v>11</v>
      </c>
      <c r="U672">
        <v>24.08192</v>
      </c>
      <c r="V672">
        <v>910382.9</v>
      </c>
    </row>
    <row r="673" spans="1:22" x14ac:dyDescent="0.25">
      <c r="A673" t="s">
        <v>2146</v>
      </c>
      <c r="B673" t="s">
        <v>2147</v>
      </c>
      <c r="C673">
        <v>282</v>
      </c>
      <c r="D673">
        <v>98.8</v>
      </c>
      <c r="E673">
        <v>98.79</v>
      </c>
      <c r="F673" t="s">
        <v>2151</v>
      </c>
      <c r="G673" t="s">
        <v>2151</v>
      </c>
      <c r="H673">
        <f t="shared" si="13"/>
        <v>16</v>
      </c>
      <c r="M673" s="1">
        <v>2.7510600630193901E-3</v>
      </c>
      <c r="N673">
        <v>1075.52270507813</v>
      </c>
      <c r="O673">
        <v>538.76859999999897</v>
      </c>
      <c r="P673">
        <v>1075.51989746094</v>
      </c>
      <c r="Q673">
        <v>538.76721191406205</v>
      </c>
      <c r="R673">
        <v>2</v>
      </c>
      <c r="S673">
        <v>4</v>
      </c>
      <c r="T673">
        <v>10</v>
      </c>
      <c r="U673">
        <v>25.6297</v>
      </c>
      <c r="V673">
        <v>19554360</v>
      </c>
    </row>
    <row r="674" spans="1:22" x14ac:dyDescent="0.25">
      <c r="A674" t="s">
        <v>2146</v>
      </c>
      <c r="B674" t="s">
        <v>2147</v>
      </c>
      <c r="C674">
        <v>283</v>
      </c>
      <c r="D674">
        <v>98.6</v>
      </c>
      <c r="E674">
        <v>98.57</v>
      </c>
      <c r="F674" t="s">
        <v>2152</v>
      </c>
      <c r="G674" t="s">
        <v>2152</v>
      </c>
      <c r="H674">
        <f t="shared" si="13"/>
        <v>16</v>
      </c>
      <c r="M674" s="1">
        <v>-1.5504300245083901E-4</v>
      </c>
      <c r="N674">
        <v>1084.53002929688</v>
      </c>
      <c r="O674">
        <v>543.27229999999895</v>
      </c>
      <c r="P674">
        <v>1084.53015136719</v>
      </c>
      <c r="Q674">
        <v>543.27233886718705</v>
      </c>
      <c r="R674">
        <v>2</v>
      </c>
      <c r="S674">
        <v>3</v>
      </c>
      <c r="T674">
        <v>11</v>
      </c>
      <c r="U674">
        <v>32.456330000000001</v>
      </c>
      <c r="V674">
        <v>750739.4</v>
      </c>
    </row>
    <row r="675" spans="1:22" x14ac:dyDescent="0.25">
      <c r="A675" t="s">
        <v>2146</v>
      </c>
      <c r="B675" t="s">
        <v>2147</v>
      </c>
      <c r="C675">
        <v>2484</v>
      </c>
      <c r="D675">
        <v>98.5</v>
      </c>
      <c r="E675">
        <v>98.52</v>
      </c>
      <c r="F675" t="s">
        <v>2153</v>
      </c>
      <c r="G675" t="s">
        <v>2153</v>
      </c>
      <c r="H675">
        <f t="shared" si="13"/>
        <v>16</v>
      </c>
      <c r="M675" s="1">
        <v>1.5955100534483699E-3</v>
      </c>
      <c r="N675">
        <v>996.536865234375</v>
      </c>
      <c r="O675">
        <v>499.27569999999901</v>
      </c>
      <c r="P675">
        <v>996.53521728515602</v>
      </c>
      <c r="Q675">
        <v>499.27490234375</v>
      </c>
      <c r="R675">
        <v>2</v>
      </c>
      <c r="S675">
        <v>2</v>
      </c>
      <c r="T675">
        <v>13</v>
      </c>
      <c r="U675">
        <v>27.6917499999999</v>
      </c>
      <c r="V675">
        <v>13819340</v>
      </c>
    </row>
    <row r="676" spans="1:22" x14ac:dyDescent="0.25">
      <c r="A676" t="s">
        <v>2146</v>
      </c>
      <c r="B676" t="s">
        <v>2147</v>
      </c>
      <c r="C676">
        <v>136</v>
      </c>
      <c r="D676">
        <v>97.8</v>
      </c>
      <c r="E676">
        <v>97.75</v>
      </c>
      <c r="F676" t="s">
        <v>2154</v>
      </c>
      <c r="G676" t="s">
        <v>2154</v>
      </c>
      <c r="H676">
        <f t="shared" si="13"/>
        <v>9</v>
      </c>
      <c r="M676" s="1">
        <v>5.1965899765491503E-3</v>
      </c>
      <c r="N676">
        <v>996.54046630859295</v>
      </c>
      <c r="O676">
        <v>499.27749999999901</v>
      </c>
      <c r="P676">
        <v>996.53521728515602</v>
      </c>
      <c r="Q676">
        <v>499.27490234375</v>
      </c>
      <c r="R676">
        <v>2</v>
      </c>
      <c r="S676">
        <v>3</v>
      </c>
      <c r="T676">
        <v>14</v>
      </c>
      <c r="U676">
        <v>27.7303</v>
      </c>
      <c r="V676">
        <v>1349911</v>
      </c>
    </row>
    <row r="677" spans="1:22" x14ac:dyDescent="0.25">
      <c r="A677" t="s">
        <v>2146</v>
      </c>
      <c r="B677" t="s">
        <v>2147</v>
      </c>
      <c r="C677">
        <v>282</v>
      </c>
      <c r="D677">
        <v>98.5</v>
      </c>
      <c r="E677">
        <v>98.54</v>
      </c>
      <c r="F677" t="s">
        <v>2155</v>
      </c>
      <c r="G677" t="s">
        <v>2155</v>
      </c>
      <c r="H677">
        <f t="shared" si="13"/>
        <v>15</v>
      </c>
      <c r="M677" s="1">
        <v>3.1585299875587099E-3</v>
      </c>
      <c r="N677">
        <v>1045.59521484375</v>
      </c>
      <c r="O677">
        <v>523.80489999999895</v>
      </c>
      <c r="P677">
        <v>1045.59204101563</v>
      </c>
      <c r="Q677">
        <v>523.80328369140602</v>
      </c>
      <c r="R677">
        <v>2</v>
      </c>
      <c r="S677">
        <v>2</v>
      </c>
      <c r="T677">
        <v>11</v>
      </c>
      <c r="U677">
        <v>41.818649999999899</v>
      </c>
      <c r="V677">
        <v>199323.4</v>
      </c>
    </row>
    <row r="678" spans="1:22" x14ac:dyDescent="0.25">
      <c r="A678" t="s">
        <v>2146</v>
      </c>
      <c r="B678" t="s">
        <v>2147</v>
      </c>
      <c r="C678">
        <v>678</v>
      </c>
      <c r="D678">
        <v>97.8</v>
      </c>
      <c r="E678">
        <v>97.8</v>
      </c>
      <c r="F678" t="s">
        <v>2156</v>
      </c>
      <c r="G678" t="s">
        <v>2156</v>
      </c>
      <c r="H678">
        <f t="shared" si="13"/>
        <v>9</v>
      </c>
      <c r="L678" t="s">
        <v>52</v>
      </c>
      <c r="M678" s="1">
        <v>-1.7130499705672202E-2</v>
      </c>
      <c r="N678">
        <v>1876.91418457031</v>
      </c>
      <c r="O678">
        <v>626.64530000000002</v>
      </c>
      <c r="P678">
        <v>1876.93127441406</v>
      </c>
      <c r="Q678">
        <v>626.65106201171795</v>
      </c>
      <c r="R678">
        <v>3</v>
      </c>
      <c r="S678">
        <v>1</v>
      </c>
      <c r="T678">
        <v>10</v>
      </c>
      <c r="U678">
        <v>39.296520000000001</v>
      </c>
      <c r="V678">
        <v>122771.9</v>
      </c>
    </row>
    <row r="679" spans="1:22" x14ac:dyDescent="0.25">
      <c r="A679" t="s">
        <v>2146</v>
      </c>
      <c r="B679" t="s">
        <v>2147</v>
      </c>
      <c r="C679">
        <v>136</v>
      </c>
      <c r="D679">
        <v>97.5</v>
      </c>
      <c r="E679">
        <v>97.54</v>
      </c>
      <c r="F679" t="s">
        <v>2154</v>
      </c>
      <c r="G679" t="s">
        <v>2154</v>
      </c>
      <c r="H679">
        <f t="shared" si="13"/>
        <v>9</v>
      </c>
      <c r="L679" t="s">
        <v>295</v>
      </c>
      <c r="M679" s="1">
        <v>-6.4905900508165403E-3</v>
      </c>
      <c r="N679">
        <v>1766.92578125</v>
      </c>
      <c r="O679">
        <v>442.73869999999903</v>
      </c>
      <c r="P679">
        <v>1766.93225097656</v>
      </c>
      <c r="Q679">
        <v>442.74032592773301</v>
      </c>
      <c r="R679">
        <v>4</v>
      </c>
      <c r="S679">
        <v>1</v>
      </c>
      <c r="T679">
        <v>11</v>
      </c>
      <c r="U679">
        <v>20.323550000000001</v>
      </c>
      <c r="V679">
        <v>440131.9</v>
      </c>
    </row>
    <row r="680" spans="1:22" x14ac:dyDescent="0.25">
      <c r="A680" t="s">
        <v>2146</v>
      </c>
      <c r="B680" t="s">
        <v>2147</v>
      </c>
      <c r="C680">
        <v>136</v>
      </c>
      <c r="D680">
        <v>99</v>
      </c>
      <c r="E680">
        <v>99</v>
      </c>
      <c r="F680" t="s">
        <v>2154</v>
      </c>
      <c r="G680" t="s">
        <v>2154</v>
      </c>
      <c r="H680">
        <f t="shared" si="13"/>
        <v>9</v>
      </c>
      <c r="L680" t="s">
        <v>2157</v>
      </c>
      <c r="M680" s="1">
        <v>2.7174500282853699E-3</v>
      </c>
      <c r="N680">
        <v>1744.79064941406</v>
      </c>
      <c r="O680">
        <v>873.40260000000001</v>
      </c>
      <c r="P680">
        <v>1744.78796386719</v>
      </c>
      <c r="Q680">
        <v>873.40124511718705</v>
      </c>
      <c r="R680">
        <v>2</v>
      </c>
      <c r="S680">
        <v>1</v>
      </c>
      <c r="T680">
        <v>9</v>
      </c>
      <c r="U680">
        <v>30.540569999999899</v>
      </c>
      <c r="V680">
        <v>197726.8</v>
      </c>
    </row>
    <row r="681" spans="1:22" x14ac:dyDescent="0.25">
      <c r="A681" t="s">
        <v>3821</v>
      </c>
      <c r="B681" t="s">
        <v>3822</v>
      </c>
      <c r="C681">
        <v>63</v>
      </c>
      <c r="D681">
        <v>98.2</v>
      </c>
      <c r="E681">
        <v>98.15</v>
      </c>
      <c r="F681" t="s">
        <v>3823</v>
      </c>
      <c r="G681" t="s">
        <v>3823</v>
      </c>
      <c r="H681">
        <f t="shared" si="13"/>
        <v>9</v>
      </c>
      <c r="M681" s="1">
        <v>9.6126401331275702E-4</v>
      </c>
      <c r="N681">
        <v>1045.59301757813</v>
      </c>
      <c r="O681">
        <v>523.80380000000002</v>
      </c>
      <c r="P681">
        <v>1045.59204101563</v>
      </c>
      <c r="Q681">
        <v>523.80328369140602</v>
      </c>
      <c r="R681">
        <v>2</v>
      </c>
      <c r="S681">
        <v>2</v>
      </c>
      <c r="T681">
        <v>11</v>
      </c>
      <c r="U681">
        <v>41.829320000000003</v>
      </c>
      <c r="V681">
        <v>176124.1</v>
      </c>
    </row>
    <row r="682" spans="1:22" x14ac:dyDescent="0.25">
      <c r="A682" t="s">
        <v>611</v>
      </c>
      <c r="B682" t="s">
        <v>612</v>
      </c>
      <c r="C682">
        <v>599</v>
      </c>
      <c r="D682">
        <v>99</v>
      </c>
      <c r="E682">
        <v>99</v>
      </c>
      <c r="F682" t="s">
        <v>719</v>
      </c>
      <c r="G682" t="s">
        <v>719</v>
      </c>
      <c r="H682">
        <f t="shared" si="13"/>
        <v>18</v>
      </c>
      <c r="M682" s="1">
        <v>5.8031000662595001E-4</v>
      </c>
      <c r="N682">
        <v>1036.51953125</v>
      </c>
      <c r="O682">
        <v>519.26700000000005</v>
      </c>
      <c r="P682">
        <v>1036.51892089844</v>
      </c>
      <c r="Q682">
        <v>519.26672363281205</v>
      </c>
      <c r="R682">
        <v>2</v>
      </c>
      <c r="S682">
        <v>4</v>
      </c>
      <c r="T682">
        <v>12</v>
      </c>
      <c r="U682">
        <v>35.47025</v>
      </c>
      <c r="V682">
        <v>1208424</v>
      </c>
    </row>
    <row r="683" spans="1:22" x14ac:dyDescent="0.25">
      <c r="A683" t="s">
        <v>611</v>
      </c>
      <c r="B683" t="s">
        <v>612</v>
      </c>
      <c r="C683">
        <v>599</v>
      </c>
      <c r="D683">
        <v>99</v>
      </c>
      <c r="E683">
        <v>99</v>
      </c>
      <c r="F683" t="s">
        <v>720</v>
      </c>
      <c r="G683" t="s">
        <v>720</v>
      </c>
      <c r="H683">
        <f t="shared" si="13"/>
        <v>19</v>
      </c>
      <c r="M683" s="1">
        <v>1.6913299914449501E-3</v>
      </c>
      <c r="N683">
        <v>993.52606201171795</v>
      </c>
      <c r="O683">
        <v>497.77030000000002</v>
      </c>
      <c r="P683">
        <v>993.52435302734295</v>
      </c>
      <c r="Q683">
        <v>497.76943969726602</v>
      </c>
      <c r="R683">
        <v>2</v>
      </c>
      <c r="S683">
        <v>1</v>
      </c>
      <c r="T683">
        <v>12</v>
      </c>
      <c r="U683">
        <v>32.0410299999999</v>
      </c>
      <c r="V683">
        <v>411274.2</v>
      </c>
    </row>
    <row r="684" spans="1:22" x14ac:dyDescent="0.25">
      <c r="A684" t="s">
        <v>3974</v>
      </c>
      <c r="B684" t="s">
        <v>3975</v>
      </c>
      <c r="C684">
        <v>576</v>
      </c>
      <c r="D684">
        <v>99</v>
      </c>
      <c r="E684">
        <v>99</v>
      </c>
      <c r="F684" t="s">
        <v>3976</v>
      </c>
      <c r="G684" t="s">
        <v>3976</v>
      </c>
      <c r="H684">
        <f t="shared" si="13"/>
        <v>9</v>
      </c>
      <c r="M684" s="1">
        <v>2.5909200776368401E-3</v>
      </c>
      <c r="N684">
        <v>968.640869140625</v>
      </c>
      <c r="O684">
        <v>485.32769999999903</v>
      </c>
      <c r="P684">
        <v>968.63824462890602</v>
      </c>
      <c r="Q684">
        <v>485.326416015625</v>
      </c>
      <c r="R684">
        <v>2</v>
      </c>
      <c r="S684">
        <v>14</v>
      </c>
      <c r="T684">
        <v>12</v>
      </c>
      <c r="U684">
        <v>55.441949999999899</v>
      </c>
      <c r="V684">
        <v>754724.3</v>
      </c>
    </row>
    <row r="685" spans="1:22" x14ac:dyDescent="0.25">
      <c r="A685" t="s">
        <v>74</v>
      </c>
      <c r="B685" t="s">
        <v>75</v>
      </c>
      <c r="C685">
        <v>176</v>
      </c>
      <c r="D685">
        <v>98.5</v>
      </c>
      <c r="E685">
        <v>98.53</v>
      </c>
      <c r="F685" t="s">
        <v>76</v>
      </c>
      <c r="G685" t="s">
        <v>76</v>
      </c>
      <c r="H685">
        <f t="shared" si="13"/>
        <v>9</v>
      </c>
      <c r="M685" s="1">
        <v>2.7740199584513799E-3</v>
      </c>
      <c r="N685">
        <v>968.64105224609295</v>
      </c>
      <c r="O685">
        <v>485.32780000000002</v>
      </c>
      <c r="P685">
        <v>968.63824462890602</v>
      </c>
      <c r="Q685">
        <v>485.326416015625</v>
      </c>
      <c r="R685">
        <v>2</v>
      </c>
      <c r="S685">
        <v>18</v>
      </c>
      <c r="T685">
        <v>12</v>
      </c>
      <c r="U685">
        <v>55.405270000000002</v>
      </c>
      <c r="V685">
        <v>909611.1</v>
      </c>
    </row>
    <row r="686" spans="1:22" x14ac:dyDescent="0.25">
      <c r="A686" t="s">
        <v>2668</v>
      </c>
      <c r="B686" t="s">
        <v>2669</v>
      </c>
      <c r="C686">
        <v>230</v>
      </c>
      <c r="D686">
        <v>98.7</v>
      </c>
      <c r="E686">
        <v>98.7</v>
      </c>
      <c r="F686" t="s">
        <v>2670</v>
      </c>
      <c r="G686" t="s">
        <v>2670</v>
      </c>
      <c r="H686">
        <f t="shared" si="13"/>
        <v>9</v>
      </c>
      <c r="M686" s="1">
        <v>3.0712399166077401E-3</v>
      </c>
      <c r="N686">
        <v>1102.58422851563</v>
      </c>
      <c r="O686">
        <v>552.29939999999897</v>
      </c>
      <c r="P686">
        <v>1102.58117675781</v>
      </c>
      <c r="Q686">
        <v>552.2978515625</v>
      </c>
      <c r="R686">
        <v>2</v>
      </c>
      <c r="S686">
        <v>6</v>
      </c>
      <c r="T686">
        <v>11</v>
      </c>
      <c r="U686">
        <v>49.834870000000002</v>
      </c>
      <c r="V686">
        <v>3372053</v>
      </c>
    </row>
    <row r="687" spans="1:22" x14ac:dyDescent="0.25">
      <c r="A687" t="s">
        <v>2668</v>
      </c>
      <c r="B687" t="s">
        <v>2669</v>
      </c>
      <c r="C687">
        <v>32</v>
      </c>
      <c r="D687">
        <v>97.6</v>
      </c>
      <c r="E687">
        <v>97.63</v>
      </c>
      <c r="F687" t="s">
        <v>2671</v>
      </c>
      <c r="G687" t="s">
        <v>2671</v>
      </c>
      <c r="H687">
        <f t="shared" si="13"/>
        <v>16</v>
      </c>
      <c r="M687" s="1">
        <v>7.5655002146959201E-3</v>
      </c>
      <c r="N687">
        <v>1503.81213378906</v>
      </c>
      <c r="O687">
        <v>752.91330000000005</v>
      </c>
      <c r="P687">
        <v>1503.80456542969</v>
      </c>
      <c r="Q687">
        <v>752.90954589843705</v>
      </c>
      <c r="R687">
        <v>2</v>
      </c>
      <c r="S687">
        <v>1</v>
      </c>
      <c r="T687">
        <v>9</v>
      </c>
      <c r="U687">
        <v>48.031950000000002</v>
      </c>
      <c r="V687">
        <v>46034.5</v>
      </c>
    </row>
    <row r="688" spans="1:22" x14ac:dyDescent="0.25">
      <c r="A688" t="s">
        <v>2668</v>
      </c>
      <c r="B688" t="s">
        <v>2669</v>
      </c>
      <c r="C688">
        <v>133</v>
      </c>
      <c r="D688">
        <v>99</v>
      </c>
      <c r="E688">
        <v>99</v>
      </c>
      <c r="F688" t="s">
        <v>2672</v>
      </c>
      <c r="G688" t="s">
        <v>2672</v>
      </c>
      <c r="H688">
        <f t="shared" si="13"/>
        <v>11</v>
      </c>
      <c r="M688" s="1">
        <v>1.4619800494983801E-3</v>
      </c>
      <c r="N688">
        <v>1503.80603027344</v>
      </c>
      <c r="O688">
        <v>752.91030000000001</v>
      </c>
      <c r="P688">
        <v>1503.80456542969</v>
      </c>
      <c r="Q688">
        <v>752.90954589843705</v>
      </c>
      <c r="R688">
        <v>2</v>
      </c>
      <c r="S688">
        <v>1</v>
      </c>
      <c r="T688">
        <v>11</v>
      </c>
      <c r="U688">
        <v>48.040280000000003</v>
      </c>
      <c r="V688">
        <v>104394.5</v>
      </c>
    </row>
    <row r="689" spans="1:22" x14ac:dyDescent="0.25">
      <c r="A689" t="s">
        <v>305</v>
      </c>
      <c r="B689" t="s">
        <v>306</v>
      </c>
      <c r="C689">
        <v>59</v>
      </c>
      <c r="D689">
        <v>99</v>
      </c>
      <c r="E689">
        <v>99</v>
      </c>
      <c r="F689" t="s">
        <v>1707</v>
      </c>
      <c r="G689" t="s">
        <v>1707</v>
      </c>
      <c r="H689">
        <f t="shared" si="13"/>
        <v>12</v>
      </c>
      <c r="M689" s="1">
        <v>1.21234003454447E-2</v>
      </c>
      <c r="N689">
        <v>1617.85961914063</v>
      </c>
      <c r="O689">
        <v>809.93709999999896</v>
      </c>
      <c r="P689">
        <v>1617.84741210938</v>
      </c>
      <c r="Q689">
        <v>809.93103027343705</v>
      </c>
      <c r="R689">
        <v>2</v>
      </c>
      <c r="S689">
        <v>2</v>
      </c>
      <c r="T689">
        <v>14</v>
      </c>
      <c r="U689">
        <v>46.858229999999899</v>
      </c>
      <c r="V689">
        <v>112192.4</v>
      </c>
    </row>
    <row r="690" spans="1:22" x14ac:dyDescent="0.25">
      <c r="A690" t="s">
        <v>1708</v>
      </c>
      <c r="B690" t="s">
        <v>1709</v>
      </c>
      <c r="C690">
        <v>2628</v>
      </c>
      <c r="D690">
        <v>99</v>
      </c>
      <c r="E690">
        <v>99</v>
      </c>
      <c r="F690" t="s">
        <v>1710</v>
      </c>
      <c r="G690" t="s">
        <v>1710</v>
      </c>
      <c r="H690">
        <f t="shared" si="13"/>
        <v>20</v>
      </c>
      <c r="M690" s="1">
        <v>9.1937100514769606E-3</v>
      </c>
      <c r="N690">
        <v>1617.85668945313</v>
      </c>
      <c r="O690">
        <v>809.93560000000002</v>
      </c>
      <c r="P690">
        <v>1617.84741210938</v>
      </c>
      <c r="Q690">
        <v>809.93103027343705</v>
      </c>
      <c r="R690">
        <v>2</v>
      </c>
      <c r="S690">
        <v>2</v>
      </c>
      <c r="T690">
        <v>12</v>
      </c>
      <c r="U690">
        <v>46.916629999999898</v>
      </c>
      <c r="V690">
        <v>27965.93</v>
      </c>
    </row>
    <row r="691" spans="1:22" x14ac:dyDescent="0.25">
      <c r="A691" t="s">
        <v>341</v>
      </c>
      <c r="B691" t="s">
        <v>342</v>
      </c>
      <c r="C691">
        <v>767</v>
      </c>
      <c r="D691">
        <v>99</v>
      </c>
      <c r="E691">
        <v>99</v>
      </c>
      <c r="F691" t="s">
        <v>1713</v>
      </c>
      <c r="G691" t="s">
        <v>1713</v>
      </c>
      <c r="H691">
        <f t="shared" si="13"/>
        <v>9</v>
      </c>
      <c r="M691" s="1">
        <v>9.3765202909708006E-3</v>
      </c>
      <c r="N691">
        <v>1753.90930175781</v>
      </c>
      <c r="O691">
        <v>877.96190000000001</v>
      </c>
      <c r="P691">
        <v>1753.89990234375</v>
      </c>
      <c r="Q691">
        <v>877.95721435546795</v>
      </c>
      <c r="R691">
        <v>2</v>
      </c>
      <c r="S691">
        <v>1</v>
      </c>
      <c r="T691">
        <v>10</v>
      </c>
      <c r="U691">
        <v>44.022280000000002</v>
      </c>
      <c r="V691">
        <v>154404.9</v>
      </c>
    </row>
    <row r="692" spans="1:22" x14ac:dyDescent="0.25">
      <c r="A692" t="s">
        <v>341</v>
      </c>
      <c r="B692" t="s">
        <v>342</v>
      </c>
      <c r="C692">
        <v>590</v>
      </c>
      <c r="D692">
        <v>99</v>
      </c>
      <c r="E692">
        <v>99</v>
      </c>
      <c r="F692" t="s">
        <v>1714</v>
      </c>
      <c r="G692" t="s">
        <v>1714</v>
      </c>
      <c r="H692">
        <f t="shared" si="13"/>
        <v>16</v>
      </c>
      <c r="M692" s="1">
        <v>-1.5935800038278101E-3</v>
      </c>
      <c r="N692">
        <v>1881.95690917969</v>
      </c>
      <c r="O692">
        <v>941.98569999999904</v>
      </c>
      <c r="P692">
        <v>1881.95849609375</v>
      </c>
      <c r="Q692">
        <v>941.98651123046795</v>
      </c>
      <c r="R692">
        <v>2</v>
      </c>
      <c r="S692">
        <v>3</v>
      </c>
      <c r="T692">
        <v>11</v>
      </c>
      <c r="U692">
        <v>43.613529999999898</v>
      </c>
      <c r="V692">
        <v>110737.8</v>
      </c>
    </row>
    <row r="693" spans="1:22" x14ac:dyDescent="0.25">
      <c r="A693" t="s">
        <v>2034</v>
      </c>
      <c r="B693" t="s">
        <v>2035</v>
      </c>
      <c r="C693">
        <v>83</v>
      </c>
      <c r="D693">
        <v>99</v>
      </c>
      <c r="E693">
        <v>99</v>
      </c>
      <c r="F693" t="s">
        <v>28</v>
      </c>
      <c r="G693" t="s">
        <v>28</v>
      </c>
      <c r="H693">
        <f t="shared" si="13"/>
        <v>10</v>
      </c>
      <c r="M693" s="1">
        <v>1.3361100573092599E-3</v>
      </c>
      <c r="N693">
        <v>1881.95983886719</v>
      </c>
      <c r="O693">
        <v>941.98720000000003</v>
      </c>
      <c r="P693">
        <v>1881.95849609375</v>
      </c>
      <c r="Q693">
        <v>941.98651123046795</v>
      </c>
      <c r="R693">
        <v>2</v>
      </c>
      <c r="S693">
        <v>3</v>
      </c>
      <c r="T693">
        <v>13</v>
      </c>
      <c r="U693">
        <v>43.564230000000002</v>
      </c>
      <c r="V693">
        <v>147225.4</v>
      </c>
    </row>
    <row r="694" spans="1:22" x14ac:dyDescent="0.25">
      <c r="A694" t="s">
        <v>973</v>
      </c>
      <c r="B694" t="s">
        <v>974</v>
      </c>
      <c r="C694">
        <v>299</v>
      </c>
      <c r="D694">
        <v>99</v>
      </c>
      <c r="E694">
        <v>99</v>
      </c>
      <c r="F694" t="s">
        <v>975</v>
      </c>
      <c r="G694" t="s">
        <v>975</v>
      </c>
      <c r="H694">
        <f t="shared" si="13"/>
        <v>19</v>
      </c>
      <c r="M694" s="1">
        <v>4.01005987077951E-3</v>
      </c>
      <c r="N694">
        <v>1696.92224121094</v>
      </c>
      <c r="O694">
        <v>566.64800000000002</v>
      </c>
      <c r="P694">
        <v>1696.91821289063</v>
      </c>
      <c r="Q694">
        <v>566.64666748046795</v>
      </c>
      <c r="R694">
        <v>3</v>
      </c>
      <c r="S694">
        <v>1</v>
      </c>
      <c r="T694">
        <v>16</v>
      </c>
      <c r="U694">
        <v>36.249299999999899</v>
      </c>
      <c r="V694">
        <v>289189.40000000002</v>
      </c>
    </row>
    <row r="695" spans="1:22" x14ac:dyDescent="0.25">
      <c r="A695" t="s">
        <v>973</v>
      </c>
      <c r="B695" t="s">
        <v>974</v>
      </c>
      <c r="C695">
        <v>57</v>
      </c>
      <c r="D695">
        <v>98.5</v>
      </c>
      <c r="E695">
        <v>98.49</v>
      </c>
      <c r="F695" t="s">
        <v>976</v>
      </c>
      <c r="G695" t="s">
        <v>976</v>
      </c>
      <c r="H695">
        <f t="shared" si="13"/>
        <v>9</v>
      </c>
      <c r="M695">
        <v>6.2799999999999998E-4</v>
      </c>
      <c r="N695">
        <v>1925.00134277344</v>
      </c>
      <c r="O695">
        <v>642.67439999999897</v>
      </c>
      <c r="P695">
        <v>1925.00073242188</v>
      </c>
      <c r="Q695">
        <v>642.67419433593705</v>
      </c>
      <c r="R695">
        <v>3</v>
      </c>
      <c r="S695">
        <v>2</v>
      </c>
      <c r="T695">
        <v>15</v>
      </c>
      <c r="U695">
        <v>34.566470000000002</v>
      </c>
      <c r="V695">
        <v>648094.6</v>
      </c>
    </row>
    <row r="696" spans="1:22" x14ac:dyDescent="0.25">
      <c r="A696" t="s">
        <v>973</v>
      </c>
      <c r="B696" t="s">
        <v>974</v>
      </c>
      <c r="C696">
        <v>204</v>
      </c>
      <c r="D696">
        <v>98.6</v>
      </c>
      <c r="E696">
        <v>98.61</v>
      </c>
      <c r="F696" t="s">
        <v>977</v>
      </c>
      <c r="G696" t="s">
        <v>977</v>
      </c>
      <c r="H696">
        <f t="shared" si="13"/>
        <v>14</v>
      </c>
      <c r="M696" s="1">
        <v>-2.5915598962455901E-4</v>
      </c>
      <c r="N696">
        <v>1081.56530761719</v>
      </c>
      <c r="O696">
        <v>541.78989999999897</v>
      </c>
      <c r="P696">
        <v>1081.56555175781</v>
      </c>
      <c r="Q696">
        <v>541.7900390625</v>
      </c>
      <c r="R696">
        <v>2</v>
      </c>
      <c r="S696">
        <v>1</v>
      </c>
      <c r="T696">
        <v>11</v>
      </c>
      <c r="U696">
        <v>25.210519999999899</v>
      </c>
      <c r="V696">
        <v>652282.4</v>
      </c>
    </row>
    <row r="697" spans="1:22" x14ac:dyDescent="0.25">
      <c r="A697" t="s">
        <v>973</v>
      </c>
      <c r="B697" t="s">
        <v>974</v>
      </c>
      <c r="C697">
        <v>204</v>
      </c>
      <c r="D697">
        <v>97.7</v>
      </c>
      <c r="E697">
        <v>97.7</v>
      </c>
      <c r="F697" t="s">
        <v>978</v>
      </c>
      <c r="G697" t="s">
        <v>978</v>
      </c>
      <c r="H697">
        <f t="shared" si="13"/>
        <v>15</v>
      </c>
      <c r="M697">
        <v>7.2900000000000005E-4</v>
      </c>
      <c r="N697">
        <v>1772.70544433594</v>
      </c>
      <c r="O697">
        <v>887.36</v>
      </c>
      <c r="P697">
        <v>1772.70471191406</v>
      </c>
      <c r="Q697">
        <v>887.359619140625</v>
      </c>
      <c r="R697">
        <v>2</v>
      </c>
      <c r="S697">
        <v>2</v>
      </c>
      <c r="T697">
        <v>11</v>
      </c>
      <c r="U697">
        <v>39.910620000000002</v>
      </c>
      <c r="V697">
        <v>204775.8</v>
      </c>
    </row>
    <row r="698" spans="1:22" x14ac:dyDescent="0.25">
      <c r="A698" t="s">
        <v>973</v>
      </c>
      <c r="B698" t="s">
        <v>974</v>
      </c>
      <c r="C698">
        <v>128</v>
      </c>
      <c r="D698">
        <v>99</v>
      </c>
      <c r="E698">
        <v>99</v>
      </c>
      <c r="F698" t="s">
        <v>979</v>
      </c>
      <c r="G698" t="s">
        <v>979</v>
      </c>
      <c r="H698">
        <f t="shared" si="13"/>
        <v>16</v>
      </c>
      <c r="M698" s="1">
        <v>1.7055099597200699E-3</v>
      </c>
      <c r="N698">
        <v>1772.70642089844</v>
      </c>
      <c r="O698">
        <v>887.3605</v>
      </c>
      <c r="P698">
        <v>1772.70471191406</v>
      </c>
      <c r="Q698">
        <v>887.359619140625</v>
      </c>
      <c r="R698">
        <v>2</v>
      </c>
      <c r="S698">
        <v>1</v>
      </c>
      <c r="T698">
        <v>9</v>
      </c>
      <c r="U698">
        <v>39.927079999999897</v>
      </c>
      <c r="V698">
        <v>126489.3</v>
      </c>
    </row>
    <row r="699" spans="1:22" x14ac:dyDescent="0.25">
      <c r="A699" t="s">
        <v>973</v>
      </c>
      <c r="B699" t="s">
        <v>974</v>
      </c>
      <c r="C699">
        <v>299</v>
      </c>
      <c r="D699">
        <v>99</v>
      </c>
      <c r="E699">
        <v>99</v>
      </c>
      <c r="F699" t="s">
        <v>975</v>
      </c>
      <c r="G699" t="s">
        <v>975</v>
      </c>
      <c r="H699">
        <f t="shared" si="13"/>
        <v>19</v>
      </c>
      <c r="L699" t="s">
        <v>47</v>
      </c>
      <c r="M699" s="1">
        <v>4.3976400047540602E-2</v>
      </c>
      <c r="N699">
        <v>2546.37084960938</v>
      </c>
      <c r="O699">
        <v>637.6</v>
      </c>
      <c r="P699">
        <v>2546.32690429688</v>
      </c>
      <c r="Q699">
        <v>637.58898925781205</v>
      </c>
      <c r="R699">
        <v>4</v>
      </c>
      <c r="S699">
        <v>1</v>
      </c>
      <c r="T699">
        <v>10</v>
      </c>
      <c r="U699">
        <v>43.028129999999898</v>
      </c>
      <c r="V699">
        <v>215299.6</v>
      </c>
    </row>
    <row r="700" spans="1:22" x14ac:dyDescent="0.25">
      <c r="A700" t="s">
        <v>973</v>
      </c>
      <c r="B700" t="s">
        <v>974</v>
      </c>
      <c r="C700">
        <v>128</v>
      </c>
      <c r="D700">
        <v>99</v>
      </c>
      <c r="E700">
        <v>99</v>
      </c>
      <c r="F700" t="s">
        <v>979</v>
      </c>
      <c r="G700" t="s">
        <v>979</v>
      </c>
      <c r="H700">
        <f t="shared" si="13"/>
        <v>16</v>
      </c>
      <c r="L700" t="s">
        <v>183</v>
      </c>
      <c r="M700" s="1">
        <v>1.6943100839853301E-2</v>
      </c>
      <c r="N700">
        <v>1912.96350097656</v>
      </c>
      <c r="O700">
        <v>957.48900000000003</v>
      </c>
      <c r="P700">
        <v>1912.94653320313</v>
      </c>
      <c r="Q700">
        <v>957.48052978515602</v>
      </c>
      <c r="R700">
        <v>2</v>
      </c>
      <c r="S700">
        <v>4</v>
      </c>
      <c r="T700">
        <v>14</v>
      </c>
      <c r="U700">
        <v>40.364870000000003</v>
      </c>
      <c r="V700">
        <v>129084.1</v>
      </c>
    </row>
    <row r="701" spans="1:22" x14ac:dyDescent="0.25">
      <c r="A701" t="s">
        <v>2849</v>
      </c>
      <c r="B701" t="s">
        <v>2850</v>
      </c>
      <c r="C701">
        <v>228</v>
      </c>
      <c r="D701">
        <v>98.8</v>
      </c>
      <c r="E701">
        <v>98.82</v>
      </c>
      <c r="F701" t="s">
        <v>2851</v>
      </c>
      <c r="G701" t="s">
        <v>2851</v>
      </c>
      <c r="H701">
        <f t="shared" si="13"/>
        <v>15</v>
      </c>
      <c r="M701">
        <v>-1.9999999999999999E-6</v>
      </c>
      <c r="N701">
        <v>1861.00573730469</v>
      </c>
      <c r="O701">
        <v>621.34249999999895</v>
      </c>
      <c r="P701">
        <v>1861.00573730469</v>
      </c>
      <c r="Q701">
        <v>621.342529296875</v>
      </c>
      <c r="R701">
        <v>3</v>
      </c>
      <c r="S701">
        <v>1</v>
      </c>
      <c r="T701">
        <v>12</v>
      </c>
      <c r="U701">
        <v>41.814230000000002</v>
      </c>
      <c r="V701">
        <v>309424.09999999899</v>
      </c>
    </row>
    <row r="702" spans="1:22" x14ac:dyDescent="0.25">
      <c r="A702" t="s">
        <v>2849</v>
      </c>
      <c r="B702" t="s">
        <v>2850</v>
      </c>
      <c r="C702">
        <v>229</v>
      </c>
      <c r="D702">
        <v>97.8</v>
      </c>
      <c r="E702">
        <v>97.76</v>
      </c>
      <c r="F702" t="s">
        <v>2852</v>
      </c>
      <c r="G702" t="s">
        <v>2852</v>
      </c>
      <c r="H702">
        <f t="shared" si="13"/>
        <v>14</v>
      </c>
      <c r="M702">
        <v>1.7060000000000001E-3</v>
      </c>
      <c r="N702">
        <v>833.44128417968705</v>
      </c>
      <c r="O702">
        <v>417.72789999999901</v>
      </c>
      <c r="P702">
        <v>833.43957519531205</v>
      </c>
      <c r="Q702">
        <v>417.72705078125</v>
      </c>
      <c r="R702">
        <v>2</v>
      </c>
      <c r="S702">
        <v>4</v>
      </c>
      <c r="T702">
        <v>11</v>
      </c>
      <c r="U702">
        <v>28.87622</v>
      </c>
      <c r="V702">
        <v>2456963</v>
      </c>
    </row>
    <row r="703" spans="1:22" x14ac:dyDescent="0.25">
      <c r="A703" t="s">
        <v>2849</v>
      </c>
      <c r="B703" t="s">
        <v>2850</v>
      </c>
      <c r="C703">
        <v>394</v>
      </c>
      <c r="D703">
        <v>99</v>
      </c>
      <c r="E703">
        <v>99</v>
      </c>
      <c r="F703" t="s">
        <v>2853</v>
      </c>
      <c r="G703" t="s">
        <v>2853</v>
      </c>
      <c r="H703">
        <f t="shared" si="13"/>
        <v>16</v>
      </c>
      <c r="M703" s="1">
        <v>4.2692399583756802E-3</v>
      </c>
      <c r="N703">
        <v>833.44384765625</v>
      </c>
      <c r="O703">
        <v>417.72919999999903</v>
      </c>
      <c r="P703">
        <v>833.43957519531205</v>
      </c>
      <c r="Q703">
        <v>417.72705078125</v>
      </c>
      <c r="R703">
        <v>2</v>
      </c>
      <c r="S703">
        <v>4</v>
      </c>
      <c r="T703">
        <v>10</v>
      </c>
      <c r="U703">
        <v>28.55622</v>
      </c>
      <c r="V703">
        <v>252203.8</v>
      </c>
    </row>
    <row r="704" spans="1:22" x14ac:dyDescent="0.25">
      <c r="A704" t="s">
        <v>2849</v>
      </c>
      <c r="B704" t="s">
        <v>2850</v>
      </c>
      <c r="C704">
        <v>230</v>
      </c>
      <c r="D704">
        <v>97.4</v>
      </c>
      <c r="E704">
        <v>97.44</v>
      </c>
      <c r="F704" t="s">
        <v>2854</v>
      </c>
      <c r="G704" t="s">
        <v>2854</v>
      </c>
      <c r="H704">
        <f t="shared" si="13"/>
        <v>13</v>
      </c>
      <c r="M704" s="1">
        <v>1.57928001135588E-3</v>
      </c>
      <c r="N704">
        <v>892.478271484375</v>
      </c>
      <c r="O704">
        <v>447.24639999999903</v>
      </c>
      <c r="P704">
        <v>892.47668457031205</v>
      </c>
      <c r="Q704">
        <v>447.24560546875</v>
      </c>
      <c r="R704">
        <v>2</v>
      </c>
      <c r="S704">
        <v>2</v>
      </c>
      <c r="T704">
        <v>11</v>
      </c>
      <c r="U704">
        <v>30.341200000000001</v>
      </c>
      <c r="V704">
        <v>8935201</v>
      </c>
    </row>
    <row r="705" spans="1:22" x14ac:dyDescent="0.25">
      <c r="A705" t="s">
        <v>2649</v>
      </c>
      <c r="B705" t="s">
        <v>2650</v>
      </c>
      <c r="C705">
        <v>90</v>
      </c>
      <c r="D705">
        <v>97.7</v>
      </c>
      <c r="E705">
        <v>97.65</v>
      </c>
      <c r="F705" t="s">
        <v>2651</v>
      </c>
      <c r="G705" t="s">
        <v>2651</v>
      </c>
      <c r="H705">
        <f t="shared" si="13"/>
        <v>9</v>
      </c>
      <c r="M705" s="1">
        <v>9.6892897272482504E-4</v>
      </c>
      <c r="N705">
        <v>892.47766113281205</v>
      </c>
      <c r="O705">
        <v>447.24610000000001</v>
      </c>
      <c r="P705">
        <v>892.47668457031205</v>
      </c>
      <c r="Q705">
        <v>447.24560546875</v>
      </c>
      <c r="R705">
        <v>2</v>
      </c>
      <c r="S705">
        <v>1</v>
      </c>
      <c r="T705">
        <v>11</v>
      </c>
      <c r="U705">
        <v>30.2715</v>
      </c>
      <c r="V705">
        <v>11909440</v>
      </c>
    </row>
    <row r="706" spans="1:22" x14ac:dyDescent="0.25">
      <c r="A706" t="s">
        <v>3611</v>
      </c>
      <c r="B706" t="s">
        <v>3612</v>
      </c>
      <c r="C706">
        <v>527</v>
      </c>
      <c r="D706">
        <v>97.1</v>
      </c>
      <c r="E706">
        <v>97.09</v>
      </c>
      <c r="F706" t="s">
        <v>3613</v>
      </c>
      <c r="G706" t="s">
        <v>3613</v>
      </c>
      <c r="H706">
        <f t="shared" si="13"/>
        <v>9</v>
      </c>
      <c r="M706" s="1">
        <v>3.9664101786911401E-3</v>
      </c>
      <c r="N706">
        <v>1021.50549316406</v>
      </c>
      <c r="O706">
        <v>511.76</v>
      </c>
      <c r="P706">
        <v>1021.50152587891</v>
      </c>
      <c r="Q706">
        <v>511.75802612304602</v>
      </c>
      <c r="R706">
        <v>2</v>
      </c>
      <c r="S706">
        <v>1</v>
      </c>
      <c r="T706">
        <v>11</v>
      </c>
      <c r="U706">
        <v>32.5458199999999</v>
      </c>
      <c r="V706">
        <v>6172865</v>
      </c>
    </row>
    <row r="707" spans="1:22" x14ac:dyDescent="0.25">
      <c r="A707" t="s">
        <v>1938</v>
      </c>
      <c r="B707" t="s">
        <v>1939</v>
      </c>
      <c r="C707">
        <v>39</v>
      </c>
      <c r="D707">
        <v>98.9</v>
      </c>
      <c r="E707">
        <v>98.85</v>
      </c>
      <c r="F707" t="s">
        <v>1940</v>
      </c>
      <c r="G707" t="s">
        <v>1940</v>
      </c>
      <c r="H707">
        <f t="shared" ref="H707:H770" si="14">LEN(G707)</f>
        <v>9</v>
      </c>
      <c r="M707" s="1">
        <v>2.33347993344069E-3</v>
      </c>
      <c r="N707">
        <v>1006.55047607422</v>
      </c>
      <c r="O707">
        <v>504.28250000000003</v>
      </c>
      <c r="P707">
        <v>1006.54809570313</v>
      </c>
      <c r="Q707">
        <v>504.28134155273301</v>
      </c>
      <c r="R707">
        <v>2</v>
      </c>
      <c r="S707">
        <v>2</v>
      </c>
      <c r="T707">
        <v>11</v>
      </c>
      <c r="U707">
        <v>34.369450000000001</v>
      </c>
      <c r="V707">
        <v>4976383</v>
      </c>
    </row>
    <row r="708" spans="1:22" x14ac:dyDescent="0.25">
      <c r="A708" t="s">
        <v>443</v>
      </c>
      <c r="B708" t="s">
        <v>444</v>
      </c>
      <c r="C708">
        <v>98</v>
      </c>
      <c r="D708">
        <v>97.9</v>
      </c>
      <c r="E708">
        <v>97.9</v>
      </c>
      <c r="F708" t="s">
        <v>445</v>
      </c>
      <c r="G708" t="s">
        <v>445</v>
      </c>
      <c r="H708">
        <f t="shared" si="14"/>
        <v>9</v>
      </c>
      <c r="M708">
        <v>1.9059999999999999E-3</v>
      </c>
      <c r="N708">
        <v>1006.55004882813</v>
      </c>
      <c r="O708">
        <v>504.28230000000002</v>
      </c>
      <c r="P708">
        <v>1006.54809570313</v>
      </c>
      <c r="Q708">
        <v>504.28134155273301</v>
      </c>
      <c r="R708">
        <v>2</v>
      </c>
      <c r="S708">
        <v>3</v>
      </c>
      <c r="T708">
        <v>13</v>
      </c>
      <c r="U708">
        <v>34.390900000000002</v>
      </c>
      <c r="V708">
        <v>4624963</v>
      </c>
    </row>
    <row r="709" spans="1:22" x14ac:dyDescent="0.25">
      <c r="A709" t="s">
        <v>1062</v>
      </c>
      <c r="B709" t="s">
        <v>368</v>
      </c>
      <c r="C709">
        <v>304</v>
      </c>
      <c r="D709">
        <v>99</v>
      </c>
      <c r="E709">
        <v>99</v>
      </c>
      <c r="F709" t="s">
        <v>1063</v>
      </c>
      <c r="G709" t="s">
        <v>1063</v>
      </c>
      <c r="H709">
        <f t="shared" si="14"/>
        <v>9</v>
      </c>
      <c r="M709" s="1">
        <v>3.6784498952329202E-3</v>
      </c>
      <c r="N709">
        <v>2107.12109375</v>
      </c>
      <c r="O709">
        <v>703.38099999999895</v>
      </c>
      <c r="P709">
        <v>2107.11743164063</v>
      </c>
      <c r="Q709">
        <v>703.37976074218705</v>
      </c>
      <c r="R709">
        <v>3</v>
      </c>
      <c r="S709">
        <v>1</v>
      </c>
      <c r="T709">
        <v>11</v>
      </c>
      <c r="U709">
        <v>25.31072</v>
      </c>
      <c r="V709">
        <v>699334.5</v>
      </c>
    </row>
    <row r="710" spans="1:22" x14ac:dyDescent="0.25">
      <c r="A710" t="s">
        <v>1062</v>
      </c>
      <c r="B710" t="s">
        <v>368</v>
      </c>
      <c r="C710">
        <v>131</v>
      </c>
      <c r="D710">
        <v>99</v>
      </c>
      <c r="E710">
        <v>99</v>
      </c>
      <c r="F710" t="s">
        <v>369</v>
      </c>
      <c r="G710" t="s">
        <v>369</v>
      </c>
      <c r="H710">
        <f t="shared" si="14"/>
        <v>9</v>
      </c>
      <c r="M710" s="1">
        <v>4.2668599635362504E-3</v>
      </c>
      <c r="N710">
        <v>1014.61566162109</v>
      </c>
      <c r="O710">
        <v>508.31509999999901</v>
      </c>
      <c r="P710">
        <v>1014.61138916016</v>
      </c>
      <c r="Q710">
        <v>508.31295776367102</v>
      </c>
      <c r="R710">
        <v>2</v>
      </c>
      <c r="S710">
        <v>4</v>
      </c>
      <c r="T710">
        <v>13</v>
      </c>
      <c r="U710">
        <v>49.990630000000003</v>
      </c>
      <c r="V710">
        <v>3121649</v>
      </c>
    </row>
    <row r="711" spans="1:22" x14ac:dyDescent="0.25">
      <c r="A711" t="s">
        <v>3866</v>
      </c>
      <c r="B711" t="s">
        <v>3867</v>
      </c>
      <c r="C711">
        <v>550</v>
      </c>
      <c r="D711">
        <v>98.2</v>
      </c>
      <c r="E711">
        <v>98.23</v>
      </c>
      <c r="F711" t="s">
        <v>340</v>
      </c>
      <c r="G711" t="s">
        <v>340</v>
      </c>
      <c r="H711">
        <f t="shared" si="14"/>
        <v>9</v>
      </c>
      <c r="M711" s="1">
        <v>4.4499700888991304E-3</v>
      </c>
      <c r="N711">
        <v>1014.61584472656</v>
      </c>
      <c r="O711">
        <v>508.3152</v>
      </c>
      <c r="P711">
        <v>1014.61138916016</v>
      </c>
      <c r="Q711">
        <v>508.31295776367102</v>
      </c>
      <c r="R711">
        <v>2</v>
      </c>
      <c r="S711">
        <v>4</v>
      </c>
      <c r="T711">
        <v>13</v>
      </c>
      <c r="U711">
        <v>49.742849999999898</v>
      </c>
      <c r="V711">
        <v>898049.1</v>
      </c>
    </row>
    <row r="712" spans="1:22" x14ac:dyDescent="0.25">
      <c r="A712" t="s">
        <v>2197</v>
      </c>
      <c r="B712" t="s">
        <v>2198</v>
      </c>
      <c r="C712">
        <v>15</v>
      </c>
      <c r="D712">
        <v>99</v>
      </c>
      <c r="E712">
        <v>99</v>
      </c>
      <c r="F712" t="s">
        <v>2199</v>
      </c>
      <c r="G712" t="s">
        <v>2199</v>
      </c>
      <c r="H712">
        <f t="shared" si="14"/>
        <v>9</v>
      </c>
      <c r="M712" s="1">
        <v>-1.14132999442518E-3</v>
      </c>
      <c r="N712">
        <v>1765.98547363281</v>
      </c>
      <c r="O712">
        <v>884</v>
      </c>
      <c r="P712">
        <v>1765.98657226563</v>
      </c>
      <c r="Q712">
        <v>884.00054931640602</v>
      </c>
      <c r="R712">
        <v>2</v>
      </c>
      <c r="S712">
        <v>2</v>
      </c>
      <c r="T712">
        <v>15</v>
      </c>
      <c r="U712">
        <v>55.848820000000003</v>
      </c>
      <c r="V712">
        <v>189881.8</v>
      </c>
    </row>
    <row r="713" spans="1:22" x14ac:dyDescent="0.25">
      <c r="A713" t="s">
        <v>4530</v>
      </c>
      <c r="B713" t="s">
        <v>4531</v>
      </c>
      <c r="C713">
        <v>481</v>
      </c>
      <c r="D713">
        <v>99</v>
      </c>
      <c r="E713">
        <v>99</v>
      </c>
      <c r="F713" t="s">
        <v>4532</v>
      </c>
      <c r="G713" t="s">
        <v>4532</v>
      </c>
      <c r="H713">
        <f t="shared" si="14"/>
        <v>15</v>
      </c>
      <c r="M713" s="1">
        <v>-1.14132999442518E-3</v>
      </c>
      <c r="N713">
        <v>1765.98547363281</v>
      </c>
      <c r="O713">
        <v>884</v>
      </c>
      <c r="P713">
        <v>1765.98657226563</v>
      </c>
      <c r="Q713">
        <v>884.00054931640602</v>
      </c>
      <c r="R713">
        <v>2</v>
      </c>
      <c r="S713">
        <v>1</v>
      </c>
      <c r="T713">
        <v>16</v>
      </c>
      <c r="U713">
        <v>55.864600000000003</v>
      </c>
      <c r="V713">
        <v>441649.2</v>
      </c>
    </row>
    <row r="714" spans="1:22" x14ac:dyDescent="0.25">
      <c r="A714" t="s">
        <v>4533</v>
      </c>
      <c r="B714" t="s">
        <v>4534</v>
      </c>
      <c r="C714">
        <v>145</v>
      </c>
      <c r="D714">
        <v>97.1</v>
      </c>
      <c r="E714">
        <v>97.13</v>
      </c>
      <c r="F714" t="s">
        <v>4535</v>
      </c>
      <c r="G714" t="s">
        <v>4535</v>
      </c>
      <c r="H714">
        <f t="shared" si="14"/>
        <v>16</v>
      </c>
      <c r="M714" s="1">
        <v>8.2967104390263505E-3</v>
      </c>
      <c r="N714">
        <v>1504.80090332031</v>
      </c>
      <c r="O714">
        <v>753.40769999999895</v>
      </c>
      <c r="P714">
        <v>1504.79260253906</v>
      </c>
      <c r="Q714">
        <v>753.403564453125</v>
      </c>
      <c r="R714">
        <v>2</v>
      </c>
      <c r="S714">
        <v>1</v>
      </c>
      <c r="T714">
        <v>9</v>
      </c>
      <c r="U714">
        <v>44.435130000000001</v>
      </c>
      <c r="V714">
        <v>98980.73</v>
      </c>
    </row>
    <row r="715" spans="1:22" x14ac:dyDescent="0.25">
      <c r="A715" t="s">
        <v>2855</v>
      </c>
      <c r="B715" t="s">
        <v>2856</v>
      </c>
      <c r="C715">
        <v>367</v>
      </c>
      <c r="D715">
        <v>97.2</v>
      </c>
      <c r="E715">
        <v>97.22</v>
      </c>
      <c r="F715" t="s">
        <v>2857</v>
      </c>
      <c r="G715" t="s">
        <v>2857</v>
      </c>
      <c r="H715">
        <f t="shared" si="14"/>
        <v>16</v>
      </c>
      <c r="M715" s="1">
        <v>9.8836198449134705E-3</v>
      </c>
      <c r="N715">
        <v>1504.80249023438</v>
      </c>
      <c r="O715">
        <v>753.4085</v>
      </c>
      <c r="P715">
        <v>1504.79260253906</v>
      </c>
      <c r="Q715">
        <v>753.403564453125</v>
      </c>
      <c r="R715">
        <v>2</v>
      </c>
      <c r="S715">
        <v>1</v>
      </c>
      <c r="T715">
        <v>10</v>
      </c>
      <c r="U715">
        <v>44.373600000000003</v>
      </c>
      <c r="V715">
        <v>96815.02</v>
      </c>
    </row>
    <row r="716" spans="1:22" x14ac:dyDescent="0.25">
      <c r="A716" t="s">
        <v>870</v>
      </c>
      <c r="B716" t="s">
        <v>871</v>
      </c>
      <c r="C716">
        <v>620</v>
      </c>
      <c r="D716">
        <v>99</v>
      </c>
      <c r="E716">
        <v>99</v>
      </c>
      <c r="F716" t="s">
        <v>872</v>
      </c>
      <c r="G716" t="s">
        <v>872</v>
      </c>
      <c r="H716">
        <f t="shared" si="14"/>
        <v>16</v>
      </c>
      <c r="M716" s="1">
        <v>1.1871099704876501E-3</v>
      </c>
      <c r="N716">
        <v>1016.63946533203</v>
      </c>
      <c r="O716">
        <v>509.327</v>
      </c>
      <c r="P716">
        <v>1016.63824462891</v>
      </c>
      <c r="Q716">
        <v>509.326416015625</v>
      </c>
      <c r="R716">
        <v>2</v>
      </c>
      <c r="S716">
        <v>3</v>
      </c>
      <c r="T716">
        <v>12</v>
      </c>
      <c r="U716">
        <v>32.973030000000001</v>
      </c>
      <c r="V716">
        <v>2601018</v>
      </c>
    </row>
    <row r="717" spans="1:22" x14ac:dyDescent="0.25">
      <c r="A717" t="s">
        <v>181</v>
      </c>
      <c r="B717" t="s">
        <v>182</v>
      </c>
      <c r="C717">
        <v>297</v>
      </c>
      <c r="D717">
        <v>99</v>
      </c>
      <c r="E717">
        <v>99</v>
      </c>
      <c r="F717" t="s">
        <v>1191</v>
      </c>
      <c r="G717" t="s">
        <v>1191</v>
      </c>
      <c r="H717">
        <f t="shared" si="14"/>
        <v>15</v>
      </c>
      <c r="M717">
        <v>1.797E-3</v>
      </c>
      <c r="N717">
        <v>1016.64007568359</v>
      </c>
      <c r="O717">
        <v>509.32729999999901</v>
      </c>
      <c r="P717">
        <v>1016.63824462891</v>
      </c>
      <c r="Q717">
        <v>509.326416015625</v>
      </c>
      <c r="R717">
        <v>2</v>
      </c>
      <c r="S717">
        <v>1</v>
      </c>
      <c r="T717">
        <v>12</v>
      </c>
      <c r="U717">
        <v>33.00835</v>
      </c>
      <c r="V717">
        <v>1071370</v>
      </c>
    </row>
    <row r="718" spans="1:22" x14ac:dyDescent="0.25">
      <c r="A718" t="s">
        <v>181</v>
      </c>
      <c r="B718" t="s">
        <v>182</v>
      </c>
      <c r="C718">
        <v>261</v>
      </c>
      <c r="D718">
        <v>99</v>
      </c>
      <c r="E718">
        <v>99</v>
      </c>
      <c r="F718" t="s">
        <v>1192</v>
      </c>
      <c r="G718" t="s">
        <v>1192</v>
      </c>
      <c r="H718">
        <f t="shared" si="14"/>
        <v>19</v>
      </c>
      <c r="M718">
        <v>2.2820000000000002E-3</v>
      </c>
      <c r="N718">
        <v>993.61065673828102</v>
      </c>
      <c r="O718">
        <v>497.81259999999901</v>
      </c>
      <c r="P718">
        <v>993.60833740234295</v>
      </c>
      <c r="Q718">
        <v>497.81146240234301</v>
      </c>
      <c r="R718">
        <v>2</v>
      </c>
      <c r="S718">
        <v>2</v>
      </c>
      <c r="T718">
        <v>11</v>
      </c>
      <c r="U718">
        <v>29.2587499999999</v>
      </c>
      <c r="V718">
        <v>2707974</v>
      </c>
    </row>
    <row r="719" spans="1:22" x14ac:dyDescent="0.25">
      <c r="A719" t="s">
        <v>181</v>
      </c>
      <c r="B719" t="s">
        <v>182</v>
      </c>
      <c r="C719">
        <v>343</v>
      </c>
      <c r="D719">
        <v>99</v>
      </c>
      <c r="E719">
        <v>99</v>
      </c>
      <c r="F719" t="s">
        <v>1193</v>
      </c>
      <c r="G719" t="s">
        <v>1193</v>
      </c>
      <c r="H719">
        <f t="shared" si="14"/>
        <v>22</v>
      </c>
      <c r="M719" s="1">
        <v>1.6712900251150101E-3</v>
      </c>
      <c r="N719">
        <v>993.61004638671795</v>
      </c>
      <c r="O719">
        <v>497.81229999999903</v>
      </c>
      <c r="P719">
        <v>993.60833740234295</v>
      </c>
      <c r="Q719">
        <v>497.81146240234301</v>
      </c>
      <c r="R719">
        <v>2</v>
      </c>
      <c r="S719">
        <v>2</v>
      </c>
      <c r="T719">
        <v>11</v>
      </c>
      <c r="U719">
        <v>29.249020000000002</v>
      </c>
      <c r="V719">
        <v>2215223</v>
      </c>
    </row>
    <row r="720" spans="1:22" x14ac:dyDescent="0.25">
      <c r="A720" t="s">
        <v>548</v>
      </c>
      <c r="B720" t="s">
        <v>549</v>
      </c>
      <c r="C720">
        <v>308</v>
      </c>
      <c r="D720">
        <v>99</v>
      </c>
      <c r="E720">
        <v>99</v>
      </c>
      <c r="F720" t="s">
        <v>1358</v>
      </c>
      <c r="G720" t="s">
        <v>1358</v>
      </c>
      <c r="H720">
        <f t="shared" si="14"/>
        <v>13</v>
      </c>
      <c r="M720" s="1">
        <v>2.41108005866408E-3</v>
      </c>
      <c r="N720">
        <v>964.5478515625</v>
      </c>
      <c r="O720">
        <v>483.28120000000001</v>
      </c>
      <c r="P720">
        <v>964.54541015625</v>
      </c>
      <c r="Q720">
        <v>483.27996826171801</v>
      </c>
      <c r="R720">
        <v>2</v>
      </c>
      <c r="S720">
        <v>3</v>
      </c>
      <c r="T720">
        <v>11</v>
      </c>
      <c r="U720">
        <v>26.07245</v>
      </c>
      <c r="V720">
        <v>9974546</v>
      </c>
    </row>
    <row r="721" spans="1:22" x14ac:dyDescent="0.25">
      <c r="A721" t="s">
        <v>773</v>
      </c>
      <c r="B721" t="s">
        <v>774</v>
      </c>
      <c r="C721">
        <v>699</v>
      </c>
      <c r="D721">
        <v>99</v>
      </c>
      <c r="E721">
        <v>99</v>
      </c>
      <c r="F721" t="s">
        <v>775</v>
      </c>
      <c r="G721" t="s">
        <v>775</v>
      </c>
      <c r="H721">
        <f t="shared" si="14"/>
        <v>9</v>
      </c>
      <c r="M721" s="1">
        <v>2.6552199851721399E-3</v>
      </c>
      <c r="N721">
        <v>964.548095703125</v>
      </c>
      <c r="O721">
        <v>483.28129999999902</v>
      </c>
      <c r="P721">
        <v>964.54541015625</v>
      </c>
      <c r="Q721">
        <v>483.27996826171801</v>
      </c>
      <c r="R721">
        <v>2</v>
      </c>
      <c r="S721">
        <v>3</v>
      </c>
      <c r="T721">
        <v>11</v>
      </c>
      <c r="U721">
        <v>26.10783</v>
      </c>
      <c r="V721">
        <v>8599964</v>
      </c>
    </row>
    <row r="722" spans="1:22" x14ac:dyDescent="0.25">
      <c r="A722" t="s">
        <v>2105</v>
      </c>
      <c r="B722" t="s">
        <v>2106</v>
      </c>
      <c r="C722">
        <v>2</v>
      </c>
      <c r="D722">
        <v>99</v>
      </c>
      <c r="E722">
        <v>99</v>
      </c>
      <c r="F722" t="s">
        <v>2107</v>
      </c>
      <c r="G722" t="s">
        <v>2107</v>
      </c>
      <c r="H722">
        <f t="shared" si="14"/>
        <v>14</v>
      </c>
      <c r="L722" t="s">
        <v>227</v>
      </c>
      <c r="M722">
        <v>8.1449999999999995E-3</v>
      </c>
      <c r="N722">
        <v>1903.85913085938</v>
      </c>
      <c r="O722">
        <v>952.93679999999904</v>
      </c>
      <c r="P722">
        <v>1903.85095214844</v>
      </c>
      <c r="Q722">
        <v>952.93273925781205</v>
      </c>
      <c r="R722">
        <v>2</v>
      </c>
      <c r="S722">
        <v>2</v>
      </c>
      <c r="T722">
        <v>12</v>
      </c>
      <c r="U722">
        <v>41.496650000000002</v>
      </c>
      <c r="V722">
        <v>224593.3</v>
      </c>
    </row>
    <row r="723" spans="1:22" x14ac:dyDescent="0.25">
      <c r="A723" t="s">
        <v>2105</v>
      </c>
      <c r="B723" t="s">
        <v>2106</v>
      </c>
      <c r="C723">
        <v>2</v>
      </c>
      <c r="D723">
        <v>99</v>
      </c>
      <c r="E723">
        <v>99</v>
      </c>
      <c r="F723" t="s">
        <v>2108</v>
      </c>
      <c r="G723" t="s">
        <v>2108</v>
      </c>
      <c r="H723">
        <f t="shared" si="14"/>
        <v>17</v>
      </c>
      <c r="L723" t="s">
        <v>227</v>
      </c>
      <c r="M723" s="1">
        <v>-1.0001099435612601E-3</v>
      </c>
      <c r="N723">
        <v>1135.5546875</v>
      </c>
      <c r="O723">
        <v>568.78459999999905</v>
      </c>
      <c r="P723">
        <v>1135.5556640625</v>
      </c>
      <c r="Q723">
        <v>568.78509521484295</v>
      </c>
      <c r="R723">
        <v>2</v>
      </c>
      <c r="S723">
        <v>15</v>
      </c>
      <c r="T723">
        <v>11</v>
      </c>
      <c r="U723">
        <v>20.729320000000001</v>
      </c>
      <c r="V723">
        <v>3988236</v>
      </c>
    </row>
    <row r="724" spans="1:22" x14ac:dyDescent="0.25">
      <c r="A724" t="s">
        <v>2105</v>
      </c>
      <c r="B724" t="s">
        <v>2106</v>
      </c>
      <c r="C724">
        <v>2</v>
      </c>
      <c r="D724">
        <v>99</v>
      </c>
      <c r="E724">
        <v>99</v>
      </c>
      <c r="F724" t="s">
        <v>2109</v>
      </c>
      <c r="G724" t="s">
        <v>2109</v>
      </c>
      <c r="H724">
        <f t="shared" si="14"/>
        <v>18</v>
      </c>
      <c r="L724" t="s">
        <v>227</v>
      </c>
      <c r="M724" s="1">
        <v>4.6401498839259104E-3</v>
      </c>
      <c r="N724">
        <v>1169.57385253906</v>
      </c>
      <c r="O724">
        <v>585.79420000000005</v>
      </c>
      <c r="P724">
        <v>1169.56921386719</v>
      </c>
      <c r="Q724">
        <v>585.79187011718705</v>
      </c>
      <c r="R724">
        <v>2</v>
      </c>
      <c r="S724">
        <v>30</v>
      </c>
      <c r="T724">
        <v>13</v>
      </c>
      <c r="U724">
        <v>24.522670000000002</v>
      </c>
      <c r="V724">
        <v>6746123</v>
      </c>
    </row>
    <row r="725" spans="1:22" x14ac:dyDescent="0.25">
      <c r="A725" t="s">
        <v>2105</v>
      </c>
      <c r="B725" t="s">
        <v>2106</v>
      </c>
      <c r="C725">
        <v>2</v>
      </c>
      <c r="D725">
        <v>99</v>
      </c>
      <c r="E725">
        <v>99</v>
      </c>
      <c r="F725" t="s">
        <v>2110</v>
      </c>
      <c r="G725" t="s">
        <v>2110</v>
      </c>
      <c r="H725">
        <f t="shared" si="14"/>
        <v>19</v>
      </c>
      <c r="L725" t="s">
        <v>227</v>
      </c>
      <c r="M725" s="1">
        <v>4.0297899395227302E-3</v>
      </c>
      <c r="N725">
        <v>1169.5732421875</v>
      </c>
      <c r="O725">
        <v>585.79390000000001</v>
      </c>
      <c r="P725">
        <v>1169.56921386719</v>
      </c>
      <c r="Q725">
        <v>585.79187011718705</v>
      </c>
      <c r="R725">
        <v>2</v>
      </c>
      <c r="S725">
        <v>27</v>
      </c>
      <c r="T725">
        <v>11</v>
      </c>
      <c r="U725">
        <v>27.181619999999899</v>
      </c>
      <c r="V725">
        <v>391265.3</v>
      </c>
    </row>
    <row r="726" spans="1:22" x14ac:dyDescent="0.25">
      <c r="A726" t="s">
        <v>4133</v>
      </c>
      <c r="B726" t="s">
        <v>4134</v>
      </c>
      <c r="C726">
        <v>56</v>
      </c>
      <c r="D726">
        <v>98.5</v>
      </c>
      <c r="E726">
        <v>98.5</v>
      </c>
      <c r="F726" t="s">
        <v>4135</v>
      </c>
      <c r="G726" t="s">
        <v>4135</v>
      </c>
      <c r="H726">
        <f t="shared" si="14"/>
        <v>8</v>
      </c>
      <c r="M726" s="1">
        <v>3.1098900362849201E-3</v>
      </c>
      <c r="N726">
        <v>1154.67041015625</v>
      </c>
      <c r="O726">
        <v>385.8974</v>
      </c>
      <c r="P726">
        <v>1154.66723632813</v>
      </c>
      <c r="Q726">
        <v>385.89636230468801</v>
      </c>
      <c r="R726">
        <v>3</v>
      </c>
      <c r="S726">
        <v>4</v>
      </c>
      <c r="T726">
        <v>10</v>
      </c>
      <c r="U726">
        <v>26.54373</v>
      </c>
      <c r="V726">
        <v>6270096</v>
      </c>
    </row>
    <row r="727" spans="1:22" x14ac:dyDescent="0.25">
      <c r="A727" t="s">
        <v>3027</v>
      </c>
      <c r="B727" t="s">
        <v>3028</v>
      </c>
      <c r="C727">
        <v>12</v>
      </c>
      <c r="D727">
        <v>99</v>
      </c>
      <c r="E727">
        <v>99</v>
      </c>
      <c r="F727" t="s">
        <v>3029</v>
      </c>
      <c r="G727" t="s">
        <v>3029</v>
      </c>
      <c r="H727">
        <f t="shared" si="14"/>
        <v>14</v>
      </c>
      <c r="M727" s="1">
        <v>5.4425201378762601E-3</v>
      </c>
      <c r="N727">
        <v>1154.67272949219</v>
      </c>
      <c r="O727">
        <v>578.34360000000004</v>
      </c>
      <c r="P727">
        <v>1154.66723632813</v>
      </c>
      <c r="Q727">
        <v>578.34088134765602</v>
      </c>
      <c r="R727">
        <v>2</v>
      </c>
      <c r="S727">
        <v>4</v>
      </c>
      <c r="T727">
        <v>10</v>
      </c>
      <c r="U727">
        <v>26.5611</v>
      </c>
      <c r="V727">
        <v>2023958</v>
      </c>
    </row>
    <row r="728" spans="1:22" x14ac:dyDescent="0.25">
      <c r="A728" t="s">
        <v>3027</v>
      </c>
      <c r="B728" t="s">
        <v>3028</v>
      </c>
      <c r="C728">
        <v>202</v>
      </c>
      <c r="D728">
        <v>97.7</v>
      </c>
      <c r="E728">
        <v>97.69</v>
      </c>
      <c r="F728" t="s">
        <v>3030</v>
      </c>
      <c r="G728" t="s">
        <v>3030</v>
      </c>
      <c r="H728">
        <f t="shared" si="14"/>
        <v>9</v>
      </c>
      <c r="M728" s="1">
        <v>-1.07352004852146E-3</v>
      </c>
      <c r="N728">
        <v>1134.62475585938</v>
      </c>
      <c r="O728">
        <v>379.21550000000002</v>
      </c>
      <c r="P728">
        <v>1134.62573242188</v>
      </c>
      <c r="Q728">
        <v>379.21588134765602</v>
      </c>
      <c r="R728">
        <v>3</v>
      </c>
      <c r="S728">
        <v>2</v>
      </c>
      <c r="T728">
        <v>10</v>
      </c>
      <c r="U728">
        <v>21.490079999999899</v>
      </c>
      <c r="V728">
        <v>901942.1</v>
      </c>
    </row>
    <row r="729" spans="1:22" x14ac:dyDescent="0.25">
      <c r="A729" t="s">
        <v>3980</v>
      </c>
      <c r="B729" t="s">
        <v>3981</v>
      </c>
      <c r="C729">
        <v>269</v>
      </c>
      <c r="D729">
        <v>99</v>
      </c>
      <c r="E729">
        <v>99</v>
      </c>
      <c r="F729" t="s">
        <v>213</v>
      </c>
      <c r="G729" t="s">
        <v>213</v>
      </c>
      <c r="H729">
        <f t="shared" si="14"/>
        <v>9</v>
      </c>
      <c r="M729" s="1">
        <v>-5.2420201245695298E-4</v>
      </c>
      <c r="N729">
        <v>1134.62524414063</v>
      </c>
      <c r="O729">
        <v>379.21570000000003</v>
      </c>
      <c r="P729">
        <v>1134.62573242188</v>
      </c>
      <c r="Q729">
        <v>379.21588134765602</v>
      </c>
      <c r="R729">
        <v>3</v>
      </c>
      <c r="S729">
        <v>1</v>
      </c>
      <c r="T729">
        <v>10</v>
      </c>
      <c r="U729">
        <v>21.275320000000001</v>
      </c>
      <c r="V729">
        <v>533264.6</v>
      </c>
    </row>
    <row r="730" spans="1:22" x14ac:dyDescent="0.25">
      <c r="A730" t="s">
        <v>1617</v>
      </c>
      <c r="B730" t="s">
        <v>1618</v>
      </c>
      <c r="C730">
        <v>68</v>
      </c>
      <c r="D730">
        <v>99</v>
      </c>
      <c r="E730">
        <v>99</v>
      </c>
      <c r="F730" t="s">
        <v>1619</v>
      </c>
      <c r="G730" t="s">
        <v>1619</v>
      </c>
      <c r="H730">
        <f t="shared" si="14"/>
        <v>8</v>
      </c>
      <c r="M730" s="1">
        <v>-6.9308001548051704E-3</v>
      </c>
      <c r="N730">
        <v>1206.64001464844</v>
      </c>
      <c r="O730">
        <v>604.32730000000004</v>
      </c>
      <c r="P730">
        <v>1206.64697265625</v>
      </c>
      <c r="Q730">
        <v>604.33074951171795</v>
      </c>
      <c r="R730">
        <v>2</v>
      </c>
      <c r="S730">
        <v>6</v>
      </c>
      <c r="T730">
        <v>14</v>
      </c>
      <c r="U730">
        <v>21.15522</v>
      </c>
      <c r="V730">
        <v>338083.8</v>
      </c>
    </row>
    <row r="731" spans="1:22" x14ac:dyDescent="0.25">
      <c r="A731" t="s">
        <v>1277</v>
      </c>
      <c r="B731" t="s">
        <v>1278</v>
      </c>
      <c r="C731">
        <v>91</v>
      </c>
      <c r="D731">
        <v>99</v>
      </c>
      <c r="E731">
        <v>99</v>
      </c>
      <c r="F731" t="s">
        <v>1279</v>
      </c>
      <c r="G731" t="s">
        <v>1279</v>
      </c>
      <c r="H731">
        <f t="shared" si="14"/>
        <v>17</v>
      </c>
      <c r="M731" s="1">
        <v>-3.3430201001465199E-3</v>
      </c>
      <c r="N731">
        <v>1206.6435546875</v>
      </c>
      <c r="O731">
        <v>403.22179999999901</v>
      </c>
      <c r="P731">
        <v>1206.64697265625</v>
      </c>
      <c r="Q731">
        <v>403.22293090820301</v>
      </c>
      <c r="R731">
        <v>3</v>
      </c>
      <c r="S731">
        <v>3</v>
      </c>
      <c r="T731">
        <v>12</v>
      </c>
      <c r="U731">
        <v>21.057950000000002</v>
      </c>
      <c r="V731">
        <v>618900.69999999902</v>
      </c>
    </row>
    <row r="732" spans="1:22" x14ac:dyDescent="0.25">
      <c r="A732" t="s">
        <v>1277</v>
      </c>
      <c r="B732" t="s">
        <v>1278</v>
      </c>
      <c r="C732">
        <v>539</v>
      </c>
      <c r="D732">
        <v>98.9</v>
      </c>
      <c r="E732">
        <v>98.85</v>
      </c>
      <c r="F732" t="s">
        <v>1280</v>
      </c>
      <c r="G732" t="s">
        <v>1280</v>
      </c>
      <c r="H732">
        <f t="shared" si="14"/>
        <v>27</v>
      </c>
      <c r="M732" s="1">
        <v>1.40205002389847E-3</v>
      </c>
      <c r="N732">
        <v>1113.63427734375</v>
      </c>
      <c r="O732">
        <v>557.82439999999895</v>
      </c>
      <c r="P732">
        <v>1113.6328125</v>
      </c>
      <c r="Q732">
        <v>557.82373046875</v>
      </c>
      <c r="R732">
        <v>2</v>
      </c>
      <c r="S732">
        <v>2</v>
      </c>
      <c r="T732">
        <v>11</v>
      </c>
      <c r="U732">
        <v>36.811</v>
      </c>
      <c r="V732">
        <v>7814731</v>
      </c>
    </row>
    <row r="733" spans="1:22" x14ac:dyDescent="0.25">
      <c r="A733" t="s">
        <v>1277</v>
      </c>
      <c r="B733" t="s">
        <v>1278</v>
      </c>
      <c r="C733">
        <v>91</v>
      </c>
      <c r="D733">
        <v>99</v>
      </c>
      <c r="E733">
        <v>99</v>
      </c>
      <c r="F733" t="s">
        <v>1281</v>
      </c>
      <c r="G733" t="s">
        <v>1281</v>
      </c>
      <c r="H733">
        <f t="shared" si="14"/>
        <v>16</v>
      </c>
      <c r="M733">
        <v>3.9699999999999996E-3</v>
      </c>
      <c r="N733">
        <v>1687.83581542969</v>
      </c>
      <c r="O733">
        <v>844.92520000000002</v>
      </c>
      <c r="P733">
        <v>1687.83178710938</v>
      </c>
      <c r="Q733">
        <v>844.92315673828102</v>
      </c>
      <c r="R733">
        <v>2</v>
      </c>
      <c r="S733">
        <v>2</v>
      </c>
      <c r="T733">
        <v>11</v>
      </c>
      <c r="U733">
        <v>33.522399999999898</v>
      </c>
      <c r="V733">
        <v>221118</v>
      </c>
    </row>
    <row r="734" spans="1:22" x14ac:dyDescent="0.25">
      <c r="A734" t="s">
        <v>1277</v>
      </c>
      <c r="B734" t="s">
        <v>1278</v>
      </c>
      <c r="C734">
        <v>315</v>
      </c>
      <c r="D734">
        <v>97.3</v>
      </c>
      <c r="E734">
        <v>97.29</v>
      </c>
      <c r="F734" t="s">
        <v>1282</v>
      </c>
      <c r="G734" t="s">
        <v>1282</v>
      </c>
      <c r="H734">
        <f t="shared" si="14"/>
        <v>16</v>
      </c>
      <c r="M734" s="1">
        <v>5.1904502324760004E-3</v>
      </c>
      <c r="N734">
        <v>1687.83703613281</v>
      </c>
      <c r="O734">
        <v>844.92579999999896</v>
      </c>
      <c r="P734">
        <v>1687.83178710938</v>
      </c>
      <c r="Q734">
        <v>844.92315673828102</v>
      </c>
      <c r="R734">
        <v>2</v>
      </c>
      <c r="S734">
        <v>2</v>
      </c>
      <c r="T734">
        <v>12</v>
      </c>
      <c r="U734">
        <v>33.530670000000001</v>
      </c>
      <c r="V734">
        <v>161688.20000000001</v>
      </c>
    </row>
    <row r="735" spans="1:22" x14ac:dyDescent="0.25">
      <c r="A735" t="s">
        <v>4385</v>
      </c>
      <c r="B735" t="s">
        <v>4386</v>
      </c>
      <c r="C735">
        <v>292</v>
      </c>
      <c r="D735">
        <v>99</v>
      </c>
      <c r="E735">
        <v>99</v>
      </c>
      <c r="F735" t="s">
        <v>4387</v>
      </c>
      <c r="G735" t="s">
        <v>4387</v>
      </c>
      <c r="H735">
        <f t="shared" si="14"/>
        <v>8</v>
      </c>
      <c r="M735">
        <v>9.9810000000000003E-3</v>
      </c>
      <c r="N735">
        <v>1976.04272460938</v>
      </c>
      <c r="O735">
        <v>659.68820000000005</v>
      </c>
      <c r="P735">
        <v>1976.03271484375</v>
      </c>
      <c r="Q735">
        <v>659.684814453125</v>
      </c>
      <c r="R735">
        <v>3</v>
      </c>
      <c r="S735">
        <v>1</v>
      </c>
      <c r="T735">
        <v>11</v>
      </c>
      <c r="U735">
        <v>43.6908999999999</v>
      </c>
      <c r="V735">
        <v>64260.49</v>
      </c>
    </row>
    <row r="736" spans="1:22" x14ac:dyDescent="0.25">
      <c r="A736" t="s">
        <v>915</v>
      </c>
      <c r="B736" t="s">
        <v>916</v>
      </c>
      <c r="C736">
        <v>138</v>
      </c>
      <c r="D736">
        <v>99</v>
      </c>
      <c r="E736">
        <v>99</v>
      </c>
      <c r="F736" t="s">
        <v>917</v>
      </c>
      <c r="G736" t="s">
        <v>917</v>
      </c>
      <c r="H736">
        <f t="shared" si="14"/>
        <v>9</v>
      </c>
      <c r="M736" s="1">
        <v>4.3506999500095801E-3</v>
      </c>
      <c r="N736">
        <v>1950.91491699219</v>
      </c>
      <c r="O736">
        <v>976.46469999999897</v>
      </c>
      <c r="P736">
        <v>1950.91052246094</v>
      </c>
      <c r="Q736">
        <v>976.46252441406205</v>
      </c>
      <c r="R736">
        <v>2</v>
      </c>
      <c r="S736">
        <v>2</v>
      </c>
      <c r="T736">
        <v>14</v>
      </c>
      <c r="U736">
        <v>42.228119999999898</v>
      </c>
      <c r="V736">
        <v>146400.20000000001</v>
      </c>
    </row>
    <row r="737" spans="1:22" x14ac:dyDescent="0.25">
      <c r="A737" t="s">
        <v>2876</v>
      </c>
      <c r="B737" t="s">
        <v>2877</v>
      </c>
      <c r="C737">
        <v>247</v>
      </c>
      <c r="D737">
        <v>99</v>
      </c>
      <c r="E737">
        <v>99</v>
      </c>
      <c r="F737" t="s">
        <v>2878</v>
      </c>
      <c r="G737" t="s">
        <v>2878</v>
      </c>
      <c r="H737">
        <f t="shared" si="14"/>
        <v>9</v>
      </c>
      <c r="M737" s="1">
        <v>3.1257900409400502E-3</v>
      </c>
      <c r="N737">
        <v>919.515869140625</v>
      </c>
      <c r="O737">
        <v>460.76519999999903</v>
      </c>
      <c r="P737">
        <v>919.5126953125</v>
      </c>
      <c r="Q737">
        <v>460.76364135742102</v>
      </c>
      <c r="R737">
        <v>2</v>
      </c>
      <c r="S737">
        <v>2</v>
      </c>
      <c r="T737">
        <v>10</v>
      </c>
      <c r="U737">
        <v>45.115549999999899</v>
      </c>
      <c r="V737">
        <v>297860.3</v>
      </c>
    </row>
    <row r="738" spans="1:22" x14ac:dyDescent="0.25">
      <c r="A738" t="s">
        <v>3494</v>
      </c>
      <c r="B738" t="s">
        <v>3495</v>
      </c>
      <c r="C738">
        <v>146</v>
      </c>
      <c r="D738">
        <v>99</v>
      </c>
      <c r="E738">
        <v>99</v>
      </c>
      <c r="F738" t="s">
        <v>3496</v>
      </c>
      <c r="G738" t="s">
        <v>3496</v>
      </c>
      <c r="H738">
        <f t="shared" si="14"/>
        <v>12</v>
      </c>
      <c r="M738" s="1">
        <v>1.3557700440287601E-3</v>
      </c>
      <c r="N738">
        <v>919.51409912109295</v>
      </c>
      <c r="O738">
        <v>460.76429999999903</v>
      </c>
      <c r="P738">
        <v>919.5126953125</v>
      </c>
      <c r="Q738">
        <v>460.76364135742102</v>
      </c>
      <c r="R738">
        <v>2</v>
      </c>
      <c r="S738">
        <v>3</v>
      </c>
      <c r="T738">
        <v>12</v>
      </c>
      <c r="U738">
        <v>45.330979999999897</v>
      </c>
      <c r="V738">
        <v>420937</v>
      </c>
    </row>
    <row r="739" spans="1:22" x14ac:dyDescent="0.25">
      <c r="A739" t="s">
        <v>3494</v>
      </c>
      <c r="B739" t="s">
        <v>3495</v>
      </c>
      <c r="C739">
        <v>168</v>
      </c>
      <c r="D739">
        <v>99</v>
      </c>
      <c r="E739">
        <v>99</v>
      </c>
      <c r="F739" t="s">
        <v>3497</v>
      </c>
      <c r="G739" t="s">
        <v>3497</v>
      </c>
      <c r="H739">
        <f t="shared" si="14"/>
        <v>11</v>
      </c>
      <c r="L739" t="s">
        <v>377</v>
      </c>
      <c r="M739" s="1">
        <v>5.4622301831841504E-3</v>
      </c>
      <c r="N739">
        <v>1336.65002441406</v>
      </c>
      <c r="O739">
        <v>669.33230000000003</v>
      </c>
      <c r="P739">
        <v>1336.64453125</v>
      </c>
      <c r="Q739">
        <v>669.32952880859295</v>
      </c>
      <c r="R739">
        <v>2</v>
      </c>
      <c r="S739">
        <v>1</v>
      </c>
      <c r="T739">
        <v>11</v>
      </c>
      <c r="U739">
        <v>26.6598299999999</v>
      </c>
      <c r="V739">
        <v>316592.90000000002</v>
      </c>
    </row>
    <row r="740" spans="1:22" x14ac:dyDescent="0.25">
      <c r="A740" t="s">
        <v>867</v>
      </c>
      <c r="B740" t="s">
        <v>868</v>
      </c>
      <c r="C740">
        <v>1125</v>
      </c>
      <c r="D740">
        <v>99</v>
      </c>
      <c r="E740">
        <v>99</v>
      </c>
      <c r="F740" t="s">
        <v>869</v>
      </c>
      <c r="G740" t="s">
        <v>869</v>
      </c>
      <c r="H740">
        <f t="shared" si="14"/>
        <v>9</v>
      </c>
      <c r="M740" s="1">
        <v>-3.2684099860489299E-3</v>
      </c>
      <c r="N740">
        <v>1052.60583496094</v>
      </c>
      <c r="O740">
        <v>527.31020000000001</v>
      </c>
      <c r="P740">
        <v>1052.60913085938</v>
      </c>
      <c r="Q740">
        <v>527.31182861328102</v>
      </c>
      <c r="R740">
        <v>2</v>
      </c>
      <c r="S740">
        <v>1</v>
      </c>
      <c r="T740">
        <v>14</v>
      </c>
      <c r="U740">
        <v>20.373619999999899</v>
      </c>
      <c r="V740">
        <v>1125836</v>
      </c>
    </row>
    <row r="741" spans="1:22" x14ac:dyDescent="0.25">
      <c r="A741" t="s">
        <v>4125</v>
      </c>
      <c r="B741" t="s">
        <v>4126</v>
      </c>
      <c r="C741">
        <v>416</v>
      </c>
      <c r="D741">
        <v>99</v>
      </c>
      <c r="E741">
        <v>99</v>
      </c>
      <c r="F741" t="s">
        <v>4127</v>
      </c>
      <c r="G741" t="s">
        <v>4127</v>
      </c>
      <c r="H741">
        <f t="shared" si="14"/>
        <v>9</v>
      </c>
      <c r="M741">
        <v>-4.0010000000000002E-3</v>
      </c>
      <c r="N741">
        <v>1052.60510253906</v>
      </c>
      <c r="O741">
        <v>527.3098</v>
      </c>
      <c r="P741">
        <v>1052.60913085938</v>
      </c>
      <c r="Q741">
        <v>527.31182861328102</v>
      </c>
      <c r="R741">
        <v>2</v>
      </c>
      <c r="S741">
        <v>1</v>
      </c>
      <c r="T741">
        <v>12</v>
      </c>
      <c r="U741">
        <v>20.351230000000001</v>
      </c>
      <c r="V741">
        <v>894358.8</v>
      </c>
    </row>
    <row r="742" spans="1:22" x14ac:dyDescent="0.25">
      <c r="A742" t="s">
        <v>440</v>
      </c>
      <c r="B742" t="s">
        <v>441</v>
      </c>
      <c r="C742">
        <v>455</v>
      </c>
      <c r="D742">
        <v>99</v>
      </c>
      <c r="E742">
        <v>99</v>
      </c>
      <c r="F742" t="s">
        <v>1311</v>
      </c>
      <c r="G742" t="s">
        <v>1311</v>
      </c>
      <c r="H742">
        <f t="shared" si="14"/>
        <v>19</v>
      </c>
      <c r="M742" s="1">
        <v>7.7816401608288201E-3</v>
      </c>
      <c r="N742">
        <v>1505.83923339844</v>
      </c>
      <c r="O742">
        <v>753.92690000000005</v>
      </c>
      <c r="P742">
        <v>1505.83142089844</v>
      </c>
      <c r="Q742">
        <v>753.92297363281205</v>
      </c>
      <c r="R742">
        <v>2</v>
      </c>
      <c r="S742">
        <v>1</v>
      </c>
      <c r="T742">
        <v>14</v>
      </c>
      <c r="U742">
        <v>24.610669999999899</v>
      </c>
      <c r="V742">
        <v>100688.2</v>
      </c>
    </row>
    <row r="743" spans="1:22" x14ac:dyDescent="0.25">
      <c r="A743" t="s">
        <v>440</v>
      </c>
      <c r="B743" t="s">
        <v>441</v>
      </c>
      <c r="C743">
        <v>457</v>
      </c>
      <c r="D743">
        <v>97.2</v>
      </c>
      <c r="E743">
        <v>97.21</v>
      </c>
      <c r="F743" t="s">
        <v>1312</v>
      </c>
      <c r="G743" t="s">
        <v>1312</v>
      </c>
      <c r="H743">
        <f t="shared" si="14"/>
        <v>17</v>
      </c>
      <c r="M743" s="1">
        <v>3.0768499709665801E-3</v>
      </c>
      <c r="N743">
        <v>976.57366943359295</v>
      </c>
      <c r="O743">
        <v>489.29410000000001</v>
      </c>
      <c r="P743">
        <v>976.570556640625</v>
      </c>
      <c r="Q743">
        <v>489.29257202148301</v>
      </c>
      <c r="R743">
        <v>2</v>
      </c>
      <c r="S743">
        <v>3</v>
      </c>
      <c r="T743">
        <v>11</v>
      </c>
      <c r="U743">
        <v>39.892130000000002</v>
      </c>
      <c r="V743">
        <v>3771673</v>
      </c>
    </row>
    <row r="744" spans="1:22" x14ac:dyDescent="0.25">
      <c r="A744" t="s">
        <v>3101</v>
      </c>
      <c r="B744" t="s">
        <v>3102</v>
      </c>
      <c r="C744">
        <v>356</v>
      </c>
      <c r="D744">
        <v>98.8</v>
      </c>
      <c r="E744">
        <v>98.75</v>
      </c>
      <c r="F744" t="s">
        <v>3103</v>
      </c>
      <c r="G744" t="s">
        <v>3103</v>
      </c>
      <c r="H744">
        <f t="shared" si="14"/>
        <v>18</v>
      </c>
      <c r="M744">
        <v>8.6000000000000003E-5</v>
      </c>
      <c r="N744">
        <v>976.57067871093705</v>
      </c>
      <c r="O744">
        <v>489.29259999999903</v>
      </c>
      <c r="P744">
        <v>976.570556640625</v>
      </c>
      <c r="Q744">
        <v>489.29257202148301</v>
      </c>
      <c r="R744">
        <v>2</v>
      </c>
      <c r="S744">
        <v>1</v>
      </c>
      <c r="T744">
        <v>12</v>
      </c>
      <c r="U744">
        <v>39.831629999999898</v>
      </c>
      <c r="V744">
        <v>604014.1</v>
      </c>
    </row>
    <row r="745" spans="1:22" x14ac:dyDescent="0.25">
      <c r="A745" t="s">
        <v>3101</v>
      </c>
      <c r="B745" t="s">
        <v>3102</v>
      </c>
      <c r="C745">
        <v>357</v>
      </c>
      <c r="D745">
        <v>99</v>
      </c>
      <c r="E745">
        <v>99</v>
      </c>
      <c r="F745" t="s">
        <v>3104</v>
      </c>
      <c r="G745" t="s">
        <v>3104</v>
      </c>
      <c r="H745">
        <f t="shared" si="14"/>
        <v>16</v>
      </c>
      <c r="M745" s="1">
        <v>2.6779999025166E-3</v>
      </c>
      <c r="N745">
        <v>1964.95202636719</v>
      </c>
      <c r="O745">
        <v>655.99130000000002</v>
      </c>
      <c r="P745">
        <v>1964.94934082031</v>
      </c>
      <c r="Q745">
        <v>655.99035644531205</v>
      </c>
      <c r="R745">
        <v>3</v>
      </c>
      <c r="S745">
        <v>3</v>
      </c>
      <c r="T745">
        <v>12</v>
      </c>
      <c r="U745">
        <v>33.609000000000002</v>
      </c>
      <c r="V745">
        <v>224572.9</v>
      </c>
    </row>
    <row r="746" spans="1:22" x14ac:dyDescent="0.25">
      <c r="A746" t="s">
        <v>1591</v>
      </c>
      <c r="B746" t="s">
        <v>1592</v>
      </c>
      <c r="C746">
        <v>361</v>
      </c>
      <c r="D746">
        <v>99</v>
      </c>
      <c r="E746">
        <v>99</v>
      </c>
      <c r="F746" t="s">
        <v>1593</v>
      </c>
      <c r="G746" t="s">
        <v>1593</v>
      </c>
      <c r="H746">
        <f t="shared" si="14"/>
        <v>12</v>
      </c>
      <c r="M746">
        <v>4.875E-3</v>
      </c>
      <c r="N746">
        <v>1964.95422363281</v>
      </c>
      <c r="O746">
        <v>655.99199999999905</v>
      </c>
      <c r="P746">
        <v>1964.94934082031</v>
      </c>
      <c r="Q746">
        <v>655.99035644531205</v>
      </c>
      <c r="R746">
        <v>3</v>
      </c>
      <c r="S746">
        <v>2</v>
      </c>
      <c r="T746">
        <v>13</v>
      </c>
      <c r="U746">
        <v>33.583750000000002</v>
      </c>
      <c r="V746">
        <v>207966.2</v>
      </c>
    </row>
    <row r="747" spans="1:22" x14ac:dyDescent="0.25">
      <c r="A747" t="s">
        <v>1591</v>
      </c>
      <c r="B747" t="s">
        <v>1592</v>
      </c>
      <c r="C747">
        <v>361</v>
      </c>
      <c r="D747">
        <v>99</v>
      </c>
      <c r="E747">
        <v>99</v>
      </c>
      <c r="F747" t="s">
        <v>1594</v>
      </c>
      <c r="G747" t="s">
        <v>1594</v>
      </c>
      <c r="H747">
        <f t="shared" si="14"/>
        <v>13</v>
      </c>
      <c r="M747" s="1">
        <v>6.21525989845395E-3</v>
      </c>
      <c r="N747">
        <v>1309.70141601563</v>
      </c>
      <c r="O747">
        <v>655.85799999999904</v>
      </c>
      <c r="P747">
        <v>1309.69519042969</v>
      </c>
      <c r="Q747">
        <v>655.85485839843705</v>
      </c>
      <c r="R747">
        <v>2</v>
      </c>
      <c r="S747">
        <v>5</v>
      </c>
      <c r="T747">
        <v>12</v>
      </c>
      <c r="U747">
        <v>49.898969999999899</v>
      </c>
      <c r="V747">
        <v>215454.7</v>
      </c>
    </row>
    <row r="748" spans="1:22" x14ac:dyDescent="0.25">
      <c r="A748" t="s">
        <v>1591</v>
      </c>
      <c r="B748" t="s">
        <v>1592</v>
      </c>
      <c r="C748">
        <v>2</v>
      </c>
      <c r="D748">
        <v>99</v>
      </c>
      <c r="E748">
        <v>99</v>
      </c>
      <c r="F748" t="s">
        <v>1595</v>
      </c>
      <c r="G748" t="s">
        <v>1595</v>
      </c>
      <c r="H748">
        <f t="shared" si="14"/>
        <v>16</v>
      </c>
      <c r="L748" t="s">
        <v>227</v>
      </c>
      <c r="M748" s="1">
        <v>-1.27385996165685E-4</v>
      </c>
      <c r="N748">
        <v>1038.55310058594</v>
      </c>
      <c r="O748">
        <v>520.28380000000004</v>
      </c>
      <c r="P748">
        <v>1038.55322265625</v>
      </c>
      <c r="Q748">
        <v>520.28387451171795</v>
      </c>
      <c r="R748">
        <v>2</v>
      </c>
      <c r="S748">
        <v>2</v>
      </c>
      <c r="T748">
        <v>14</v>
      </c>
      <c r="U748">
        <v>22.387650000000001</v>
      </c>
      <c r="V748">
        <v>2043967</v>
      </c>
    </row>
    <row r="749" spans="1:22" x14ac:dyDescent="0.25">
      <c r="A749" t="s">
        <v>2658</v>
      </c>
      <c r="B749" t="s">
        <v>2659</v>
      </c>
      <c r="C749">
        <v>576</v>
      </c>
      <c r="D749">
        <v>99</v>
      </c>
      <c r="E749">
        <v>99</v>
      </c>
      <c r="F749" t="s">
        <v>2660</v>
      </c>
      <c r="G749" t="s">
        <v>2660</v>
      </c>
      <c r="H749">
        <f t="shared" si="14"/>
        <v>15</v>
      </c>
      <c r="M749" s="1">
        <v>5.8490498922765203E-3</v>
      </c>
      <c r="N749">
        <v>1309.70104980469</v>
      </c>
      <c r="O749">
        <v>655.8578</v>
      </c>
      <c r="P749">
        <v>1309.69519042969</v>
      </c>
      <c r="Q749">
        <v>655.85485839843705</v>
      </c>
      <c r="R749">
        <v>2</v>
      </c>
      <c r="S749">
        <v>4</v>
      </c>
      <c r="T749">
        <v>12</v>
      </c>
      <c r="U749">
        <v>49.938679999999898</v>
      </c>
      <c r="V749">
        <v>193870.4</v>
      </c>
    </row>
    <row r="750" spans="1:22" x14ac:dyDescent="0.25">
      <c r="A750" t="s">
        <v>3208</v>
      </c>
      <c r="B750" t="s">
        <v>3209</v>
      </c>
      <c r="C750">
        <v>599</v>
      </c>
      <c r="D750">
        <v>99</v>
      </c>
      <c r="E750">
        <v>99</v>
      </c>
      <c r="F750" t="s">
        <v>3210</v>
      </c>
      <c r="G750" t="s">
        <v>3210</v>
      </c>
      <c r="H750">
        <f t="shared" si="14"/>
        <v>9</v>
      </c>
      <c r="M750" s="1">
        <v>1.1735500302165599E-3</v>
      </c>
      <c r="N750">
        <v>1048.59289550781</v>
      </c>
      <c r="O750">
        <v>525.30370000000005</v>
      </c>
      <c r="P750">
        <v>1048.59167480469</v>
      </c>
      <c r="Q750">
        <v>525.30310058593705</v>
      </c>
      <c r="R750">
        <v>2</v>
      </c>
      <c r="S750">
        <v>2</v>
      </c>
      <c r="T750">
        <v>12</v>
      </c>
      <c r="U750">
        <v>48.14385</v>
      </c>
      <c r="V750">
        <v>1577282</v>
      </c>
    </row>
    <row r="751" spans="1:22" x14ac:dyDescent="0.25">
      <c r="A751" t="s">
        <v>1110</v>
      </c>
      <c r="B751" t="s">
        <v>1111</v>
      </c>
      <c r="C751">
        <v>163</v>
      </c>
      <c r="D751">
        <v>98.6</v>
      </c>
      <c r="E751">
        <v>98.57</v>
      </c>
      <c r="F751" t="s">
        <v>1112</v>
      </c>
      <c r="G751" t="s">
        <v>1112</v>
      </c>
      <c r="H751">
        <f t="shared" si="14"/>
        <v>19</v>
      </c>
      <c r="M751" s="1">
        <v>3.4928899258375098E-3</v>
      </c>
      <c r="N751">
        <v>1048.59521484375</v>
      </c>
      <c r="O751">
        <v>525.30489999999895</v>
      </c>
      <c r="P751">
        <v>1048.59167480469</v>
      </c>
      <c r="Q751">
        <v>525.30310058593705</v>
      </c>
      <c r="R751">
        <v>2</v>
      </c>
      <c r="S751">
        <v>3</v>
      </c>
      <c r="T751">
        <v>9</v>
      </c>
      <c r="U751">
        <v>48.142229999999898</v>
      </c>
      <c r="V751">
        <v>262181.3</v>
      </c>
    </row>
    <row r="752" spans="1:22" x14ac:dyDescent="0.25">
      <c r="A752" t="s">
        <v>4588</v>
      </c>
      <c r="B752" t="s">
        <v>4589</v>
      </c>
      <c r="C752">
        <v>36</v>
      </c>
      <c r="D752">
        <v>99</v>
      </c>
      <c r="E752">
        <v>98.98</v>
      </c>
      <c r="F752" t="s">
        <v>4590</v>
      </c>
      <c r="G752" t="s">
        <v>4590</v>
      </c>
      <c r="H752">
        <f t="shared" si="14"/>
        <v>9</v>
      </c>
      <c r="M752" s="1">
        <v>3.87118989601731E-3</v>
      </c>
      <c r="N752">
        <v>1105.65344238281</v>
      </c>
      <c r="O752">
        <v>553.83399999999904</v>
      </c>
      <c r="P752">
        <v>1105.64953613281</v>
      </c>
      <c r="Q752">
        <v>553.83203125</v>
      </c>
      <c r="R752">
        <v>2</v>
      </c>
      <c r="S752">
        <v>4</v>
      </c>
      <c r="T752">
        <v>10</v>
      </c>
      <c r="U752">
        <v>47.63973</v>
      </c>
      <c r="V752">
        <v>298054.3</v>
      </c>
    </row>
    <row r="753" spans="1:22" x14ac:dyDescent="0.25">
      <c r="A753" t="s">
        <v>1846</v>
      </c>
      <c r="B753" t="s">
        <v>1847</v>
      </c>
      <c r="C753">
        <v>97</v>
      </c>
      <c r="D753">
        <v>99</v>
      </c>
      <c r="E753">
        <v>99</v>
      </c>
      <c r="F753" t="s">
        <v>1848</v>
      </c>
      <c r="G753" t="s">
        <v>1848</v>
      </c>
      <c r="H753">
        <f t="shared" si="14"/>
        <v>14</v>
      </c>
      <c r="M753">
        <v>-1.8E-5</v>
      </c>
      <c r="N753">
        <v>1015.53070068359</v>
      </c>
      <c r="O753">
        <v>508.77260000000001</v>
      </c>
      <c r="P753">
        <v>1015.53070068359</v>
      </c>
      <c r="Q753">
        <v>508.77261352539102</v>
      </c>
      <c r="R753">
        <v>2</v>
      </c>
      <c r="S753">
        <v>1</v>
      </c>
      <c r="T753">
        <v>11</v>
      </c>
      <c r="U753">
        <v>34.091099999999898</v>
      </c>
      <c r="V753">
        <v>1616809</v>
      </c>
    </row>
    <row r="754" spans="1:22" x14ac:dyDescent="0.25">
      <c r="A754" t="s">
        <v>1846</v>
      </c>
      <c r="B754" t="s">
        <v>1847</v>
      </c>
      <c r="C754">
        <v>97</v>
      </c>
      <c r="D754">
        <v>99</v>
      </c>
      <c r="E754">
        <v>99</v>
      </c>
      <c r="F754" t="s">
        <v>1848</v>
      </c>
      <c r="G754" t="s">
        <v>1848</v>
      </c>
      <c r="H754">
        <f t="shared" si="14"/>
        <v>14</v>
      </c>
      <c r="L754" t="s">
        <v>48</v>
      </c>
      <c r="M754" s="1">
        <v>3.1570900231599801E-2</v>
      </c>
      <c r="N754">
        <v>2032.05810546875</v>
      </c>
      <c r="O754">
        <v>678.36</v>
      </c>
      <c r="P754">
        <v>2032.02661132813</v>
      </c>
      <c r="Q754">
        <v>678.34948730468705</v>
      </c>
      <c r="R754">
        <v>3</v>
      </c>
      <c r="S754">
        <v>1</v>
      </c>
      <c r="T754">
        <v>12</v>
      </c>
      <c r="U754">
        <v>41.252519999999897</v>
      </c>
      <c r="V754">
        <v>308134.8</v>
      </c>
    </row>
    <row r="755" spans="1:22" x14ac:dyDescent="0.25">
      <c r="A755" t="s">
        <v>1846</v>
      </c>
      <c r="B755" t="s">
        <v>1847</v>
      </c>
      <c r="C755">
        <v>97</v>
      </c>
      <c r="D755">
        <v>99</v>
      </c>
      <c r="E755">
        <v>99</v>
      </c>
      <c r="F755" t="s">
        <v>1848</v>
      </c>
      <c r="G755" t="s">
        <v>1848</v>
      </c>
      <c r="H755">
        <f t="shared" si="14"/>
        <v>14</v>
      </c>
      <c r="L755" t="s">
        <v>1849</v>
      </c>
      <c r="M755" s="1">
        <v>-1.01127997040749E-2</v>
      </c>
      <c r="N755">
        <v>2794.41088867188</v>
      </c>
      <c r="O755">
        <v>699.61</v>
      </c>
      <c r="P755">
        <v>2794.4208984375</v>
      </c>
      <c r="Q755">
        <v>699.61248779296795</v>
      </c>
      <c r="R755">
        <v>4</v>
      </c>
      <c r="S755">
        <v>2</v>
      </c>
      <c r="T755">
        <v>10</v>
      </c>
      <c r="U755">
        <v>18.114999999999899</v>
      </c>
      <c r="V755">
        <v>500776.8</v>
      </c>
    </row>
    <row r="756" spans="1:22" x14ac:dyDescent="0.25">
      <c r="A756" t="s">
        <v>1410</v>
      </c>
      <c r="B756" t="s">
        <v>1411</v>
      </c>
      <c r="C756">
        <v>114</v>
      </c>
      <c r="D756">
        <v>99</v>
      </c>
      <c r="E756">
        <v>99</v>
      </c>
      <c r="F756" t="s">
        <v>1412</v>
      </c>
      <c r="G756" t="s">
        <v>1412</v>
      </c>
      <c r="H756">
        <f t="shared" si="14"/>
        <v>18</v>
      </c>
      <c r="M756" s="1">
        <v>9.9797295406460693E-3</v>
      </c>
      <c r="N756">
        <v>1655.74487304688</v>
      </c>
      <c r="O756">
        <v>828.87969999999905</v>
      </c>
      <c r="P756">
        <v>1655.73486328125</v>
      </c>
      <c r="Q756">
        <v>828.87469482421795</v>
      </c>
      <c r="R756">
        <v>2</v>
      </c>
      <c r="S756">
        <v>2</v>
      </c>
      <c r="T756">
        <v>9</v>
      </c>
      <c r="U756">
        <v>55.125480000000003</v>
      </c>
      <c r="V756">
        <v>69604.259999999893</v>
      </c>
    </row>
    <row r="757" spans="1:22" x14ac:dyDescent="0.25">
      <c r="A757" t="s">
        <v>1410</v>
      </c>
      <c r="B757" t="s">
        <v>1411</v>
      </c>
      <c r="C757">
        <v>115</v>
      </c>
      <c r="D757">
        <v>99</v>
      </c>
      <c r="E757">
        <v>99</v>
      </c>
      <c r="F757" t="s">
        <v>1413</v>
      </c>
      <c r="G757" t="s">
        <v>1413</v>
      </c>
      <c r="H757">
        <f t="shared" si="14"/>
        <v>17</v>
      </c>
      <c r="M757" s="1">
        <v>7.5383298099041002E-3</v>
      </c>
      <c r="N757">
        <v>1655.74243164063</v>
      </c>
      <c r="O757">
        <v>828.87850000000003</v>
      </c>
      <c r="P757">
        <v>1655.73486328125</v>
      </c>
      <c r="Q757">
        <v>828.87469482421795</v>
      </c>
      <c r="R757">
        <v>2</v>
      </c>
      <c r="S757">
        <v>1</v>
      </c>
      <c r="T757">
        <v>11</v>
      </c>
      <c r="U757">
        <v>55.09402</v>
      </c>
      <c r="V757">
        <v>136019.4</v>
      </c>
    </row>
    <row r="758" spans="1:22" x14ac:dyDescent="0.25">
      <c r="A758" t="s">
        <v>1410</v>
      </c>
      <c r="B758" t="s">
        <v>1411</v>
      </c>
      <c r="C758">
        <v>116</v>
      </c>
      <c r="D758">
        <v>99</v>
      </c>
      <c r="E758">
        <v>99</v>
      </c>
      <c r="F758" t="s">
        <v>1414</v>
      </c>
      <c r="G758" t="s">
        <v>1414</v>
      </c>
      <c r="H758">
        <f t="shared" si="14"/>
        <v>16</v>
      </c>
      <c r="M758" s="1">
        <v>8.8607799261808309E-3</v>
      </c>
      <c r="N758">
        <v>1843.95568847656</v>
      </c>
      <c r="O758">
        <v>615.65920000000006</v>
      </c>
      <c r="P758">
        <v>1843.94689941406</v>
      </c>
      <c r="Q758">
        <v>615.65625</v>
      </c>
      <c r="R758">
        <v>3</v>
      </c>
      <c r="S758">
        <v>1</v>
      </c>
      <c r="T758">
        <v>11</v>
      </c>
      <c r="U758">
        <v>36.592219999999898</v>
      </c>
      <c r="V758">
        <v>426951.5</v>
      </c>
    </row>
    <row r="759" spans="1:22" x14ac:dyDescent="0.25">
      <c r="A759" t="s">
        <v>1410</v>
      </c>
      <c r="B759" t="s">
        <v>1411</v>
      </c>
      <c r="C759">
        <v>194</v>
      </c>
      <c r="D759">
        <v>99</v>
      </c>
      <c r="E759">
        <v>99</v>
      </c>
      <c r="F759" t="s">
        <v>1415</v>
      </c>
      <c r="G759" t="s">
        <v>1415</v>
      </c>
      <c r="H759">
        <f t="shared" si="14"/>
        <v>17</v>
      </c>
      <c r="M759" s="1">
        <v>1.9664000719785701E-2</v>
      </c>
      <c r="N759">
        <v>1843.96655273438</v>
      </c>
      <c r="O759">
        <v>615.66279999999904</v>
      </c>
      <c r="P759">
        <v>1843.94689941406</v>
      </c>
      <c r="Q759">
        <v>615.65625</v>
      </c>
      <c r="R759">
        <v>3</v>
      </c>
      <c r="S759">
        <v>1</v>
      </c>
      <c r="T759">
        <v>11</v>
      </c>
      <c r="U759">
        <v>36.49288</v>
      </c>
      <c r="V759">
        <v>135594.6</v>
      </c>
    </row>
    <row r="760" spans="1:22" x14ac:dyDescent="0.25">
      <c r="A760" t="s">
        <v>137</v>
      </c>
      <c r="B760" t="s">
        <v>138</v>
      </c>
      <c r="C760">
        <v>289</v>
      </c>
      <c r="D760">
        <v>99</v>
      </c>
      <c r="E760">
        <v>99</v>
      </c>
      <c r="F760" t="s">
        <v>1211</v>
      </c>
      <c r="G760" t="s">
        <v>1211</v>
      </c>
      <c r="H760">
        <f t="shared" si="14"/>
        <v>18</v>
      </c>
      <c r="M760" s="1">
        <v>8.42440966516733E-3</v>
      </c>
      <c r="N760">
        <v>1706.78723144531</v>
      </c>
      <c r="O760">
        <v>854.40089999999896</v>
      </c>
      <c r="P760">
        <v>1706.77880859375</v>
      </c>
      <c r="Q760">
        <v>854.39666748046795</v>
      </c>
      <c r="R760">
        <v>2</v>
      </c>
      <c r="S760">
        <v>1</v>
      </c>
      <c r="T760">
        <v>8</v>
      </c>
      <c r="U760">
        <v>40.864579999999897</v>
      </c>
      <c r="V760">
        <v>98673.63</v>
      </c>
    </row>
    <row r="761" spans="1:22" x14ac:dyDescent="0.25">
      <c r="A761" t="s">
        <v>137</v>
      </c>
      <c r="B761" t="s">
        <v>138</v>
      </c>
      <c r="C761">
        <v>287</v>
      </c>
      <c r="D761">
        <v>99</v>
      </c>
      <c r="E761">
        <v>99</v>
      </c>
      <c r="F761" t="s">
        <v>1212</v>
      </c>
      <c r="G761" t="s">
        <v>1212</v>
      </c>
      <c r="H761">
        <f t="shared" si="14"/>
        <v>20</v>
      </c>
      <c r="M761" s="1">
        <v>5.6241499260067801E-3</v>
      </c>
      <c r="N761">
        <v>1735.0048828125</v>
      </c>
      <c r="O761">
        <v>579.34220000000005</v>
      </c>
      <c r="P761">
        <v>1734.99926757813</v>
      </c>
      <c r="Q761">
        <v>579.34033203125</v>
      </c>
      <c r="R761">
        <v>3</v>
      </c>
      <c r="S761">
        <v>2</v>
      </c>
      <c r="T761">
        <v>14</v>
      </c>
      <c r="U761">
        <v>42.3982999999999</v>
      </c>
      <c r="V761">
        <v>596604.19999999902</v>
      </c>
    </row>
    <row r="762" spans="1:22" x14ac:dyDescent="0.25">
      <c r="A762" t="s">
        <v>137</v>
      </c>
      <c r="B762" t="s">
        <v>138</v>
      </c>
      <c r="C762">
        <v>288</v>
      </c>
      <c r="D762">
        <v>99</v>
      </c>
      <c r="E762">
        <v>99</v>
      </c>
      <c r="F762" t="s">
        <v>1213</v>
      </c>
      <c r="G762" t="s">
        <v>1213</v>
      </c>
      <c r="H762">
        <f t="shared" si="14"/>
        <v>19</v>
      </c>
      <c r="M762" s="1">
        <v>1.32742002606391E-2</v>
      </c>
      <c r="N762">
        <v>1792.03393554688</v>
      </c>
      <c r="O762">
        <v>598.3519</v>
      </c>
      <c r="P762">
        <v>1792.02062988281</v>
      </c>
      <c r="Q762">
        <v>598.34753417968705</v>
      </c>
      <c r="R762">
        <v>3</v>
      </c>
      <c r="S762">
        <v>3</v>
      </c>
      <c r="T762">
        <v>13</v>
      </c>
      <c r="U762">
        <v>42.085700000000003</v>
      </c>
      <c r="V762">
        <v>304851.5</v>
      </c>
    </row>
    <row r="763" spans="1:22" x14ac:dyDescent="0.25">
      <c r="A763" t="s">
        <v>137</v>
      </c>
      <c r="B763" t="s">
        <v>138</v>
      </c>
      <c r="C763">
        <v>233</v>
      </c>
      <c r="D763">
        <v>99</v>
      </c>
      <c r="E763">
        <v>99</v>
      </c>
      <c r="F763" t="s">
        <v>1214</v>
      </c>
      <c r="G763" t="s">
        <v>1214</v>
      </c>
      <c r="H763">
        <f t="shared" si="14"/>
        <v>13</v>
      </c>
      <c r="M763" s="1">
        <v>1.77775993943214E-2</v>
      </c>
      <c r="N763">
        <v>1907.0654296875</v>
      </c>
      <c r="O763">
        <v>954.54</v>
      </c>
      <c r="P763">
        <v>1907.04760742188</v>
      </c>
      <c r="Q763">
        <v>954.53106689453102</v>
      </c>
      <c r="R763">
        <v>2</v>
      </c>
      <c r="S763">
        <v>1</v>
      </c>
      <c r="T763">
        <v>10</v>
      </c>
      <c r="U763">
        <v>43.079700000000003</v>
      </c>
      <c r="V763">
        <v>115371</v>
      </c>
    </row>
    <row r="764" spans="1:22" x14ac:dyDescent="0.25">
      <c r="A764" t="s">
        <v>137</v>
      </c>
      <c r="B764" t="s">
        <v>138</v>
      </c>
      <c r="C764">
        <v>322</v>
      </c>
      <c r="D764">
        <v>98.9</v>
      </c>
      <c r="E764">
        <v>98.85</v>
      </c>
      <c r="F764" t="s">
        <v>1215</v>
      </c>
      <c r="G764" t="s">
        <v>1215</v>
      </c>
      <c r="H764">
        <f t="shared" si="14"/>
        <v>14</v>
      </c>
      <c r="M764" s="1">
        <v>8.6089996621012705E-3</v>
      </c>
      <c r="N764">
        <v>1907.05627441406</v>
      </c>
      <c r="O764">
        <v>636.69269999999904</v>
      </c>
      <c r="P764">
        <v>1907.04760742188</v>
      </c>
      <c r="Q764">
        <v>636.68981933593705</v>
      </c>
      <c r="R764">
        <v>3</v>
      </c>
      <c r="S764">
        <v>3</v>
      </c>
      <c r="T764">
        <v>13</v>
      </c>
      <c r="U764">
        <v>43.054969999999898</v>
      </c>
      <c r="V764">
        <v>261791.4</v>
      </c>
    </row>
    <row r="765" spans="1:22" x14ac:dyDescent="0.25">
      <c r="A765" t="s">
        <v>137</v>
      </c>
      <c r="B765" t="s">
        <v>138</v>
      </c>
      <c r="C765">
        <v>78</v>
      </c>
      <c r="D765">
        <v>99</v>
      </c>
      <c r="E765">
        <v>99</v>
      </c>
      <c r="F765" t="s">
        <v>1216</v>
      </c>
      <c r="G765" t="s">
        <v>1216</v>
      </c>
      <c r="H765">
        <f t="shared" si="14"/>
        <v>17</v>
      </c>
      <c r="M765" s="1">
        <v>4.4079101644456404E-3</v>
      </c>
      <c r="N765">
        <v>1857.87890625</v>
      </c>
      <c r="O765">
        <v>929.94669999999905</v>
      </c>
      <c r="P765">
        <v>1857.87451171875</v>
      </c>
      <c r="Q765">
        <v>929.94451904296795</v>
      </c>
      <c r="R765">
        <v>2</v>
      </c>
      <c r="S765">
        <v>3</v>
      </c>
      <c r="T765">
        <v>19</v>
      </c>
      <c r="U765">
        <v>45.273879999999899</v>
      </c>
      <c r="V765">
        <v>200837.9</v>
      </c>
    </row>
    <row r="766" spans="1:22" x14ac:dyDescent="0.25">
      <c r="A766" t="s">
        <v>137</v>
      </c>
      <c r="B766" t="s">
        <v>138</v>
      </c>
      <c r="C766">
        <v>277</v>
      </c>
      <c r="D766">
        <v>99</v>
      </c>
      <c r="E766">
        <v>99</v>
      </c>
      <c r="F766" t="s">
        <v>1217</v>
      </c>
      <c r="G766" t="s">
        <v>1217</v>
      </c>
      <c r="H766">
        <f t="shared" si="14"/>
        <v>17</v>
      </c>
      <c r="M766" s="1">
        <v>6.1168898828327604E-3</v>
      </c>
      <c r="N766">
        <v>1857.88061523438</v>
      </c>
      <c r="O766">
        <v>929.94759999999906</v>
      </c>
      <c r="P766">
        <v>1857.87451171875</v>
      </c>
      <c r="Q766">
        <v>929.94451904296795</v>
      </c>
      <c r="R766">
        <v>2</v>
      </c>
      <c r="S766">
        <v>3</v>
      </c>
      <c r="T766">
        <v>12</v>
      </c>
      <c r="U766">
        <v>45.315019999999897</v>
      </c>
      <c r="V766">
        <v>63012.53</v>
      </c>
    </row>
    <row r="767" spans="1:22" x14ac:dyDescent="0.25">
      <c r="A767" t="s">
        <v>137</v>
      </c>
      <c r="B767" t="s">
        <v>138</v>
      </c>
      <c r="C767">
        <v>87</v>
      </c>
      <c r="D767">
        <v>99</v>
      </c>
      <c r="E767">
        <v>99</v>
      </c>
      <c r="F767" t="s">
        <v>139</v>
      </c>
      <c r="G767" t="s">
        <v>139</v>
      </c>
      <c r="H767">
        <f t="shared" si="14"/>
        <v>21</v>
      </c>
      <c r="M767" s="1">
        <v>4.56592999398708E-3</v>
      </c>
      <c r="N767">
        <v>1805.90930175781</v>
      </c>
      <c r="O767">
        <v>903.96190000000001</v>
      </c>
      <c r="P767">
        <v>1805.90466308594</v>
      </c>
      <c r="Q767">
        <v>903.95965576171795</v>
      </c>
      <c r="R767">
        <v>2</v>
      </c>
      <c r="S767">
        <v>1</v>
      </c>
      <c r="T767">
        <v>8</v>
      </c>
      <c r="U767">
        <v>49.6152599999999</v>
      </c>
      <c r="V767">
        <v>33671.5</v>
      </c>
    </row>
    <row r="768" spans="1:22" x14ac:dyDescent="0.25">
      <c r="A768" t="s">
        <v>3409</v>
      </c>
      <c r="B768" t="s">
        <v>3410</v>
      </c>
      <c r="C768">
        <v>276</v>
      </c>
      <c r="D768">
        <v>99</v>
      </c>
      <c r="E768">
        <v>99</v>
      </c>
      <c r="F768" t="s">
        <v>3411</v>
      </c>
      <c r="G768" t="s">
        <v>3411</v>
      </c>
      <c r="H768">
        <f t="shared" si="14"/>
        <v>9</v>
      </c>
      <c r="M768" s="1">
        <v>7.81747978180647E-4</v>
      </c>
      <c r="N768">
        <v>1805.90551757813</v>
      </c>
      <c r="O768">
        <v>903.96</v>
      </c>
      <c r="P768">
        <v>1805.90466308594</v>
      </c>
      <c r="Q768">
        <v>903.95965576171795</v>
      </c>
      <c r="R768">
        <v>2</v>
      </c>
      <c r="S768">
        <v>1</v>
      </c>
      <c r="T768">
        <v>8</v>
      </c>
      <c r="U768">
        <v>49.566879999999898</v>
      </c>
      <c r="V768">
        <v>55034.89</v>
      </c>
    </row>
    <row r="769" spans="1:22" x14ac:dyDescent="0.25">
      <c r="A769" t="s">
        <v>1983</v>
      </c>
      <c r="B769" t="s">
        <v>1984</v>
      </c>
      <c r="C769">
        <v>751</v>
      </c>
      <c r="D769">
        <v>99</v>
      </c>
      <c r="E769">
        <v>99</v>
      </c>
      <c r="F769" t="s">
        <v>1985</v>
      </c>
      <c r="G769" t="s">
        <v>1985</v>
      </c>
      <c r="H769">
        <f t="shared" si="14"/>
        <v>9</v>
      </c>
      <c r="M769" s="1">
        <v>4.65082004666328E-3</v>
      </c>
      <c r="N769">
        <v>1291.6455078125</v>
      </c>
      <c r="O769">
        <v>646.83000000000004</v>
      </c>
      <c r="P769">
        <v>1291.64086914063</v>
      </c>
      <c r="Q769">
        <v>646.82769775390602</v>
      </c>
      <c r="R769">
        <v>2</v>
      </c>
      <c r="S769">
        <v>1</v>
      </c>
      <c r="T769">
        <v>11</v>
      </c>
      <c r="U769">
        <v>35.593690000000002</v>
      </c>
      <c r="V769">
        <v>343091</v>
      </c>
    </row>
    <row r="770" spans="1:22" x14ac:dyDescent="0.25">
      <c r="A770" t="s">
        <v>1306</v>
      </c>
      <c r="B770" t="s">
        <v>1307</v>
      </c>
      <c r="C770">
        <v>48</v>
      </c>
      <c r="D770">
        <v>99</v>
      </c>
      <c r="E770">
        <v>99</v>
      </c>
      <c r="F770" t="s">
        <v>1308</v>
      </c>
      <c r="G770" t="s">
        <v>1308</v>
      </c>
      <c r="H770">
        <f t="shared" si="14"/>
        <v>16</v>
      </c>
      <c r="M770" s="1">
        <v>-3.1487199012189999E-3</v>
      </c>
      <c r="N770">
        <v>1066.55285644531</v>
      </c>
      <c r="O770">
        <v>534.28369999999904</v>
      </c>
      <c r="P770">
        <v>1066.55603027344</v>
      </c>
      <c r="Q770">
        <v>534.28527832031205</v>
      </c>
      <c r="R770">
        <v>2</v>
      </c>
      <c r="S770">
        <v>1</v>
      </c>
      <c r="T770">
        <v>11</v>
      </c>
      <c r="U770">
        <v>21.04993</v>
      </c>
      <c r="V770">
        <v>485457.8</v>
      </c>
    </row>
    <row r="771" spans="1:22" x14ac:dyDescent="0.25">
      <c r="A771" t="s">
        <v>1306</v>
      </c>
      <c r="B771" t="s">
        <v>1307</v>
      </c>
      <c r="C771">
        <v>519</v>
      </c>
      <c r="D771">
        <v>98.4</v>
      </c>
      <c r="E771">
        <v>98.42</v>
      </c>
      <c r="F771" t="s">
        <v>1309</v>
      </c>
      <c r="G771" t="s">
        <v>1309</v>
      </c>
      <c r="H771">
        <f t="shared" ref="H771:H834" si="15">LEN(G771)</f>
        <v>8</v>
      </c>
      <c r="M771" s="1">
        <v>5.68541989196092E-4</v>
      </c>
      <c r="N771">
        <v>1048.59362792969</v>
      </c>
      <c r="O771">
        <v>525.30409999999904</v>
      </c>
      <c r="P771">
        <v>1048.59301757813</v>
      </c>
      <c r="Q771">
        <v>525.30377197265602</v>
      </c>
      <c r="R771">
        <v>2</v>
      </c>
      <c r="S771">
        <v>2</v>
      </c>
      <c r="T771">
        <v>12</v>
      </c>
      <c r="U771">
        <v>25.962679999999899</v>
      </c>
      <c r="V771">
        <v>2344331</v>
      </c>
    </row>
    <row r="772" spans="1:22" x14ac:dyDescent="0.25">
      <c r="A772" t="s">
        <v>1306</v>
      </c>
      <c r="B772" t="s">
        <v>1307</v>
      </c>
      <c r="C772">
        <v>50</v>
      </c>
      <c r="D772">
        <v>98</v>
      </c>
      <c r="E772">
        <v>97.99</v>
      </c>
      <c r="F772" t="s">
        <v>1310</v>
      </c>
      <c r="G772" t="s">
        <v>1310</v>
      </c>
      <c r="H772">
        <f t="shared" si="15"/>
        <v>14</v>
      </c>
      <c r="M772" s="1">
        <v>1.7892499454319501E-3</v>
      </c>
      <c r="N772">
        <v>1048.59484863281</v>
      </c>
      <c r="O772">
        <v>525.30470000000003</v>
      </c>
      <c r="P772">
        <v>1048.59301757813</v>
      </c>
      <c r="Q772">
        <v>525.30377197265602</v>
      </c>
      <c r="R772">
        <v>2</v>
      </c>
      <c r="S772">
        <v>2</v>
      </c>
      <c r="T772">
        <v>13</v>
      </c>
      <c r="U772">
        <v>25.992069999999899</v>
      </c>
      <c r="V772">
        <v>3453477</v>
      </c>
    </row>
    <row r="773" spans="1:22" x14ac:dyDescent="0.25">
      <c r="A773" t="s">
        <v>2099</v>
      </c>
      <c r="B773" t="s">
        <v>2100</v>
      </c>
      <c r="C773">
        <v>2</v>
      </c>
      <c r="D773">
        <v>99</v>
      </c>
      <c r="E773">
        <v>99</v>
      </c>
      <c r="F773" t="s">
        <v>2101</v>
      </c>
      <c r="G773" t="s">
        <v>2101</v>
      </c>
      <c r="H773">
        <f t="shared" si="15"/>
        <v>16</v>
      </c>
      <c r="L773" t="s">
        <v>227</v>
      </c>
      <c r="M773" s="1">
        <v>-4.3529700487852001E-3</v>
      </c>
      <c r="N773">
        <v>1128.59582519531</v>
      </c>
      <c r="O773">
        <v>565.30520000000001</v>
      </c>
      <c r="P773">
        <v>1128.60009765625</v>
      </c>
      <c r="Q773">
        <v>565.307373046875</v>
      </c>
      <c r="R773">
        <v>2</v>
      </c>
      <c r="S773">
        <v>2</v>
      </c>
      <c r="T773">
        <v>13</v>
      </c>
      <c r="U773">
        <v>18.634080000000001</v>
      </c>
      <c r="V773">
        <v>5431287</v>
      </c>
    </row>
    <row r="774" spans="1:22" x14ac:dyDescent="0.25">
      <c r="A774" t="s">
        <v>343</v>
      </c>
      <c r="B774" t="s">
        <v>344</v>
      </c>
      <c r="C774">
        <v>113</v>
      </c>
      <c r="D774">
        <v>98.5</v>
      </c>
      <c r="E774">
        <v>98.47</v>
      </c>
      <c r="F774" t="s">
        <v>345</v>
      </c>
      <c r="G774" t="s">
        <v>345</v>
      </c>
      <c r="H774">
        <f t="shared" si="15"/>
        <v>16</v>
      </c>
      <c r="M774" s="1">
        <v>-2.67952005378902E-3</v>
      </c>
      <c r="N774">
        <v>2144.11328125</v>
      </c>
      <c r="O774">
        <v>1073.0640000000001</v>
      </c>
      <c r="P774">
        <v>2144.11596679688</v>
      </c>
      <c r="Q774">
        <v>1073.06530761719</v>
      </c>
      <c r="R774">
        <v>2</v>
      </c>
      <c r="S774">
        <v>6</v>
      </c>
      <c r="T774">
        <v>28</v>
      </c>
      <c r="U774">
        <v>18.36177</v>
      </c>
      <c r="V774">
        <v>136569.9</v>
      </c>
    </row>
    <row r="775" spans="1:22" x14ac:dyDescent="0.25">
      <c r="A775" t="s">
        <v>343</v>
      </c>
      <c r="B775" t="s">
        <v>344</v>
      </c>
      <c r="C775">
        <v>102</v>
      </c>
      <c r="D775">
        <v>97.6</v>
      </c>
      <c r="E775">
        <v>97.59</v>
      </c>
      <c r="F775" t="s">
        <v>1232</v>
      </c>
      <c r="G775" t="s">
        <v>1232</v>
      </c>
      <c r="H775">
        <f t="shared" si="15"/>
        <v>27</v>
      </c>
      <c r="L775" t="s">
        <v>291</v>
      </c>
      <c r="M775" s="1">
        <v>4.4512599706649702E-3</v>
      </c>
      <c r="N775">
        <v>2026.10046386719</v>
      </c>
      <c r="O775">
        <v>676.3741</v>
      </c>
      <c r="P775">
        <v>2026.09594726563</v>
      </c>
      <c r="Q775">
        <v>676.37261962890602</v>
      </c>
      <c r="R775">
        <v>3</v>
      </c>
      <c r="S775">
        <v>1</v>
      </c>
      <c r="T775">
        <v>12</v>
      </c>
      <c r="U775">
        <v>43.555770000000003</v>
      </c>
      <c r="V775">
        <v>282642.59999999899</v>
      </c>
    </row>
    <row r="776" spans="1:22" x14ac:dyDescent="0.25">
      <c r="A776" t="s">
        <v>3187</v>
      </c>
      <c r="B776" t="s">
        <v>3188</v>
      </c>
      <c r="C776">
        <v>178</v>
      </c>
      <c r="D776">
        <v>99</v>
      </c>
      <c r="E776">
        <v>99</v>
      </c>
      <c r="F776" t="s">
        <v>3189</v>
      </c>
      <c r="G776" t="s">
        <v>3189</v>
      </c>
      <c r="H776">
        <f t="shared" si="15"/>
        <v>16</v>
      </c>
      <c r="M776" s="1">
        <v>-7.8197699040174502E-3</v>
      </c>
      <c r="N776">
        <v>2144.10815429688</v>
      </c>
      <c r="O776">
        <v>715.71</v>
      </c>
      <c r="P776">
        <v>2144.11596679688</v>
      </c>
      <c r="Q776">
        <v>715.712646484375</v>
      </c>
      <c r="R776">
        <v>3</v>
      </c>
      <c r="S776">
        <v>3</v>
      </c>
      <c r="T776">
        <v>14</v>
      </c>
      <c r="U776">
        <v>18.486080000000001</v>
      </c>
      <c r="V776">
        <v>895961</v>
      </c>
    </row>
    <row r="777" spans="1:22" x14ac:dyDescent="0.25">
      <c r="A777" t="s">
        <v>4207</v>
      </c>
      <c r="B777" t="s">
        <v>4208</v>
      </c>
      <c r="C777">
        <v>15</v>
      </c>
      <c r="D777">
        <v>98.7</v>
      </c>
      <c r="E777">
        <v>98.66</v>
      </c>
      <c r="F777" t="s">
        <v>4209</v>
      </c>
      <c r="G777" t="s">
        <v>4209</v>
      </c>
      <c r="H777">
        <f t="shared" si="15"/>
        <v>9</v>
      </c>
      <c r="M777" s="1">
        <v>-4.6758601092733302E-4</v>
      </c>
      <c r="N777">
        <v>1125.59265136719</v>
      </c>
      <c r="O777">
        <v>563.80359999999905</v>
      </c>
      <c r="P777">
        <v>1125.59313964844</v>
      </c>
      <c r="Q777">
        <v>563.80383300781205</v>
      </c>
      <c r="R777">
        <v>2</v>
      </c>
      <c r="S777">
        <v>2</v>
      </c>
      <c r="T777">
        <v>12</v>
      </c>
      <c r="U777">
        <v>25.136119999999899</v>
      </c>
      <c r="V777">
        <v>1676492</v>
      </c>
    </row>
    <row r="778" spans="1:22" x14ac:dyDescent="0.25">
      <c r="A778" t="s">
        <v>1970</v>
      </c>
      <c r="B778" t="s">
        <v>1971</v>
      </c>
      <c r="C778">
        <v>229</v>
      </c>
      <c r="D778">
        <v>98.4</v>
      </c>
      <c r="E778">
        <v>98.41</v>
      </c>
      <c r="F778" t="s">
        <v>1972</v>
      </c>
      <c r="G778" t="s">
        <v>1972</v>
      </c>
      <c r="H778">
        <f t="shared" si="15"/>
        <v>9</v>
      </c>
      <c r="M778" s="1">
        <v>3.19452001713216E-3</v>
      </c>
      <c r="N778">
        <v>1125.59631347656</v>
      </c>
      <c r="O778">
        <v>563.80539999999905</v>
      </c>
      <c r="P778">
        <v>1125.59313964844</v>
      </c>
      <c r="Q778">
        <v>563.80383300781205</v>
      </c>
      <c r="R778">
        <v>2</v>
      </c>
      <c r="S778">
        <v>2</v>
      </c>
      <c r="T778">
        <v>14</v>
      </c>
      <c r="U778">
        <v>25.10295</v>
      </c>
      <c r="V778">
        <v>5541108</v>
      </c>
    </row>
    <row r="779" spans="1:22" x14ac:dyDescent="0.25">
      <c r="A779" t="s">
        <v>307</v>
      </c>
      <c r="B779" t="s">
        <v>308</v>
      </c>
      <c r="C779">
        <v>632</v>
      </c>
      <c r="D779">
        <v>98.6</v>
      </c>
      <c r="E779">
        <v>98.59</v>
      </c>
      <c r="F779" t="s">
        <v>309</v>
      </c>
      <c r="G779" t="s">
        <v>309</v>
      </c>
      <c r="H779">
        <f t="shared" si="15"/>
        <v>9</v>
      </c>
      <c r="M779" s="1">
        <v>2.95276008546352E-3</v>
      </c>
      <c r="N779">
        <v>1800.95520019531</v>
      </c>
      <c r="O779">
        <v>601.32569999999896</v>
      </c>
      <c r="P779">
        <v>1800.95227050781</v>
      </c>
      <c r="Q779">
        <v>601.32470703125</v>
      </c>
      <c r="R779">
        <v>3</v>
      </c>
      <c r="S779">
        <v>1</v>
      </c>
      <c r="T779">
        <v>16</v>
      </c>
      <c r="U779">
        <v>25.798749999999899</v>
      </c>
      <c r="V779">
        <v>335016.8</v>
      </c>
    </row>
    <row r="780" spans="1:22" x14ac:dyDescent="0.25">
      <c r="A780" t="s">
        <v>691</v>
      </c>
      <c r="B780" t="s">
        <v>692</v>
      </c>
      <c r="C780">
        <v>141</v>
      </c>
      <c r="D780">
        <v>98.7</v>
      </c>
      <c r="E780">
        <v>98.71</v>
      </c>
      <c r="F780" t="s">
        <v>693</v>
      </c>
      <c r="G780" t="s">
        <v>693</v>
      </c>
      <c r="H780">
        <f t="shared" si="15"/>
        <v>15</v>
      </c>
      <c r="M780" s="1">
        <v>3.0615199357271099E-3</v>
      </c>
      <c r="N780">
        <v>1019.57946777344</v>
      </c>
      <c r="O780">
        <v>510.79700000000003</v>
      </c>
      <c r="P780">
        <v>1019.57635498047</v>
      </c>
      <c r="Q780">
        <v>510.79547119140602</v>
      </c>
      <c r="R780">
        <v>2</v>
      </c>
      <c r="S780">
        <v>2</v>
      </c>
      <c r="T780">
        <v>12</v>
      </c>
      <c r="U780">
        <v>37.8788699999999</v>
      </c>
      <c r="V780">
        <v>306204.2</v>
      </c>
    </row>
    <row r="781" spans="1:22" x14ac:dyDescent="0.25">
      <c r="A781" t="s">
        <v>3516</v>
      </c>
      <c r="B781" t="s">
        <v>3517</v>
      </c>
      <c r="C781">
        <v>86</v>
      </c>
      <c r="D781">
        <v>97.5</v>
      </c>
      <c r="E781">
        <v>97.53</v>
      </c>
      <c r="F781" t="s">
        <v>3518</v>
      </c>
      <c r="G781" t="s">
        <v>3518</v>
      </c>
      <c r="H781">
        <f t="shared" si="15"/>
        <v>15</v>
      </c>
      <c r="M781" s="1">
        <v>2.6953099295496902E-3</v>
      </c>
      <c r="N781">
        <v>1019.5791015625</v>
      </c>
      <c r="O781">
        <v>510.79680000000002</v>
      </c>
      <c r="P781">
        <v>1019.57635498047</v>
      </c>
      <c r="Q781">
        <v>510.79547119140602</v>
      </c>
      <c r="R781">
        <v>2</v>
      </c>
      <c r="S781">
        <v>2</v>
      </c>
      <c r="T781">
        <v>11</v>
      </c>
      <c r="U781">
        <v>37.361220000000003</v>
      </c>
      <c r="V781">
        <v>643727.30000000005</v>
      </c>
    </row>
    <row r="782" spans="1:22" x14ac:dyDescent="0.25">
      <c r="A782" t="s">
        <v>313</v>
      </c>
      <c r="B782" t="s">
        <v>314</v>
      </c>
      <c r="C782">
        <v>1569</v>
      </c>
      <c r="D782">
        <v>99</v>
      </c>
      <c r="E782">
        <v>99</v>
      </c>
      <c r="F782" t="s">
        <v>315</v>
      </c>
      <c r="G782" t="s">
        <v>315</v>
      </c>
      <c r="H782">
        <f t="shared" si="15"/>
        <v>9</v>
      </c>
      <c r="L782" t="s">
        <v>295</v>
      </c>
      <c r="M782">
        <v>1.299E-3</v>
      </c>
      <c r="N782">
        <v>958.564697265625</v>
      </c>
      <c r="O782">
        <v>480.28960000000001</v>
      </c>
      <c r="P782">
        <v>958.56335449218705</v>
      </c>
      <c r="Q782">
        <v>480.28897094726602</v>
      </c>
      <c r="R782">
        <v>2</v>
      </c>
      <c r="S782">
        <v>2</v>
      </c>
      <c r="T782">
        <v>13</v>
      </c>
      <c r="U782">
        <v>35.091549999999899</v>
      </c>
      <c r="V782">
        <v>1851711</v>
      </c>
    </row>
    <row r="783" spans="1:22" x14ac:dyDescent="0.25">
      <c r="A783" t="s">
        <v>2485</v>
      </c>
      <c r="B783" t="s">
        <v>2486</v>
      </c>
      <c r="C783">
        <v>44</v>
      </c>
      <c r="D783">
        <v>99</v>
      </c>
      <c r="E783">
        <v>99</v>
      </c>
      <c r="F783" t="s">
        <v>2487</v>
      </c>
      <c r="G783" t="s">
        <v>2487</v>
      </c>
      <c r="H783">
        <f t="shared" si="15"/>
        <v>15</v>
      </c>
      <c r="M783" s="1">
        <v>4.1790599934756704E-3</v>
      </c>
      <c r="N783">
        <v>1594.87609863281</v>
      </c>
      <c r="O783">
        <v>798.44529999999895</v>
      </c>
      <c r="P783">
        <v>1594.87194824219</v>
      </c>
      <c r="Q783">
        <v>798.44323730468705</v>
      </c>
      <c r="R783">
        <v>2</v>
      </c>
      <c r="S783">
        <v>2</v>
      </c>
      <c r="T783">
        <v>13</v>
      </c>
      <c r="U783">
        <v>53.824100000000001</v>
      </c>
      <c r="V783">
        <v>253450.6</v>
      </c>
    </row>
    <row r="784" spans="1:22" x14ac:dyDescent="0.25">
      <c r="A784" t="s">
        <v>2485</v>
      </c>
      <c r="B784" t="s">
        <v>2486</v>
      </c>
      <c r="C784">
        <v>44</v>
      </c>
      <c r="D784">
        <v>99</v>
      </c>
      <c r="E784">
        <v>99</v>
      </c>
      <c r="F784" t="s">
        <v>2488</v>
      </c>
      <c r="G784" t="s">
        <v>2488</v>
      </c>
      <c r="H784">
        <f t="shared" si="15"/>
        <v>16</v>
      </c>
      <c r="M784" s="1">
        <v>9.9258096888661402E-3</v>
      </c>
      <c r="N784">
        <v>1687.92443847656</v>
      </c>
      <c r="O784">
        <v>844.96950000000004</v>
      </c>
      <c r="P784">
        <v>1687.91442871094</v>
      </c>
      <c r="Q784">
        <v>844.96453857421795</v>
      </c>
      <c r="R784">
        <v>2</v>
      </c>
      <c r="S784">
        <v>1</v>
      </c>
      <c r="T784">
        <v>8</v>
      </c>
      <c r="U784">
        <v>31.94585</v>
      </c>
      <c r="V784">
        <v>111852.3</v>
      </c>
    </row>
    <row r="785" spans="1:22" x14ac:dyDescent="0.25">
      <c r="A785" t="s">
        <v>2485</v>
      </c>
      <c r="B785" t="s">
        <v>2486</v>
      </c>
      <c r="C785">
        <v>44</v>
      </c>
      <c r="D785">
        <v>99</v>
      </c>
      <c r="E785">
        <v>99</v>
      </c>
      <c r="F785" t="s">
        <v>2489</v>
      </c>
      <c r="G785" t="s">
        <v>2489</v>
      </c>
      <c r="H785">
        <f t="shared" si="15"/>
        <v>17</v>
      </c>
      <c r="M785" s="1">
        <v>9.3154599890112808E-3</v>
      </c>
      <c r="N785">
        <v>1687.923828125</v>
      </c>
      <c r="O785">
        <v>844.9692</v>
      </c>
      <c r="P785">
        <v>1687.91442871094</v>
      </c>
      <c r="Q785">
        <v>844.96453857421795</v>
      </c>
      <c r="R785">
        <v>2</v>
      </c>
      <c r="S785">
        <v>1</v>
      </c>
      <c r="T785">
        <v>8</v>
      </c>
      <c r="U785">
        <v>32.021320000000003</v>
      </c>
      <c r="V785">
        <v>120460.5</v>
      </c>
    </row>
    <row r="786" spans="1:22" x14ac:dyDescent="0.25">
      <c r="A786" t="s">
        <v>2485</v>
      </c>
      <c r="B786" t="s">
        <v>2486</v>
      </c>
      <c r="C786">
        <v>44</v>
      </c>
      <c r="D786">
        <v>99</v>
      </c>
      <c r="E786">
        <v>99</v>
      </c>
      <c r="F786" t="s">
        <v>2487</v>
      </c>
      <c r="G786" t="s">
        <v>2487</v>
      </c>
      <c r="H786">
        <f t="shared" si="15"/>
        <v>15</v>
      </c>
      <c r="L786" t="s">
        <v>419</v>
      </c>
      <c r="M786" s="1">
        <v>8.3597702905535594E-3</v>
      </c>
      <c r="N786">
        <v>1842.99975585938</v>
      </c>
      <c r="O786">
        <v>615.34050000000002</v>
      </c>
      <c r="P786">
        <v>1842.99133300781</v>
      </c>
      <c r="Q786">
        <v>615.33770751953102</v>
      </c>
      <c r="R786">
        <v>3</v>
      </c>
      <c r="S786">
        <v>1</v>
      </c>
      <c r="T786">
        <v>9</v>
      </c>
      <c r="U786">
        <v>56.233229999999899</v>
      </c>
      <c r="V786">
        <v>97226.5</v>
      </c>
    </row>
    <row r="787" spans="1:22" x14ac:dyDescent="0.25">
      <c r="A787" t="s">
        <v>2485</v>
      </c>
      <c r="B787" t="s">
        <v>2486</v>
      </c>
      <c r="C787">
        <v>44</v>
      </c>
      <c r="D787">
        <v>96.7</v>
      </c>
      <c r="E787">
        <v>96.65</v>
      </c>
      <c r="F787" t="s">
        <v>2488</v>
      </c>
      <c r="G787" t="s">
        <v>2488</v>
      </c>
      <c r="H787">
        <f t="shared" si="15"/>
        <v>16</v>
      </c>
      <c r="L787" t="s">
        <v>419</v>
      </c>
      <c r="M787">
        <v>3.6719999999999999E-3</v>
      </c>
      <c r="N787">
        <v>2651.28930664063</v>
      </c>
      <c r="O787">
        <v>663.82960000000003</v>
      </c>
      <c r="P787">
        <v>2651.28564453125</v>
      </c>
      <c r="Q787">
        <v>663.82867431640602</v>
      </c>
      <c r="R787">
        <v>4</v>
      </c>
      <c r="S787">
        <v>1</v>
      </c>
      <c r="T787">
        <v>10</v>
      </c>
      <c r="U787">
        <v>42.253729999999898</v>
      </c>
      <c r="V787">
        <v>144595.799999999</v>
      </c>
    </row>
    <row r="788" spans="1:22" x14ac:dyDescent="0.25">
      <c r="A788" t="s">
        <v>2485</v>
      </c>
      <c r="B788" t="s">
        <v>2486</v>
      </c>
      <c r="C788">
        <v>44</v>
      </c>
      <c r="D788">
        <v>99</v>
      </c>
      <c r="E788">
        <v>99</v>
      </c>
      <c r="F788" t="s">
        <v>2489</v>
      </c>
      <c r="G788" t="s">
        <v>2489</v>
      </c>
      <c r="H788">
        <f t="shared" si="15"/>
        <v>17</v>
      </c>
      <c r="L788" t="s">
        <v>419</v>
      </c>
      <c r="M788" s="1">
        <v>5.8816000819206203E-3</v>
      </c>
      <c r="N788">
        <v>2040.21545410156</v>
      </c>
      <c r="O788">
        <v>1021.115</v>
      </c>
      <c r="P788">
        <v>2040.20959472656</v>
      </c>
      <c r="Q788">
        <v>1021.11206054688</v>
      </c>
      <c r="R788">
        <v>2</v>
      </c>
      <c r="S788">
        <v>2</v>
      </c>
      <c r="T788">
        <v>16</v>
      </c>
      <c r="U788">
        <v>54.018799999999899</v>
      </c>
      <c r="V788">
        <v>413610.8</v>
      </c>
    </row>
    <row r="789" spans="1:22" x14ac:dyDescent="0.25">
      <c r="A789" t="s">
        <v>1489</v>
      </c>
      <c r="B789" t="s">
        <v>1490</v>
      </c>
      <c r="C789">
        <v>603</v>
      </c>
      <c r="D789">
        <v>99</v>
      </c>
      <c r="E789">
        <v>99</v>
      </c>
      <c r="F789" t="s">
        <v>1491</v>
      </c>
      <c r="G789" t="s">
        <v>1491</v>
      </c>
      <c r="H789">
        <f t="shared" si="15"/>
        <v>17</v>
      </c>
      <c r="M789">
        <v>3.2000000000000002E-3</v>
      </c>
      <c r="N789">
        <v>1889.97668457031</v>
      </c>
      <c r="O789">
        <v>945.99559999999894</v>
      </c>
      <c r="P789">
        <v>1889.97351074219</v>
      </c>
      <c r="Q789">
        <v>945.99401855468705</v>
      </c>
      <c r="R789">
        <v>2</v>
      </c>
      <c r="S789">
        <v>2</v>
      </c>
      <c r="T789">
        <v>9</v>
      </c>
      <c r="U789">
        <v>32.401420000000002</v>
      </c>
      <c r="V789">
        <v>255206.9</v>
      </c>
    </row>
    <row r="790" spans="1:22" x14ac:dyDescent="0.25">
      <c r="A790" t="s">
        <v>1489</v>
      </c>
      <c r="B790" t="s">
        <v>1490</v>
      </c>
      <c r="C790">
        <v>603</v>
      </c>
      <c r="D790">
        <v>99</v>
      </c>
      <c r="E790">
        <v>99</v>
      </c>
      <c r="F790" t="s">
        <v>1492</v>
      </c>
      <c r="G790" t="s">
        <v>1492</v>
      </c>
      <c r="H790">
        <f t="shared" si="15"/>
        <v>18</v>
      </c>
      <c r="M790">
        <v>-4.6200000000000001E-4</v>
      </c>
      <c r="N790">
        <v>1889.97302246094</v>
      </c>
      <c r="O790">
        <v>945.99379999999906</v>
      </c>
      <c r="P790">
        <v>1889.97351074219</v>
      </c>
      <c r="Q790">
        <v>945.99401855468705</v>
      </c>
      <c r="R790">
        <v>2</v>
      </c>
      <c r="S790">
        <v>1</v>
      </c>
      <c r="T790">
        <v>10</v>
      </c>
      <c r="U790">
        <v>32.49785</v>
      </c>
      <c r="V790">
        <v>131798.799999999</v>
      </c>
    </row>
    <row r="791" spans="1:22" x14ac:dyDescent="0.25">
      <c r="A791" t="s">
        <v>3940</v>
      </c>
      <c r="B791" t="s">
        <v>3941</v>
      </c>
      <c r="C791">
        <v>77</v>
      </c>
      <c r="D791">
        <v>96.7</v>
      </c>
      <c r="E791">
        <v>96.69</v>
      </c>
      <c r="F791" t="s">
        <v>3942</v>
      </c>
      <c r="G791" t="s">
        <v>3942</v>
      </c>
      <c r="H791">
        <f t="shared" si="15"/>
        <v>14</v>
      </c>
      <c r="M791" s="1">
        <v>5.1449798047542503E-3</v>
      </c>
      <c r="N791">
        <v>1638.96215820313</v>
      </c>
      <c r="O791">
        <v>410.74779999999902</v>
      </c>
      <c r="P791">
        <v>1638.95690917969</v>
      </c>
      <c r="Q791">
        <v>410.74652099609301</v>
      </c>
      <c r="R791">
        <v>4</v>
      </c>
      <c r="S791">
        <v>1</v>
      </c>
      <c r="T791">
        <v>12</v>
      </c>
      <c r="U791">
        <v>30.26463</v>
      </c>
      <c r="V791">
        <v>121735.1</v>
      </c>
    </row>
    <row r="792" spans="1:22" x14ac:dyDescent="0.25">
      <c r="A792" t="s">
        <v>3940</v>
      </c>
      <c r="B792" t="s">
        <v>3941</v>
      </c>
      <c r="C792">
        <v>76</v>
      </c>
      <c r="D792">
        <v>99</v>
      </c>
      <c r="E792">
        <v>99</v>
      </c>
      <c r="F792" t="s">
        <v>3943</v>
      </c>
      <c r="G792" t="s">
        <v>3943</v>
      </c>
      <c r="H792">
        <f t="shared" si="15"/>
        <v>14</v>
      </c>
      <c r="M792">
        <v>7.5859999999999999E-3</v>
      </c>
      <c r="N792">
        <v>1638.96459960938</v>
      </c>
      <c r="O792">
        <v>410.7484</v>
      </c>
      <c r="P792">
        <v>1638.95690917969</v>
      </c>
      <c r="Q792">
        <v>410.74652099609301</v>
      </c>
      <c r="R792">
        <v>4</v>
      </c>
      <c r="S792">
        <v>1</v>
      </c>
      <c r="T792">
        <v>11</v>
      </c>
      <c r="U792">
        <v>30.208020000000001</v>
      </c>
      <c r="V792">
        <v>140470.299999999</v>
      </c>
    </row>
    <row r="793" spans="1:22" x14ac:dyDescent="0.25">
      <c r="A793" t="s">
        <v>1134</v>
      </c>
      <c r="B793" t="s">
        <v>1135</v>
      </c>
      <c r="C793">
        <v>24</v>
      </c>
      <c r="D793">
        <v>99</v>
      </c>
      <c r="E793">
        <v>99</v>
      </c>
      <c r="F793" t="s">
        <v>1136</v>
      </c>
      <c r="G793" t="s">
        <v>1136</v>
      </c>
      <c r="H793">
        <f t="shared" si="15"/>
        <v>13</v>
      </c>
      <c r="M793" s="1">
        <v>4.2162202298641101E-3</v>
      </c>
      <c r="N793">
        <v>1753.98815917969</v>
      </c>
      <c r="O793">
        <v>585.66999999999905</v>
      </c>
      <c r="P793">
        <v>1753.98388671875</v>
      </c>
      <c r="Q793">
        <v>585.66857910156205</v>
      </c>
      <c r="R793">
        <v>3</v>
      </c>
      <c r="S793">
        <v>2</v>
      </c>
      <c r="T793">
        <v>14</v>
      </c>
      <c r="U793">
        <v>30.748080000000002</v>
      </c>
      <c r="V793">
        <v>756778.5</v>
      </c>
    </row>
    <row r="794" spans="1:22" x14ac:dyDescent="0.25">
      <c r="A794" t="s">
        <v>3130</v>
      </c>
      <c r="B794" t="s">
        <v>3131</v>
      </c>
      <c r="C794">
        <v>769</v>
      </c>
      <c r="D794">
        <v>98.2</v>
      </c>
      <c r="E794">
        <v>98.15</v>
      </c>
      <c r="F794" t="s">
        <v>3132</v>
      </c>
      <c r="G794" t="s">
        <v>3132</v>
      </c>
      <c r="H794">
        <f t="shared" si="15"/>
        <v>9</v>
      </c>
      <c r="M794" s="1">
        <v>-2.3755698930472101E-3</v>
      </c>
      <c r="N794">
        <v>1753.98156738281</v>
      </c>
      <c r="O794">
        <v>585.66780000000006</v>
      </c>
      <c r="P794">
        <v>1753.98388671875</v>
      </c>
      <c r="Q794">
        <v>585.66857910156205</v>
      </c>
      <c r="R794">
        <v>3</v>
      </c>
      <c r="S794">
        <v>2</v>
      </c>
      <c r="T794">
        <v>14</v>
      </c>
      <c r="U794">
        <v>30.6907999999999</v>
      </c>
      <c r="V794">
        <v>718511.8</v>
      </c>
    </row>
    <row r="795" spans="1:22" x14ac:dyDescent="0.25">
      <c r="A795" t="s">
        <v>3133</v>
      </c>
      <c r="B795" t="s">
        <v>3134</v>
      </c>
      <c r="C795">
        <v>695</v>
      </c>
      <c r="D795">
        <v>99</v>
      </c>
      <c r="E795">
        <v>99</v>
      </c>
      <c r="F795" t="s">
        <v>3135</v>
      </c>
      <c r="G795" t="s">
        <v>3135</v>
      </c>
      <c r="H795">
        <f t="shared" si="15"/>
        <v>9</v>
      </c>
      <c r="M795" s="1">
        <v>1.40981003642082E-3</v>
      </c>
      <c r="N795">
        <v>1636.92749023438</v>
      </c>
      <c r="O795">
        <v>819.471</v>
      </c>
      <c r="P795">
        <v>1636.92602539063</v>
      </c>
      <c r="Q795">
        <v>819.47027587890602</v>
      </c>
      <c r="R795">
        <v>2</v>
      </c>
      <c r="S795">
        <v>2</v>
      </c>
      <c r="T795">
        <v>11</v>
      </c>
      <c r="U795">
        <v>33.1601199999999</v>
      </c>
      <c r="V795">
        <v>158354.299999999</v>
      </c>
    </row>
    <row r="796" spans="1:22" x14ac:dyDescent="0.25">
      <c r="A796" t="s">
        <v>2511</v>
      </c>
      <c r="B796" t="s">
        <v>2512</v>
      </c>
      <c r="C796">
        <v>113</v>
      </c>
      <c r="D796">
        <v>98.4</v>
      </c>
      <c r="E796">
        <v>98.42</v>
      </c>
      <c r="F796" t="s">
        <v>2513</v>
      </c>
      <c r="G796" t="s">
        <v>2513</v>
      </c>
      <c r="H796">
        <f t="shared" si="15"/>
        <v>9</v>
      </c>
      <c r="M796" s="1">
        <v>1.7760200425982399E-3</v>
      </c>
      <c r="N796">
        <v>1636.92785644531</v>
      </c>
      <c r="O796">
        <v>819.47119999999904</v>
      </c>
      <c r="P796">
        <v>1636.92602539063</v>
      </c>
      <c r="Q796">
        <v>819.47027587890602</v>
      </c>
      <c r="R796">
        <v>2</v>
      </c>
      <c r="S796">
        <v>2</v>
      </c>
      <c r="T796">
        <v>11</v>
      </c>
      <c r="U796">
        <v>33.177129999999899</v>
      </c>
      <c r="V796">
        <v>100347</v>
      </c>
    </row>
    <row r="797" spans="1:22" x14ac:dyDescent="0.25">
      <c r="A797" t="s">
        <v>1117</v>
      </c>
      <c r="B797" t="s">
        <v>1118</v>
      </c>
      <c r="C797">
        <v>158</v>
      </c>
      <c r="D797">
        <v>99</v>
      </c>
      <c r="E797">
        <v>99</v>
      </c>
      <c r="F797" t="s">
        <v>1119</v>
      </c>
      <c r="G797" t="s">
        <v>1119</v>
      </c>
      <c r="H797">
        <f t="shared" si="15"/>
        <v>12</v>
      </c>
      <c r="M797" s="1">
        <v>6.0953698121011301E-3</v>
      </c>
      <c r="N797">
        <v>1916.99047851563</v>
      </c>
      <c r="O797">
        <v>959.50250000000005</v>
      </c>
      <c r="P797">
        <v>1916.984375</v>
      </c>
      <c r="Q797">
        <v>959.49945068359295</v>
      </c>
      <c r="R797">
        <v>2</v>
      </c>
      <c r="S797">
        <v>1</v>
      </c>
      <c r="T797">
        <v>14</v>
      </c>
      <c r="U797">
        <v>40.632570000000001</v>
      </c>
      <c r="V797">
        <v>293413</v>
      </c>
    </row>
    <row r="798" spans="1:22" x14ac:dyDescent="0.25">
      <c r="A798" t="s">
        <v>1117</v>
      </c>
      <c r="B798" t="s">
        <v>1118</v>
      </c>
      <c r="C798">
        <v>104</v>
      </c>
      <c r="D798">
        <v>99</v>
      </c>
      <c r="E798">
        <v>99</v>
      </c>
      <c r="F798" t="s">
        <v>1120</v>
      </c>
      <c r="G798" t="s">
        <v>1120</v>
      </c>
      <c r="H798">
        <f t="shared" si="15"/>
        <v>17</v>
      </c>
      <c r="M798" s="1">
        <v>7.3160701431334001E-3</v>
      </c>
      <c r="N798">
        <v>1916.99169921875</v>
      </c>
      <c r="O798">
        <v>959.50310000000002</v>
      </c>
      <c r="P798">
        <v>1916.984375</v>
      </c>
      <c r="Q798">
        <v>959.49945068359295</v>
      </c>
      <c r="R798">
        <v>2</v>
      </c>
      <c r="S798">
        <v>1</v>
      </c>
      <c r="T798">
        <v>13</v>
      </c>
      <c r="U798">
        <v>40.627980000000001</v>
      </c>
      <c r="V798">
        <v>208894.5</v>
      </c>
    </row>
    <row r="799" spans="1:22" x14ac:dyDescent="0.25">
      <c r="A799" t="s">
        <v>4145</v>
      </c>
      <c r="B799" t="s">
        <v>4146</v>
      </c>
      <c r="C799">
        <v>721</v>
      </c>
      <c r="D799">
        <v>99</v>
      </c>
      <c r="E799">
        <v>99</v>
      </c>
      <c r="F799" t="s">
        <v>4147</v>
      </c>
      <c r="G799" t="s">
        <v>4147</v>
      </c>
      <c r="H799">
        <f t="shared" si="15"/>
        <v>9</v>
      </c>
      <c r="M799">
        <v>-5.7000000000000003E-5</v>
      </c>
      <c r="N799">
        <v>1778.01623535156</v>
      </c>
      <c r="O799">
        <v>890.0154</v>
      </c>
      <c r="P799">
        <v>1778.01623535156</v>
      </c>
      <c r="Q799">
        <v>890.015380859375</v>
      </c>
      <c r="R799">
        <v>2</v>
      </c>
      <c r="S799">
        <v>1</v>
      </c>
      <c r="T799">
        <v>14</v>
      </c>
      <c r="U799">
        <v>26.917020000000001</v>
      </c>
      <c r="V799">
        <v>256426.4</v>
      </c>
    </row>
    <row r="800" spans="1:22" x14ac:dyDescent="0.25">
      <c r="A800" t="s">
        <v>2140</v>
      </c>
      <c r="B800" t="s">
        <v>2141</v>
      </c>
      <c r="C800">
        <v>280</v>
      </c>
      <c r="D800">
        <v>98.3</v>
      </c>
      <c r="E800">
        <v>98.25</v>
      </c>
      <c r="F800" t="s">
        <v>2142</v>
      </c>
      <c r="G800" t="s">
        <v>2142</v>
      </c>
      <c r="H800">
        <f t="shared" si="15"/>
        <v>9</v>
      </c>
      <c r="M800" s="1">
        <v>1.51653995271771E-3</v>
      </c>
      <c r="N800">
        <v>1778.01782226563</v>
      </c>
      <c r="O800">
        <v>593.67989999999895</v>
      </c>
      <c r="P800">
        <v>1778.01623535156</v>
      </c>
      <c r="Q800">
        <v>593.67938232421795</v>
      </c>
      <c r="R800">
        <v>3</v>
      </c>
      <c r="S800">
        <v>2</v>
      </c>
      <c r="T800">
        <v>16</v>
      </c>
      <c r="U800">
        <v>27.043019999999899</v>
      </c>
      <c r="V800">
        <v>1270686</v>
      </c>
    </row>
    <row r="801" spans="1:22" x14ac:dyDescent="0.25">
      <c r="A801" t="s">
        <v>2692</v>
      </c>
      <c r="B801" t="s">
        <v>2693</v>
      </c>
      <c r="C801">
        <v>210</v>
      </c>
      <c r="D801">
        <v>99</v>
      </c>
      <c r="E801">
        <v>99</v>
      </c>
      <c r="F801" t="s">
        <v>2694</v>
      </c>
      <c r="G801" t="s">
        <v>2694</v>
      </c>
      <c r="H801">
        <f t="shared" si="15"/>
        <v>9</v>
      </c>
      <c r="M801" s="1">
        <v>-5.851790192537E-4</v>
      </c>
      <c r="N801">
        <v>1893.04260253906</v>
      </c>
      <c r="O801">
        <v>632.02149999999904</v>
      </c>
      <c r="P801">
        <v>1893.04321289063</v>
      </c>
      <c r="Q801">
        <v>632.02166748046795</v>
      </c>
      <c r="R801">
        <v>3</v>
      </c>
      <c r="S801">
        <v>1</v>
      </c>
      <c r="T801">
        <v>19</v>
      </c>
      <c r="U801">
        <v>27.1328</v>
      </c>
      <c r="V801">
        <v>363286.8</v>
      </c>
    </row>
    <row r="802" spans="1:22" x14ac:dyDescent="0.25">
      <c r="A802" t="s">
        <v>1967</v>
      </c>
      <c r="B802" t="s">
        <v>1968</v>
      </c>
      <c r="C802">
        <v>652</v>
      </c>
      <c r="D802">
        <v>99</v>
      </c>
      <c r="E802">
        <v>99</v>
      </c>
      <c r="F802" t="s">
        <v>1969</v>
      </c>
      <c r="G802" t="s">
        <v>1969</v>
      </c>
      <c r="H802">
        <f t="shared" si="15"/>
        <v>17</v>
      </c>
      <c r="M802" s="1">
        <v>5.7108900509774702E-3</v>
      </c>
      <c r="N802">
        <v>2022.09155273438</v>
      </c>
      <c r="O802">
        <v>675.03779999999904</v>
      </c>
      <c r="P802">
        <v>2022.08581542969</v>
      </c>
      <c r="Q802">
        <v>675.035888671875</v>
      </c>
      <c r="R802">
        <v>3</v>
      </c>
      <c r="S802">
        <v>1</v>
      </c>
      <c r="T802">
        <v>19</v>
      </c>
      <c r="U802">
        <v>27.995470000000001</v>
      </c>
      <c r="V802">
        <v>777046.4</v>
      </c>
    </row>
    <row r="803" spans="1:22" x14ac:dyDescent="0.25">
      <c r="A803" t="s">
        <v>1223</v>
      </c>
      <c r="B803" t="s">
        <v>1224</v>
      </c>
      <c r="C803">
        <v>186</v>
      </c>
      <c r="D803">
        <v>99</v>
      </c>
      <c r="E803">
        <v>99</v>
      </c>
      <c r="F803" t="s">
        <v>1225</v>
      </c>
      <c r="G803" t="s">
        <v>1225</v>
      </c>
      <c r="H803">
        <f t="shared" si="15"/>
        <v>20</v>
      </c>
      <c r="M803" s="1">
        <v>3.10225994326174E-3</v>
      </c>
      <c r="N803">
        <v>1884.98706054688</v>
      </c>
      <c r="O803">
        <v>629.33630000000005</v>
      </c>
      <c r="P803">
        <v>1884.98400878906</v>
      </c>
      <c r="Q803">
        <v>629.33526611328102</v>
      </c>
      <c r="R803">
        <v>3</v>
      </c>
      <c r="S803">
        <v>1</v>
      </c>
      <c r="T803">
        <v>16</v>
      </c>
      <c r="U803">
        <v>40.844099999999898</v>
      </c>
      <c r="V803">
        <v>238068</v>
      </c>
    </row>
    <row r="804" spans="1:22" x14ac:dyDescent="0.25">
      <c r="A804" t="s">
        <v>1223</v>
      </c>
      <c r="B804" t="s">
        <v>1224</v>
      </c>
      <c r="C804">
        <v>188</v>
      </c>
      <c r="D804">
        <v>99</v>
      </c>
      <c r="E804">
        <v>99</v>
      </c>
      <c r="F804" t="s">
        <v>1226</v>
      </c>
      <c r="G804" t="s">
        <v>1226</v>
      </c>
      <c r="H804">
        <f t="shared" si="15"/>
        <v>18</v>
      </c>
      <c r="M804" s="1">
        <v>-1.5757599845528499E-2</v>
      </c>
      <c r="N804">
        <v>1884.96826171875</v>
      </c>
      <c r="O804">
        <v>629.33000000000004</v>
      </c>
      <c r="P804">
        <v>1884.98400878906</v>
      </c>
      <c r="Q804">
        <v>629.33526611328102</v>
      </c>
      <c r="R804">
        <v>3</v>
      </c>
      <c r="S804">
        <v>1</v>
      </c>
      <c r="T804">
        <v>15</v>
      </c>
      <c r="U804">
        <v>40.8795199999999</v>
      </c>
      <c r="V804">
        <v>230789.3</v>
      </c>
    </row>
    <row r="805" spans="1:22" x14ac:dyDescent="0.25">
      <c r="A805" t="s">
        <v>1223</v>
      </c>
      <c r="B805" t="s">
        <v>1224</v>
      </c>
      <c r="C805">
        <v>187</v>
      </c>
      <c r="D805">
        <v>99</v>
      </c>
      <c r="E805">
        <v>99</v>
      </c>
      <c r="F805" t="s">
        <v>1227</v>
      </c>
      <c r="G805" t="s">
        <v>1227</v>
      </c>
      <c r="H805">
        <f t="shared" si="15"/>
        <v>19</v>
      </c>
      <c r="M805" s="1">
        <v>2.2509798873215901E-3</v>
      </c>
      <c r="N805">
        <v>1073.63684082031</v>
      </c>
      <c r="O805">
        <v>537.82569999999896</v>
      </c>
      <c r="P805">
        <v>1073.63452148438</v>
      </c>
      <c r="Q805">
        <v>537.82458496093705</v>
      </c>
      <c r="R805">
        <v>2</v>
      </c>
      <c r="S805">
        <v>2</v>
      </c>
      <c r="T805">
        <v>11</v>
      </c>
      <c r="U805">
        <v>34.35172</v>
      </c>
      <c r="V805">
        <v>876277.7</v>
      </c>
    </row>
    <row r="806" spans="1:22" x14ac:dyDescent="0.25">
      <c r="A806" t="s">
        <v>432</v>
      </c>
      <c r="B806" t="s">
        <v>433</v>
      </c>
      <c r="C806">
        <v>313</v>
      </c>
      <c r="D806">
        <v>99</v>
      </c>
      <c r="E806">
        <v>99</v>
      </c>
      <c r="F806" t="s">
        <v>1350</v>
      </c>
      <c r="G806" t="s">
        <v>1350</v>
      </c>
      <c r="H806">
        <f t="shared" si="15"/>
        <v>16</v>
      </c>
      <c r="M806" s="1">
        <v>1.2744199484586701E-3</v>
      </c>
      <c r="N806">
        <v>1073.63586425781</v>
      </c>
      <c r="O806">
        <v>537.8252</v>
      </c>
      <c r="P806">
        <v>1073.63452148438</v>
      </c>
      <c r="Q806">
        <v>537.82458496093705</v>
      </c>
      <c r="R806">
        <v>2</v>
      </c>
      <c r="S806">
        <v>1</v>
      </c>
      <c r="T806">
        <v>11</v>
      </c>
      <c r="U806">
        <v>34.343319999999899</v>
      </c>
      <c r="V806">
        <v>1125649</v>
      </c>
    </row>
    <row r="807" spans="1:22" x14ac:dyDescent="0.25">
      <c r="A807" t="s">
        <v>432</v>
      </c>
      <c r="B807" t="s">
        <v>433</v>
      </c>
      <c r="C807">
        <v>313</v>
      </c>
      <c r="D807">
        <v>96.7</v>
      </c>
      <c r="E807">
        <v>96.65</v>
      </c>
      <c r="F807" t="s">
        <v>1350</v>
      </c>
      <c r="G807" t="s">
        <v>1350</v>
      </c>
      <c r="H807">
        <f t="shared" si="15"/>
        <v>16</v>
      </c>
      <c r="L807" t="s">
        <v>1351</v>
      </c>
      <c r="M807" s="1">
        <v>-4.05839011073112E-2</v>
      </c>
      <c r="N807">
        <v>1522.70104980469</v>
      </c>
      <c r="O807">
        <v>762.3578</v>
      </c>
      <c r="P807">
        <v>1522.74157714844</v>
      </c>
      <c r="Q807">
        <v>762.37805175781205</v>
      </c>
      <c r="R807">
        <v>2</v>
      </c>
      <c r="S807">
        <v>1</v>
      </c>
      <c r="T807">
        <v>7</v>
      </c>
      <c r="U807">
        <v>48.759300000000003</v>
      </c>
      <c r="V807">
        <v>75264.289999999906</v>
      </c>
    </row>
    <row r="808" spans="1:22" x14ac:dyDescent="0.25">
      <c r="A808" t="s">
        <v>432</v>
      </c>
      <c r="B808" t="s">
        <v>433</v>
      </c>
      <c r="C808">
        <v>313</v>
      </c>
      <c r="D808">
        <v>99</v>
      </c>
      <c r="E808">
        <v>99</v>
      </c>
      <c r="F808" t="s">
        <v>1350</v>
      </c>
      <c r="G808" t="s">
        <v>1350</v>
      </c>
      <c r="H808">
        <f t="shared" si="15"/>
        <v>16</v>
      </c>
      <c r="L808" t="s">
        <v>1352</v>
      </c>
      <c r="M808" s="1">
        <v>3.39855998754501E-3</v>
      </c>
      <c r="N808">
        <v>1206.55981445313</v>
      </c>
      <c r="O808">
        <v>604.28719999999896</v>
      </c>
      <c r="P808">
        <v>1206.55639648438</v>
      </c>
      <c r="Q808">
        <v>604.28546142578102</v>
      </c>
      <c r="R808">
        <v>2</v>
      </c>
      <c r="S808">
        <v>8</v>
      </c>
      <c r="T808">
        <v>12</v>
      </c>
      <c r="U808">
        <v>24.898319999999899</v>
      </c>
      <c r="V808">
        <v>3397428</v>
      </c>
    </row>
    <row r="809" spans="1:22" x14ac:dyDescent="0.25">
      <c r="A809" t="s">
        <v>1353</v>
      </c>
      <c r="B809" t="s">
        <v>1354</v>
      </c>
      <c r="C809">
        <v>387</v>
      </c>
      <c r="D809">
        <v>99</v>
      </c>
      <c r="E809">
        <v>99</v>
      </c>
      <c r="F809" t="s">
        <v>477</v>
      </c>
      <c r="G809" t="s">
        <v>477</v>
      </c>
      <c r="H809">
        <f t="shared" si="15"/>
        <v>14</v>
      </c>
      <c r="M809" s="1">
        <v>9.4968099147081306E-3</v>
      </c>
      <c r="N809">
        <v>1495.75146484375</v>
      </c>
      <c r="O809">
        <v>748.88300000000004</v>
      </c>
      <c r="P809">
        <v>1495.74194335938</v>
      </c>
      <c r="Q809">
        <v>748.87823486328102</v>
      </c>
      <c r="R809">
        <v>2</v>
      </c>
      <c r="S809">
        <v>2</v>
      </c>
      <c r="T809">
        <v>14</v>
      </c>
      <c r="U809">
        <v>38.615070000000003</v>
      </c>
      <c r="V809">
        <v>208953.4</v>
      </c>
    </row>
    <row r="810" spans="1:22" x14ac:dyDescent="0.25">
      <c r="A810" t="s">
        <v>1390</v>
      </c>
      <c r="B810" t="s">
        <v>1391</v>
      </c>
      <c r="C810">
        <v>5</v>
      </c>
      <c r="D810">
        <v>98.5</v>
      </c>
      <c r="E810">
        <v>98.54</v>
      </c>
      <c r="F810" t="s">
        <v>1392</v>
      </c>
      <c r="G810" t="s">
        <v>1392</v>
      </c>
      <c r="H810">
        <f t="shared" si="15"/>
        <v>11</v>
      </c>
      <c r="M810" s="1">
        <v>1.14499004557728E-2</v>
      </c>
      <c r="N810">
        <v>1495.75341796875</v>
      </c>
      <c r="O810">
        <v>748.88400000000001</v>
      </c>
      <c r="P810">
        <v>1495.74194335938</v>
      </c>
      <c r="Q810">
        <v>748.87823486328102</v>
      </c>
      <c r="R810">
        <v>2</v>
      </c>
      <c r="S810">
        <v>1</v>
      </c>
      <c r="T810">
        <v>12</v>
      </c>
      <c r="U810">
        <v>38.555630000000001</v>
      </c>
      <c r="V810">
        <v>217650.3</v>
      </c>
    </row>
    <row r="811" spans="1:22" x14ac:dyDescent="0.25">
      <c r="A811" t="s">
        <v>3605</v>
      </c>
      <c r="B811" t="s">
        <v>3606</v>
      </c>
      <c r="C811">
        <v>519</v>
      </c>
      <c r="D811">
        <v>98.8</v>
      </c>
      <c r="E811">
        <v>98.81</v>
      </c>
      <c r="F811" t="s">
        <v>3607</v>
      </c>
      <c r="G811" t="s">
        <v>3607</v>
      </c>
      <c r="H811">
        <f t="shared" si="15"/>
        <v>9</v>
      </c>
      <c r="M811">
        <v>1.6590000000000001E-3</v>
      </c>
      <c r="N811">
        <v>1024.60461425781</v>
      </c>
      <c r="O811">
        <v>513.30960000000005</v>
      </c>
      <c r="P811">
        <v>1024.60290527344</v>
      </c>
      <c r="Q811">
        <v>513.30871582031205</v>
      </c>
      <c r="R811">
        <v>2</v>
      </c>
      <c r="S811">
        <v>2</v>
      </c>
      <c r="T811">
        <v>14</v>
      </c>
      <c r="U811">
        <v>24.7840799999999</v>
      </c>
      <c r="V811">
        <v>1553231</v>
      </c>
    </row>
    <row r="812" spans="1:22" x14ac:dyDescent="0.25">
      <c r="A812" t="s">
        <v>2979</v>
      </c>
      <c r="B812" t="s">
        <v>2980</v>
      </c>
      <c r="C812">
        <v>409</v>
      </c>
      <c r="D812">
        <v>99</v>
      </c>
      <c r="E812">
        <v>99</v>
      </c>
      <c r="F812" t="s">
        <v>2981</v>
      </c>
      <c r="G812" t="s">
        <v>2981</v>
      </c>
      <c r="H812">
        <f t="shared" si="15"/>
        <v>9</v>
      </c>
      <c r="M812" s="1">
        <v>2.2692501079291101E-3</v>
      </c>
      <c r="N812">
        <v>1024.60522460938</v>
      </c>
      <c r="O812">
        <v>513.30989999999895</v>
      </c>
      <c r="P812">
        <v>1024.60290527344</v>
      </c>
      <c r="Q812">
        <v>513.30871582031205</v>
      </c>
      <c r="R812">
        <v>2</v>
      </c>
      <c r="S812">
        <v>1</v>
      </c>
      <c r="T812">
        <v>13</v>
      </c>
      <c r="U812">
        <v>24.821079999999899</v>
      </c>
      <c r="V812">
        <v>817751.4</v>
      </c>
    </row>
    <row r="813" spans="1:22" x14ac:dyDescent="0.25">
      <c r="A813" t="s">
        <v>1569</v>
      </c>
      <c r="B813" t="s">
        <v>1570</v>
      </c>
      <c r="C813">
        <v>362</v>
      </c>
      <c r="D813">
        <v>98.1</v>
      </c>
      <c r="E813">
        <v>98.1</v>
      </c>
      <c r="F813" t="s">
        <v>1571</v>
      </c>
      <c r="G813" t="s">
        <v>1571</v>
      </c>
      <c r="H813">
        <f t="shared" si="15"/>
        <v>26</v>
      </c>
      <c r="L813" t="s">
        <v>1468</v>
      </c>
      <c r="M813" s="1">
        <v>2.38217995502054E-3</v>
      </c>
      <c r="N813">
        <v>985.52166748046795</v>
      </c>
      <c r="O813">
        <v>493.7681</v>
      </c>
      <c r="P813">
        <v>985.519287109375</v>
      </c>
      <c r="Q813">
        <v>493.76690673828102</v>
      </c>
      <c r="R813">
        <v>2</v>
      </c>
      <c r="S813">
        <v>2</v>
      </c>
      <c r="T813">
        <v>14</v>
      </c>
      <c r="U813">
        <v>40.64978</v>
      </c>
      <c r="V813">
        <v>856216.1</v>
      </c>
    </row>
    <row r="814" spans="1:22" x14ac:dyDescent="0.25">
      <c r="A814" t="s">
        <v>489</v>
      </c>
      <c r="B814" t="s">
        <v>490</v>
      </c>
      <c r="C814">
        <v>92</v>
      </c>
      <c r="D814">
        <v>99</v>
      </c>
      <c r="E814">
        <v>99</v>
      </c>
      <c r="F814" t="s">
        <v>491</v>
      </c>
      <c r="G814" t="s">
        <v>491</v>
      </c>
      <c r="H814">
        <f t="shared" si="15"/>
        <v>16</v>
      </c>
      <c r="M814" s="1">
        <v>1.5961199533194199E-3</v>
      </c>
      <c r="N814">
        <v>1053.64233398438</v>
      </c>
      <c r="O814">
        <v>527.82839999999896</v>
      </c>
      <c r="P814">
        <v>1053.64074707031</v>
      </c>
      <c r="Q814">
        <v>527.82763671875</v>
      </c>
      <c r="R814">
        <v>2</v>
      </c>
      <c r="S814">
        <v>3</v>
      </c>
      <c r="T814">
        <v>12</v>
      </c>
      <c r="U814">
        <v>26.520520000000001</v>
      </c>
      <c r="V814">
        <v>55512000</v>
      </c>
    </row>
    <row r="815" spans="1:22" x14ac:dyDescent="0.25">
      <c r="A815" t="s">
        <v>1430</v>
      </c>
      <c r="B815" t="s">
        <v>1431</v>
      </c>
      <c r="C815">
        <v>263</v>
      </c>
      <c r="D815">
        <v>99</v>
      </c>
      <c r="E815">
        <v>99</v>
      </c>
      <c r="F815" t="s">
        <v>1432</v>
      </c>
      <c r="G815" t="s">
        <v>1432</v>
      </c>
      <c r="H815">
        <f t="shared" si="15"/>
        <v>9</v>
      </c>
      <c r="M815" s="1">
        <v>4.8132301308214604E-3</v>
      </c>
      <c r="N815">
        <v>1174.62170410156</v>
      </c>
      <c r="O815">
        <v>588.31809999999905</v>
      </c>
      <c r="P815">
        <v>1174.61682128906</v>
      </c>
      <c r="Q815">
        <v>588.31573486328102</v>
      </c>
      <c r="R815">
        <v>2</v>
      </c>
      <c r="S815">
        <v>2</v>
      </c>
      <c r="T815">
        <v>11</v>
      </c>
      <c r="U815">
        <v>30.17287</v>
      </c>
      <c r="V815">
        <v>212384.6</v>
      </c>
    </row>
    <row r="816" spans="1:22" x14ac:dyDescent="0.25">
      <c r="A816" t="s">
        <v>766</v>
      </c>
      <c r="B816" t="s">
        <v>767</v>
      </c>
      <c r="C816">
        <v>602</v>
      </c>
      <c r="D816">
        <v>99</v>
      </c>
      <c r="E816">
        <v>99</v>
      </c>
      <c r="F816" t="s">
        <v>768</v>
      </c>
      <c r="G816" t="s">
        <v>768</v>
      </c>
      <c r="H816">
        <f t="shared" si="15"/>
        <v>20</v>
      </c>
      <c r="M816" s="1">
        <v>1.6394100384786599E-3</v>
      </c>
      <c r="N816">
        <v>1174.61853027344</v>
      </c>
      <c r="O816">
        <v>588.31650000000002</v>
      </c>
      <c r="P816">
        <v>1174.61682128906</v>
      </c>
      <c r="Q816">
        <v>588.31573486328102</v>
      </c>
      <c r="R816">
        <v>2</v>
      </c>
      <c r="S816">
        <v>2</v>
      </c>
      <c r="T816">
        <v>11</v>
      </c>
      <c r="U816">
        <v>30.233280000000001</v>
      </c>
      <c r="V816">
        <v>237739.4</v>
      </c>
    </row>
    <row r="817" spans="1:22" x14ac:dyDescent="0.25">
      <c r="A817" t="s">
        <v>766</v>
      </c>
      <c r="B817" t="s">
        <v>767</v>
      </c>
      <c r="C817">
        <v>605</v>
      </c>
      <c r="D817">
        <v>97.4</v>
      </c>
      <c r="E817">
        <v>97.44</v>
      </c>
      <c r="F817" t="s">
        <v>769</v>
      </c>
      <c r="G817" t="s">
        <v>769</v>
      </c>
      <c r="H817">
        <f t="shared" si="15"/>
        <v>17</v>
      </c>
      <c r="L817" t="s">
        <v>43</v>
      </c>
      <c r="M817">
        <v>1.3296000000000001E-2</v>
      </c>
      <c r="N817">
        <v>1127.64721679688</v>
      </c>
      <c r="O817">
        <v>564.83090000000004</v>
      </c>
      <c r="P817">
        <v>1127.63391113281</v>
      </c>
      <c r="Q817">
        <v>564.82421875</v>
      </c>
      <c r="R817">
        <v>2</v>
      </c>
      <c r="S817">
        <v>7</v>
      </c>
      <c r="T817">
        <v>13</v>
      </c>
      <c r="U817">
        <v>23.2653</v>
      </c>
      <c r="V817">
        <v>790530.1</v>
      </c>
    </row>
    <row r="818" spans="1:22" x14ac:dyDescent="0.25">
      <c r="A818" t="s">
        <v>496</v>
      </c>
      <c r="B818" t="s">
        <v>497</v>
      </c>
      <c r="C818">
        <v>352</v>
      </c>
      <c r="D818">
        <v>99</v>
      </c>
      <c r="E818">
        <v>99</v>
      </c>
      <c r="F818" t="s">
        <v>1436</v>
      </c>
      <c r="G818" t="s">
        <v>1436</v>
      </c>
      <c r="H818">
        <f t="shared" si="15"/>
        <v>15</v>
      </c>
      <c r="M818" s="1">
        <v>1.3136400375515201E-3</v>
      </c>
      <c r="N818">
        <v>1005.57330322266</v>
      </c>
      <c r="O818">
        <v>503.79390000000001</v>
      </c>
      <c r="P818">
        <v>1005.57196044922</v>
      </c>
      <c r="Q818">
        <v>503.79324340820301</v>
      </c>
      <c r="R818">
        <v>2</v>
      </c>
      <c r="S818">
        <v>2</v>
      </c>
      <c r="T818">
        <v>13</v>
      </c>
      <c r="U818">
        <v>23.659330000000001</v>
      </c>
      <c r="V818">
        <v>2422542</v>
      </c>
    </row>
    <row r="819" spans="1:22" x14ac:dyDescent="0.25">
      <c r="A819" t="s">
        <v>1909</v>
      </c>
      <c r="B819" t="s">
        <v>1910</v>
      </c>
      <c r="C819">
        <v>36</v>
      </c>
      <c r="D819">
        <v>99</v>
      </c>
      <c r="E819">
        <v>99</v>
      </c>
      <c r="F819" t="s">
        <v>1911</v>
      </c>
      <c r="G819" t="s">
        <v>1911</v>
      </c>
      <c r="H819">
        <f t="shared" si="15"/>
        <v>11</v>
      </c>
      <c r="M819" s="1">
        <v>3.5394800361245901E-3</v>
      </c>
      <c r="N819">
        <v>1066.66870117188</v>
      </c>
      <c r="O819">
        <v>534.34159999999895</v>
      </c>
      <c r="P819">
        <v>1066.66516113281</v>
      </c>
      <c r="Q819">
        <v>534.33984375</v>
      </c>
      <c r="R819">
        <v>2</v>
      </c>
      <c r="S819">
        <v>1</v>
      </c>
      <c r="T819">
        <v>11</v>
      </c>
      <c r="U819">
        <v>40.914900000000003</v>
      </c>
      <c r="V819">
        <v>18803120</v>
      </c>
    </row>
    <row r="820" spans="1:22" x14ac:dyDescent="0.25">
      <c r="A820" t="s">
        <v>2326</v>
      </c>
      <c r="B820" t="s">
        <v>2327</v>
      </c>
      <c r="C820">
        <v>418</v>
      </c>
      <c r="D820">
        <v>99</v>
      </c>
      <c r="E820">
        <v>99</v>
      </c>
      <c r="F820" t="s">
        <v>2328</v>
      </c>
      <c r="G820" t="s">
        <v>2328</v>
      </c>
      <c r="H820">
        <f t="shared" si="15"/>
        <v>13</v>
      </c>
      <c r="L820" t="s">
        <v>48</v>
      </c>
      <c r="M820">
        <v>-1.4567E-2</v>
      </c>
      <c r="N820">
        <v>1876.91674804688</v>
      </c>
      <c r="O820">
        <v>626.64620000000002</v>
      </c>
      <c r="P820">
        <v>1876.93127441406</v>
      </c>
      <c r="Q820">
        <v>626.65106201171795</v>
      </c>
      <c r="R820">
        <v>3</v>
      </c>
      <c r="S820">
        <v>1</v>
      </c>
      <c r="T820">
        <v>11</v>
      </c>
      <c r="U820">
        <v>39.297989999999899</v>
      </c>
      <c r="V820">
        <v>238341</v>
      </c>
    </row>
    <row r="821" spans="1:22" x14ac:dyDescent="0.25">
      <c r="A821" t="s">
        <v>2408</v>
      </c>
      <c r="B821" t="s">
        <v>2409</v>
      </c>
      <c r="C821">
        <v>79</v>
      </c>
      <c r="D821">
        <v>97.4</v>
      </c>
      <c r="E821">
        <v>97.4</v>
      </c>
      <c r="F821" t="s">
        <v>2410</v>
      </c>
      <c r="G821" t="s">
        <v>2410</v>
      </c>
      <c r="H821">
        <f t="shared" si="15"/>
        <v>10</v>
      </c>
      <c r="M821" s="1">
        <v>2.5629200972616599E-3</v>
      </c>
      <c r="N821">
        <v>1066.66772460938</v>
      </c>
      <c r="O821">
        <v>534.34109999999896</v>
      </c>
      <c r="P821">
        <v>1066.66516113281</v>
      </c>
      <c r="Q821">
        <v>534.33984375</v>
      </c>
      <c r="R821">
        <v>2</v>
      </c>
      <c r="S821">
        <v>1</v>
      </c>
      <c r="T821">
        <v>11</v>
      </c>
      <c r="U821">
        <v>41.0205699999999</v>
      </c>
      <c r="V821">
        <v>9416457</v>
      </c>
    </row>
    <row r="822" spans="1:22" x14ac:dyDescent="0.25">
      <c r="A822" t="s">
        <v>2224</v>
      </c>
      <c r="B822" t="s">
        <v>2225</v>
      </c>
      <c r="C822">
        <v>2</v>
      </c>
      <c r="D822">
        <v>99</v>
      </c>
      <c r="E822">
        <v>99</v>
      </c>
      <c r="F822" t="s">
        <v>2226</v>
      </c>
      <c r="G822" t="s">
        <v>2226</v>
      </c>
      <c r="H822">
        <f t="shared" si="15"/>
        <v>16</v>
      </c>
      <c r="L822" t="s">
        <v>227</v>
      </c>
      <c r="M822" s="1">
        <v>4.5602698810398501E-3</v>
      </c>
      <c r="N822">
        <v>1065.50244140625</v>
      </c>
      <c r="O822">
        <v>533.75850000000003</v>
      </c>
      <c r="P822">
        <v>1065.49780273438</v>
      </c>
      <c r="Q822">
        <v>533.75622558593705</v>
      </c>
      <c r="R822">
        <v>2</v>
      </c>
      <c r="S822">
        <v>2</v>
      </c>
      <c r="T822">
        <v>13</v>
      </c>
      <c r="U822">
        <v>41.640120000000003</v>
      </c>
      <c r="V822">
        <v>1041860</v>
      </c>
    </row>
    <row r="823" spans="1:22" x14ac:dyDescent="0.25">
      <c r="A823" t="s">
        <v>2585</v>
      </c>
      <c r="B823" t="s">
        <v>2586</v>
      </c>
      <c r="C823">
        <v>441</v>
      </c>
      <c r="D823">
        <v>98.3</v>
      </c>
      <c r="E823">
        <v>98.32</v>
      </c>
      <c r="F823" t="s">
        <v>2587</v>
      </c>
      <c r="G823" t="s">
        <v>2587</v>
      </c>
      <c r="H823">
        <f t="shared" si="15"/>
        <v>9</v>
      </c>
      <c r="M823">
        <v>1.9819999999999998E-3</v>
      </c>
      <c r="N823">
        <v>1455.70141601563</v>
      </c>
      <c r="O823">
        <v>728.85799999999904</v>
      </c>
      <c r="P823">
        <v>1455.69946289063</v>
      </c>
      <c r="Q823">
        <v>728.85699462890602</v>
      </c>
      <c r="R823">
        <v>2</v>
      </c>
      <c r="S823">
        <v>2</v>
      </c>
      <c r="T823">
        <v>13</v>
      </c>
      <c r="U823">
        <v>40.929250000000003</v>
      </c>
      <c r="V823">
        <v>499281</v>
      </c>
    </row>
    <row r="824" spans="1:22" x14ac:dyDescent="0.25">
      <c r="A824" t="s">
        <v>4006</v>
      </c>
      <c r="B824" t="s">
        <v>4007</v>
      </c>
      <c r="C824">
        <v>137</v>
      </c>
      <c r="D824">
        <v>98.4</v>
      </c>
      <c r="E824">
        <v>98.41</v>
      </c>
      <c r="F824" t="s">
        <v>46</v>
      </c>
      <c r="G824" t="s">
        <v>46</v>
      </c>
      <c r="H824">
        <f t="shared" si="15"/>
        <v>9</v>
      </c>
      <c r="M824" s="1">
        <v>8.3917297888547204E-4</v>
      </c>
      <c r="N824">
        <v>991.60748291015602</v>
      </c>
      <c r="O824">
        <v>496.81099999999901</v>
      </c>
      <c r="P824">
        <v>991.60662841796795</v>
      </c>
      <c r="Q824">
        <v>496.81057739257801</v>
      </c>
      <c r="R824">
        <v>2</v>
      </c>
      <c r="S824">
        <v>1</v>
      </c>
      <c r="T824">
        <v>13</v>
      </c>
      <c r="U824">
        <v>29.389420000000001</v>
      </c>
      <c r="V824">
        <v>589404.1</v>
      </c>
    </row>
    <row r="825" spans="1:22" x14ac:dyDescent="0.25">
      <c r="A825" t="s">
        <v>4006</v>
      </c>
      <c r="B825" t="s">
        <v>4007</v>
      </c>
      <c r="C825">
        <v>137</v>
      </c>
      <c r="D825">
        <v>98.8</v>
      </c>
      <c r="E825">
        <v>98.76</v>
      </c>
      <c r="F825" t="s">
        <v>46</v>
      </c>
      <c r="G825" t="s">
        <v>46</v>
      </c>
      <c r="H825">
        <f t="shared" si="15"/>
        <v>9</v>
      </c>
      <c r="L825" t="s">
        <v>284</v>
      </c>
      <c r="M825" s="1">
        <v>-1.59219000488519E-3</v>
      </c>
      <c r="N825">
        <v>1134.5224609375</v>
      </c>
      <c r="O825">
        <v>568.26850000000002</v>
      </c>
      <c r="P825">
        <v>1134.52404785156</v>
      </c>
      <c r="Q825">
        <v>568.269287109375</v>
      </c>
      <c r="R825">
        <v>2</v>
      </c>
      <c r="S825">
        <v>1</v>
      </c>
      <c r="T825">
        <v>11</v>
      </c>
      <c r="U825">
        <v>20.771249999999899</v>
      </c>
      <c r="V825">
        <v>320018.5</v>
      </c>
    </row>
    <row r="826" spans="1:22" x14ac:dyDescent="0.25">
      <c r="A826" t="s">
        <v>4006</v>
      </c>
      <c r="B826" t="s">
        <v>4007</v>
      </c>
      <c r="C826">
        <v>137</v>
      </c>
      <c r="D826">
        <v>99</v>
      </c>
      <c r="E826">
        <v>99</v>
      </c>
      <c r="F826" t="s">
        <v>46</v>
      </c>
      <c r="G826" t="s">
        <v>46</v>
      </c>
      <c r="H826">
        <f t="shared" si="15"/>
        <v>9</v>
      </c>
      <c r="L826" t="s">
        <v>47</v>
      </c>
      <c r="M826" s="1">
        <v>-1.07378996908665E-2</v>
      </c>
      <c r="N826">
        <v>1824.76550292969</v>
      </c>
      <c r="O826">
        <v>913.39</v>
      </c>
      <c r="P826">
        <v>1824.77624511719</v>
      </c>
      <c r="Q826">
        <v>913.39538574218705</v>
      </c>
      <c r="R826">
        <v>2</v>
      </c>
      <c r="S826">
        <v>1</v>
      </c>
      <c r="T826">
        <v>10</v>
      </c>
      <c r="U826">
        <v>31.04862</v>
      </c>
      <c r="V826">
        <v>374721.4</v>
      </c>
    </row>
    <row r="827" spans="1:22" x14ac:dyDescent="0.25">
      <c r="A827" t="s">
        <v>3043</v>
      </c>
      <c r="B827" t="s">
        <v>3044</v>
      </c>
      <c r="C827">
        <v>694</v>
      </c>
      <c r="D827">
        <v>99</v>
      </c>
      <c r="E827">
        <v>98.98</v>
      </c>
      <c r="F827" t="s">
        <v>64</v>
      </c>
      <c r="G827" t="s">
        <v>64</v>
      </c>
      <c r="H827">
        <f t="shared" si="15"/>
        <v>9</v>
      </c>
      <c r="M827">
        <v>3.5049999999999999E-3</v>
      </c>
      <c r="N827">
        <v>1117.65307617188</v>
      </c>
      <c r="O827">
        <v>559.8338</v>
      </c>
      <c r="P827">
        <v>1117.64953613281</v>
      </c>
      <c r="Q827">
        <v>559.83203125</v>
      </c>
      <c r="R827">
        <v>2</v>
      </c>
      <c r="S827">
        <v>1</v>
      </c>
      <c r="T827">
        <v>11</v>
      </c>
      <c r="U827">
        <v>44.311</v>
      </c>
      <c r="V827">
        <v>445470.3</v>
      </c>
    </row>
    <row r="828" spans="1:22" x14ac:dyDescent="0.25">
      <c r="A828" t="s">
        <v>405</v>
      </c>
      <c r="B828" t="s">
        <v>406</v>
      </c>
      <c r="C828">
        <v>291</v>
      </c>
      <c r="D828">
        <v>99</v>
      </c>
      <c r="E828">
        <v>99</v>
      </c>
      <c r="F828" t="s">
        <v>1753</v>
      </c>
      <c r="G828" t="s">
        <v>1753</v>
      </c>
      <c r="H828">
        <f t="shared" si="15"/>
        <v>16</v>
      </c>
      <c r="M828" s="1">
        <v>7.6553700491786003E-3</v>
      </c>
      <c r="N828">
        <v>1117.6572265625</v>
      </c>
      <c r="O828">
        <v>559.83590000000004</v>
      </c>
      <c r="P828">
        <v>1117.64953613281</v>
      </c>
      <c r="Q828">
        <v>559.83203125</v>
      </c>
      <c r="R828">
        <v>2</v>
      </c>
      <c r="S828">
        <v>1</v>
      </c>
      <c r="T828">
        <v>11</v>
      </c>
      <c r="U828">
        <v>44.265749999999898</v>
      </c>
      <c r="V828">
        <v>455412.2</v>
      </c>
    </row>
    <row r="829" spans="1:22" x14ac:dyDescent="0.25">
      <c r="A829" t="s">
        <v>405</v>
      </c>
      <c r="B829" t="s">
        <v>406</v>
      </c>
      <c r="C829">
        <v>312</v>
      </c>
      <c r="D829">
        <v>99</v>
      </c>
      <c r="E829">
        <v>99</v>
      </c>
      <c r="F829" t="s">
        <v>1754</v>
      </c>
      <c r="G829" t="s">
        <v>1754</v>
      </c>
      <c r="H829">
        <f t="shared" si="15"/>
        <v>16</v>
      </c>
      <c r="M829" s="1">
        <v>1.4787500258534999E-3</v>
      </c>
      <c r="N829">
        <v>1066.57861328125</v>
      </c>
      <c r="O829">
        <v>534.29660000000001</v>
      </c>
      <c r="P829">
        <v>1066.5771484375</v>
      </c>
      <c r="Q829">
        <v>534.29583740234295</v>
      </c>
      <c r="R829">
        <v>2</v>
      </c>
      <c r="S829">
        <v>1</v>
      </c>
      <c r="T829">
        <v>13</v>
      </c>
      <c r="U829">
        <v>26.42398</v>
      </c>
      <c r="V829">
        <v>20079040</v>
      </c>
    </row>
    <row r="830" spans="1:22" x14ac:dyDescent="0.25">
      <c r="A830" t="s">
        <v>405</v>
      </c>
      <c r="B830" t="s">
        <v>406</v>
      </c>
      <c r="C830">
        <v>325</v>
      </c>
      <c r="D830">
        <v>96.8</v>
      </c>
      <c r="E830">
        <v>96.82</v>
      </c>
      <c r="F830" t="s">
        <v>1755</v>
      </c>
      <c r="G830" t="s">
        <v>1755</v>
      </c>
      <c r="H830">
        <f t="shared" si="15"/>
        <v>14</v>
      </c>
      <c r="M830" s="1">
        <v>-1.08164000266697E-4</v>
      </c>
      <c r="N830">
        <v>1066.57702636719</v>
      </c>
      <c r="O830">
        <v>534.29579999999896</v>
      </c>
      <c r="P830">
        <v>1066.5771484375</v>
      </c>
      <c r="Q830">
        <v>534.29583740234295</v>
      </c>
      <c r="R830">
        <v>2</v>
      </c>
      <c r="S830">
        <v>1</v>
      </c>
      <c r="T830">
        <v>11</v>
      </c>
      <c r="U830">
        <v>26.445820000000001</v>
      </c>
      <c r="V830">
        <v>1126449</v>
      </c>
    </row>
    <row r="831" spans="1:22" x14ac:dyDescent="0.25">
      <c r="A831" t="s">
        <v>405</v>
      </c>
      <c r="B831" t="s">
        <v>406</v>
      </c>
      <c r="C831">
        <v>313</v>
      </c>
      <c r="D831">
        <v>99</v>
      </c>
      <c r="E831">
        <v>98.98</v>
      </c>
      <c r="F831" t="s">
        <v>1756</v>
      </c>
      <c r="G831" t="s">
        <v>1756</v>
      </c>
      <c r="H831">
        <f t="shared" si="15"/>
        <v>12</v>
      </c>
      <c r="M831" s="1">
        <v>7.7907100785523599E-4</v>
      </c>
      <c r="N831">
        <v>1192.6572265625</v>
      </c>
      <c r="O831">
        <v>597.33590000000004</v>
      </c>
      <c r="P831">
        <v>1192.65637207031</v>
      </c>
      <c r="Q831">
        <v>597.33551025390602</v>
      </c>
      <c r="R831">
        <v>2</v>
      </c>
      <c r="S831">
        <v>4</v>
      </c>
      <c r="T831">
        <v>11</v>
      </c>
      <c r="U831">
        <v>29.024249999999899</v>
      </c>
      <c r="V831">
        <v>1056421</v>
      </c>
    </row>
    <row r="832" spans="1:22" x14ac:dyDescent="0.25">
      <c r="A832" t="s">
        <v>1529</v>
      </c>
      <c r="B832" t="s">
        <v>1530</v>
      </c>
      <c r="C832">
        <v>148</v>
      </c>
      <c r="D832">
        <v>97.2</v>
      </c>
      <c r="E832">
        <v>97.18</v>
      </c>
      <c r="F832" t="s">
        <v>1531</v>
      </c>
      <c r="G832" t="s">
        <v>1531</v>
      </c>
      <c r="H832">
        <f t="shared" si="15"/>
        <v>9</v>
      </c>
      <c r="M832">
        <v>4.6999999999999997E-5</v>
      </c>
      <c r="N832">
        <v>1192.65649414063</v>
      </c>
      <c r="O832">
        <v>597.33550000000002</v>
      </c>
      <c r="P832">
        <v>1192.65637207031</v>
      </c>
      <c r="Q832">
        <v>597.33551025390602</v>
      </c>
      <c r="R832">
        <v>2</v>
      </c>
      <c r="S832">
        <v>3</v>
      </c>
      <c r="T832">
        <v>12</v>
      </c>
      <c r="U832">
        <v>29.003229999999899</v>
      </c>
      <c r="V832">
        <v>1665460</v>
      </c>
    </row>
    <row r="833" spans="1:22" x14ac:dyDescent="0.25">
      <c r="A833" t="s">
        <v>235</v>
      </c>
      <c r="B833" t="s">
        <v>236</v>
      </c>
      <c r="C833">
        <v>793</v>
      </c>
      <c r="D833">
        <v>97.8</v>
      </c>
      <c r="E833">
        <v>97.78</v>
      </c>
      <c r="F833" t="s">
        <v>518</v>
      </c>
      <c r="G833" t="s">
        <v>518</v>
      </c>
      <c r="H833">
        <f t="shared" si="15"/>
        <v>9</v>
      </c>
      <c r="M833" s="1">
        <v>1.73526001162826E-3</v>
      </c>
      <c r="N833">
        <v>1053.59887695313</v>
      </c>
      <c r="O833">
        <v>527.80669999999895</v>
      </c>
      <c r="P833">
        <v>1053.59716796875</v>
      </c>
      <c r="Q833">
        <v>527.80584716796795</v>
      </c>
      <c r="R833">
        <v>2</v>
      </c>
      <c r="S833">
        <v>1</v>
      </c>
      <c r="T833">
        <v>11</v>
      </c>
      <c r="U833">
        <v>27.220700000000001</v>
      </c>
      <c r="V833">
        <v>543313.4</v>
      </c>
    </row>
    <row r="834" spans="1:22" x14ac:dyDescent="0.25">
      <c r="A834" t="s">
        <v>398</v>
      </c>
      <c r="B834" t="s">
        <v>399</v>
      </c>
      <c r="C834">
        <v>579</v>
      </c>
      <c r="D834">
        <v>98.4</v>
      </c>
      <c r="E834">
        <v>98.4</v>
      </c>
      <c r="F834" t="s">
        <v>400</v>
      </c>
      <c r="G834" t="s">
        <v>400</v>
      </c>
      <c r="H834">
        <f t="shared" si="15"/>
        <v>9</v>
      </c>
      <c r="M834" s="1">
        <v>1.9793999381363401E-3</v>
      </c>
      <c r="N834">
        <v>1053.59912109375</v>
      </c>
      <c r="O834">
        <v>527.80679999999904</v>
      </c>
      <c r="P834">
        <v>1053.59716796875</v>
      </c>
      <c r="Q834">
        <v>527.80584716796795</v>
      </c>
      <c r="R834">
        <v>2</v>
      </c>
      <c r="S834">
        <v>2</v>
      </c>
      <c r="T834">
        <v>12</v>
      </c>
      <c r="U834">
        <v>27.26088</v>
      </c>
      <c r="V834">
        <v>1595023</v>
      </c>
    </row>
    <row r="835" spans="1:22" x14ac:dyDescent="0.25">
      <c r="A835" t="s">
        <v>763</v>
      </c>
      <c r="B835" t="s">
        <v>764</v>
      </c>
      <c r="C835">
        <v>87</v>
      </c>
      <c r="D835">
        <v>97.9</v>
      </c>
      <c r="E835">
        <v>97.86</v>
      </c>
      <c r="F835" t="s">
        <v>765</v>
      </c>
      <c r="G835" t="s">
        <v>765</v>
      </c>
      <c r="H835">
        <f t="shared" ref="H835:H898" si="16">LEN(G835)</f>
        <v>9</v>
      </c>
      <c r="M835" s="1">
        <v>4.3893400579690803E-3</v>
      </c>
      <c r="N835">
        <v>1719.73803710938</v>
      </c>
      <c r="O835">
        <v>860.87630000000001</v>
      </c>
      <c r="P835">
        <v>1719.73364257813</v>
      </c>
      <c r="Q835">
        <v>860.87408447265602</v>
      </c>
      <c r="R835">
        <v>2</v>
      </c>
      <c r="S835">
        <v>1</v>
      </c>
      <c r="T835">
        <v>15</v>
      </c>
      <c r="U835">
        <v>31.387149999999899</v>
      </c>
      <c r="V835">
        <v>462928.6</v>
      </c>
    </row>
    <row r="836" spans="1:22" x14ac:dyDescent="0.25">
      <c r="A836" t="s">
        <v>264</v>
      </c>
      <c r="B836" t="s">
        <v>265</v>
      </c>
      <c r="C836">
        <v>197</v>
      </c>
      <c r="D836">
        <v>99</v>
      </c>
      <c r="E836">
        <v>99</v>
      </c>
      <c r="F836" t="s">
        <v>1607</v>
      </c>
      <c r="G836" t="s">
        <v>1607</v>
      </c>
      <c r="H836">
        <f t="shared" si="16"/>
        <v>10</v>
      </c>
      <c r="M836" s="1">
        <v>2.59713991545141E-3</v>
      </c>
      <c r="N836">
        <v>1102.52221679688</v>
      </c>
      <c r="O836">
        <v>552.26840000000004</v>
      </c>
      <c r="P836">
        <v>1102.51965332031</v>
      </c>
      <c r="Q836">
        <v>552.26708984375</v>
      </c>
      <c r="R836">
        <v>2</v>
      </c>
      <c r="S836">
        <v>3</v>
      </c>
      <c r="T836">
        <v>10</v>
      </c>
      <c r="U836">
        <v>34.561070000000001</v>
      </c>
      <c r="V836">
        <v>24723270</v>
      </c>
    </row>
    <row r="837" spans="1:22" x14ac:dyDescent="0.25">
      <c r="A837" t="s">
        <v>1471</v>
      </c>
      <c r="B837" t="s">
        <v>1472</v>
      </c>
      <c r="C837">
        <v>2</v>
      </c>
      <c r="D837">
        <v>99</v>
      </c>
      <c r="E837">
        <v>99</v>
      </c>
      <c r="F837" t="s">
        <v>1473</v>
      </c>
      <c r="G837" t="s">
        <v>1473</v>
      </c>
      <c r="H837">
        <f t="shared" si="16"/>
        <v>19</v>
      </c>
      <c r="L837" t="s">
        <v>227</v>
      </c>
      <c r="M837" s="1">
        <v>1.45017001777887E-2</v>
      </c>
      <c r="N837">
        <v>1912.96105957031</v>
      </c>
      <c r="O837">
        <v>957.48779999999897</v>
      </c>
      <c r="P837">
        <v>1912.94653320313</v>
      </c>
      <c r="Q837">
        <v>957.48052978515602</v>
      </c>
      <c r="R837">
        <v>2</v>
      </c>
      <c r="S837">
        <v>4</v>
      </c>
      <c r="T837">
        <v>13</v>
      </c>
      <c r="U837">
        <v>40.671590000000002</v>
      </c>
      <c r="V837">
        <v>90200.48</v>
      </c>
    </row>
    <row r="838" spans="1:22" x14ac:dyDescent="0.25">
      <c r="A838" t="s">
        <v>3702</v>
      </c>
      <c r="B838" t="s">
        <v>3703</v>
      </c>
      <c r="C838">
        <v>114</v>
      </c>
      <c r="D838">
        <v>99</v>
      </c>
      <c r="E838">
        <v>99</v>
      </c>
      <c r="F838" t="s">
        <v>3704</v>
      </c>
      <c r="G838" t="s">
        <v>3704</v>
      </c>
      <c r="H838">
        <f t="shared" si="16"/>
        <v>17</v>
      </c>
      <c r="M838" s="1">
        <v>1.4985100133344501E-3</v>
      </c>
      <c r="N838">
        <v>1102.52111816406</v>
      </c>
      <c r="O838">
        <v>552.26779999999906</v>
      </c>
      <c r="P838">
        <v>1102.51965332031</v>
      </c>
      <c r="Q838">
        <v>552.26708984375</v>
      </c>
      <c r="R838">
        <v>2</v>
      </c>
      <c r="S838">
        <v>2</v>
      </c>
      <c r="T838">
        <v>10</v>
      </c>
      <c r="U838">
        <v>34.457880000000003</v>
      </c>
      <c r="V838">
        <v>190516.4</v>
      </c>
    </row>
    <row r="839" spans="1:22" x14ac:dyDescent="0.25">
      <c r="A839" t="s">
        <v>3702</v>
      </c>
      <c r="B839" t="s">
        <v>3703</v>
      </c>
      <c r="C839">
        <v>115</v>
      </c>
      <c r="D839">
        <v>99</v>
      </c>
      <c r="E839">
        <v>99</v>
      </c>
      <c r="F839" t="s">
        <v>3705</v>
      </c>
      <c r="G839" t="s">
        <v>3705</v>
      </c>
      <c r="H839">
        <f t="shared" si="16"/>
        <v>14</v>
      </c>
      <c r="M839" s="1">
        <v>1.41889997757971E-3</v>
      </c>
      <c r="N839">
        <v>1215.60510253906</v>
      </c>
      <c r="O839">
        <v>608.8098</v>
      </c>
      <c r="P839">
        <v>1215.60363769531</v>
      </c>
      <c r="Q839">
        <v>608.80908203125</v>
      </c>
      <c r="R839">
        <v>2</v>
      </c>
      <c r="S839">
        <v>1</v>
      </c>
      <c r="T839">
        <v>12</v>
      </c>
      <c r="U839">
        <v>41.559649999999898</v>
      </c>
      <c r="V839">
        <v>2029029</v>
      </c>
    </row>
    <row r="840" spans="1:22" x14ac:dyDescent="0.25">
      <c r="A840" t="s">
        <v>3702</v>
      </c>
      <c r="B840" t="s">
        <v>3703</v>
      </c>
      <c r="C840">
        <v>115</v>
      </c>
      <c r="D840">
        <v>99</v>
      </c>
      <c r="E840">
        <v>99</v>
      </c>
      <c r="F840" t="s">
        <v>3706</v>
      </c>
      <c r="G840" t="s">
        <v>3706</v>
      </c>
      <c r="H840">
        <f t="shared" si="16"/>
        <v>16</v>
      </c>
      <c r="M840">
        <v>2.395E-3</v>
      </c>
      <c r="N840">
        <v>1215.60607910156</v>
      </c>
      <c r="O840">
        <v>608.81029999999896</v>
      </c>
      <c r="P840">
        <v>1215.60363769531</v>
      </c>
      <c r="Q840">
        <v>608.80908203125</v>
      </c>
      <c r="R840">
        <v>2</v>
      </c>
      <c r="S840">
        <v>1</v>
      </c>
      <c r="T840">
        <v>12</v>
      </c>
      <c r="U840">
        <v>41.606319999999897</v>
      </c>
      <c r="V840">
        <v>3103605</v>
      </c>
    </row>
    <row r="841" spans="1:22" x14ac:dyDescent="0.25">
      <c r="A841" t="s">
        <v>3707</v>
      </c>
      <c r="B841" t="s">
        <v>3708</v>
      </c>
      <c r="C841">
        <v>101</v>
      </c>
      <c r="D841">
        <v>99</v>
      </c>
      <c r="E841">
        <v>99</v>
      </c>
      <c r="F841" t="s">
        <v>144</v>
      </c>
      <c r="G841" t="s">
        <v>144</v>
      </c>
      <c r="H841">
        <f t="shared" si="16"/>
        <v>19</v>
      </c>
      <c r="M841" s="1">
        <v>-1.4184700557961999E-3</v>
      </c>
      <c r="N841">
        <v>1346.69287109375</v>
      </c>
      <c r="O841">
        <v>674.3537</v>
      </c>
      <c r="P841">
        <v>1346.69421386719</v>
      </c>
      <c r="Q841">
        <v>674.35443115234295</v>
      </c>
      <c r="R841">
        <v>2</v>
      </c>
      <c r="S841">
        <v>1</v>
      </c>
      <c r="T841">
        <v>9</v>
      </c>
      <c r="U841">
        <v>38.145029999999899</v>
      </c>
      <c r="V841">
        <v>194784.5</v>
      </c>
    </row>
    <row r="842" spans="1:22" x14ac:dyDescent="0.25">
      <c r="A842" t="s">
        <v>3199</v>
      </c>
      <c r="B842" t="s">
        <v>3200</v>
      </c>
      <c r="C842">
        <v>59</v>
      </c>
      <c r="D842">
        <v>99</v>
      </c>
      <c r="E842">
        <v>99</v>
      </c>
      <c r="F842" t="s">
        <v>3201</v>
      </c>
      <c r="G842" t="s">
        <v>3201</v>
      </c>
      <c r="H842">
        <f t="shared" si="16"/>
        <v>14</v>
      </c>
      <c r="M842" s="1">
        <v>1.75536004826427E-3</v>
      </c>
      <c r="N842">
        <v>1346.69604492188</v>
      </c>
      <c r="O842">
        <v>674.35530000000006</v>
      </c>
      <c r="P842">
        <v>1346.69421386719</v>
      </c>
      <c r="Q842">
        <v>674.35443115234295</v>
      </c>
      <c r="R842">
        <v>2</v>
      </c>
      <c r="S842">
        <v>1</v>
      </c>
      <c r="T842">
        <v>8</v>
      </c>
      <c r="U842">
        <v>38.167050000000003</v>
      </c>
      <c r="V842">
        <v>106007.9</v>
      </c>
    </row>
    <row r="843" spans="1:22" x14ac:dyDescent="0.25">
      <c r="A843" t="s">
        <v>3395</v>
      </c>
      <c r="B843" t="s">
        <v>3396</v>
      </c>
      <c r="C843">
        <v>115</v>
      </c>
      <c r="D843">
        <v>98.7</v>
      </c>
      <c r="E843">
        <v>98.71</v>
      </c>
      <c r="F843" t="s">
        <v>3397</v>
      </c>
      <c r="G843" t="s">
        <v>3397</v>
      </c>
      <c r="H843">
        <f t="shared" si="16"/>
        <v>16</v>
      </c>
      <c r="M843" s="1">
        <v>2.4443799629807399E-3</v>
      </c>
      <c r="N843">
        <v>1104.56286621094</v>
      </c>
      <c r="O843">
        <v>553.28869999999904</v>
      </c>
      <c r="P843">
        <v>1104.56042480469</v>
      </c>
      <c r="Q843">
        <v>553.28747558593705</v>
      </c>
      <c r="R843">
        <v>2</v>
      </c>
      <c r="S843">
        <v>1</v>
      </c>
      <c r="T843">
        <v>12</v>
      </c>
      <c r="U843">
        <v>26.076350000000001</v>
      </c>
      <c r="V843">
        <v>11139970</v>
      </c>
    </row>
    <row r="844" spans="1:22" x14ac:dyDescent="0.25">
      <c r="A844" t="s">
        <v>3395</v>
      </c>
      <c r="B844" t="s">
        <v>3396</v>
      </c>
      <c r="C844">
        <v>88</v>
      </c>
      <c r="D844">
        <v>97.3</v>
      </c>
      <c r="E844">
        <v>97.3</v>
      </c>
      <c r="F844" t="s">
        <v>3398</v>
      </c>
      <c r="G844" t="s">
        <v>3398</v>
      </c>
      <c r="H844">
        <f t="shared" si="16"/>
        <v>10</v>
      </c>
      <c r="M844" s="1">
        <v>4.88578993827105E-3</v>
      </c>
      <c r="N844">
        <v>1104.56530761719</v>
      </c>
      <c r="O844">
        <v>553.28989999999897</v>
      </c>
      <c r="P844">
        <v>1104.56042480469</v>
      </c>
      <c r="Q844">
        <v>553.28747558593705</v>
      </c>
      <c r="R844">
        <v>2</v>
      </c>
      <c r="S844">
        <v>2</v>
      </c>
      <c r="T844">
        <v>13</v>
      </c>
      <c r="U844">
        <v>26.263829999999899</v>
      </c>
      <c r="V844">
        <v>10877240</v>
      </c>
    </row>
    <row r="845" spans="1:22" x14ac:dyDescent="0.25">
      <c r="A845" t="s">
        <v>3034</v>
      </c>
      <c r="B845" t="s">
        <v>3035</v>
      </c>
      <c r="C845">
        <v>115</v>
      </c>
      <c r="D845">
        <v>99</v>
      </c>
      <c r="E845">
        <v>99</v>
      </c>
      <c r="F845" t="s">
        <v>3036</v>
      </c>
      <c r="G845" t="s">
        <v>3036</v>
      </c>
      <c r="H845">
        <f t="shared" si="16"/>
        <v>15</v>
      </c>
      <c r="M845" s="1">
        <v>2.0645901095121999E-3</v>
      </c>
      <c r="N845">
        <v>1058.53051757813</v>
      </c>
      <c r="O845">
        <v>530.27250000000004</v>
      </c>
      <c r="P845">
        <v>1058.52844238281</v>
      </c>
      <c r="Q845">
        <v>530.271484375</v>
      </c>
      <c r="R845">
        <v>2</v>
      </c>
      <c r="S845">
        <v>2</v>
      </c>
      <c r="T845">
        <v>12</v>
      </c>
      <c r="U845">
        <v>25.26033</v>
      </c>
      <c r="V845">
        <v>457431.3</v>
      </c>
    </row>
    <row r="846" spans="1:22" x14ac:dyDescent="0.25">
      <c r="A846" t="s">
        <v>3996</v>
      </c>
      <c r="B846" t="s">
        <v>3997</v>
      </c>
      <c r="C846">
        <v>115</v>
      </c>
      <c r="D846">
        <v>98.9</v>
      </c>
      <c r="E846">
        <v>98.89</v>
      </c>
      <c r="F846" t="s">
        <v>3998</v>
      </c>
      <c r="G846" t="s">
        <v>3998</v>
      </c>
      <c r="H846">
        <f t="shared" si="16"/>
        <v>15</v>
      </c>
      <c r="M846" s="1">
        <v>8.4389100084081303E-4</v>
      </c>
      <c r="N846">
        <v>1058.529296875</v>
      </c>
      <c r="O846">
        <v>530.27189999999905</v>
      </c>
      <c r="P846">
        <v>1058.52844238281</v>
      </c>
      <c r="Q846">
        <v>530.271484375</v>
      </c>
      <c r="R846">
        <v>2</v>
      </c>
      <c r="S846">
        <v>2</v>
      </c>
      <c r="T846">
        <v>12</v>
      </c>
      <c r="U846">
        <v>25.384250000000002</v>
      </c>
      <c r="V846">
        <v>1050539</v>
      </c>
    </row>
    <row r="847" spans="1:22" x14ac:dyDescent="0.25">
      <c r="A847" t="s">
        <v>2446</v>
      </c>
      <c r="B847" t="s">
        <v>2447</v>
      </c>
      <c r="C847">
        <v>2</v>
      </c>
      <c r="D847">
        <v>99</v>
      </c>
      <c r="E847">
        <v>99</v>
      </c>
      <c r="F847" t="s">
        <v>2448</v>
      </c>
      <c r="G847" t="s">
        <v>2448</v>
      </c>
      <c r="H847">
        <f t="shared" si="16"/>
        <v>11</v>
      </c>
      <c r="M847">
        <v>1.921E-3</v>
      </c>
      <c r="N847">
        <v>1035.5732421875</v>
      </c>
      <c r="O847">
        <v>518.79390000000001</v>
      </c>
      <c r="P847">
        <v>1035.5712890625</v>
      </c>
      <c r="Q847">
        <v>518.79290771484295</v>
      </c>
      <c r="R847">
        <v>2</v>
      </c>
      <c r="S847">
        <v>1</v>
      </c>
      <c r="T847">
        <v>14</v>
      </c>
      <c r="U847">
        <v>26.613900000000001</v>
      </c>
      <c r="V847">
        <v>1780804</v>
      </c>
    </row>
    <row r="848" spans="1:22" x14ac:dyDescent="0.25">
      <c r="A848" t="s">
        <v>2446</v>
      </c>
      <c r="B848" t="s">
        <v>2447</v>
      </c>
      <c r="C848">
        <v>2</v>
      </c>
      <c r="D848">
        <v>99</v>
      </c>
      <c r="E848">
        <v>99</v>
      </c>
      <c r="F848" t="s">
        <v>2449</v>
      </c>
      <c r="G848" t="s">
        <v>2449</v>
      </c>
      <c r="H848">
        <f t="shared" si="16"/>
        <v>16</v>
      </c>
      <c r="M848" s="1">
        <v>1.7992500215768801E-3</v>
      </c>
      <c r="N848">
        <v>1035.57312011719</v>
      </c>
      <c r="O848">
        <v>518.79380000000003</v>
      </c>
      <c r="P848">
        <v>1035.5712890625</v>
      </c>
      <c r="Q848">
        <v>518.79290771484295</v>
      </c>
      <c r="R848">
        <v>2</v>
      </c>
      <c r="S848">
        <v>1</v>
      </c>
      <c r="T848">
        <v>12</v>
      </c>
      <c r="U848">
        <v>26.499420000000001</v>
      </c>
      <c r="V848">
        <v>1216117</v>
      </c>
    </row>
    <row r="849" spans="1:22" x14ac:dyDescent="0.25">
      <c r="A849" t="s">
        <v>2446</v>
      </c>
      <c r="B849" t="s">
        <v>2447</v>
      </c>
      <c r="C849">
        <v>2</v>
      </c>
      <c r="D849">
        <v>99</v>
      </c>
      <c r="E849">
        <v>99</v>
      </c>
      <c r="F849" t="s">
        <v>2450</v>
      </c>
      <c r="G849" t="s">
        <v>2450</v>
      </c>
      <c r="H849">
        <f t="shared" si="16"/>
        <v>18</v>
      </c>
      <c r="M849" s="1">
        <v>4.87873982638121E-3</v>
      </c>
      <c r="N849">
        <v>1149.50268554688</v>
      </c>
      <c r="O849">
        <v>1150.51</v>
      </c>
      <c r="P849">
        <v>1149.49780273438</v>
      </c>
      <c r="Q849">
        <v>1150.50512695313</v>
      </c>
      <c r="R849">
        <v>1</v>
      </c>
      <c r="S849">
        <v>6</v>
      </c>
      <c r="T849">
        <v>13</v>
      </c>
      <c r="U849">
        <v>31.4908299999999</v>
      </c>
      <c r="V849">
        <v>15489790</v>
      </c>
    </row>
    <row r="850" spans="1:22" x14ac:dyDescent="0.25">
      <c r="A850" t="s">
        <v>2446</v>
      </c>
      <c r="B850" t="s">
        <v>2447</v>
      </c>
      <c r="C850">
        <v>2</v>
      </c>
      <c r="D850">
        <v>99</v>
      </c>
      <c r="E850">
        <v>99</v>
      </c>
      <c r="F850" t="s">
        <v>2451</v>
      </c>
      <c r="G850" t="s">
        <v>2451</v>
      </c>
      <c r="H850">
        <f t="shared" si="16"/>
        <v>20</v>
      </c>
      <c r="M850" s="1">
        <v>4.87873982638121E-3</v>
      </c>
      <c r="N850">
        <v>1149.50268554688</v>
      </c>
      <c r="O850">
        <v>1150.51</v>
      </c>
      <c r="P850">
        <v>1149.49780273438</v>
      </c>
      <c r="Q850">
        <v>1150.50512695313</v>
      </c>
      <c r="R850">
        <v>1</v>
      </c>
      <c r="S850">
        <v>8</v>
      </c>
      <c r="T850">
        <v>13</v>
      </c>
      <c r="U850">
        <v>31.454070000000002</v>
      </c>
      <c r="V850">
        <v>8062930</v>
      </c>
    </row>
    <row r="851" spans="1:22" x14ac:dyDescent="0.25">
      <c r="A851" t="s">
        <v>2452</v>
      </c>
      <c r="B851" t="s">
        <v>2453</v>
      </c>
      <c r="C851">
        <v>47</v>
      </c>
      <c r="D851">
        <v>99</v>
      </c>
      <c r="E851">
        <v>99</v>
      </c>
      <c r="F851" t="s">
        <v>2454</v>
      </c>
      <c r="G851" t="s">
        <v>2454</v>
      </c>
      <c r="H851">
        <f t="shared" si="16"/>
        <v>18</v>
      </c>
      <c r="M851" s="1">
        <v>1.77534995600581E-3</v>
      </c>
      <c r="N851">
        <v>1144.6298828125</v>
      </c>
      <c r="O851">
        <v>573.32219999999904</v>
      </c>
      <c r="P851">
        <v>1144.62805175781</v>
      </c>
      <c r="Q851">
        <v>573.3212890625</v>
      </c>
      <c r="R851">
        <v>2</v>
      </c>
      <c r="S851">
        <v>2</v>
      </c>
      <c r="T851">
        <v>13</v>
      </c>
      <c r="U851">
        <v>43.01155</v>
      </c>
      <c r="V851">
        <v>1945964</v>
      </c>
    </row>
    <row r="852" spans="1:22" x14ac:dyDescent="0.25">
      <c r="A852" t="s">
        <v>2455</v>
      </c>
      <c r="B852" t="s">
        <v>2456</v>
      </c>
      <c r="C852">
        <v>99</v>
      </c>
      <c r="D852">
        <v>99</v>
      </c>
      <c r="E852">
        <v>99</v>
      </c>
      <c r="F852" t="s">
        <v>2457</v>
      </c>
      <c r="G852" t="s">
        <v>2457</v>
      </c>
      <c r="H852">
        <f t="shared" si="16"/>
        <v>28</v>
      </c>
      <c r="M852" s="1">
        <v>5.3153899498283802E-3</v>
      </c>
      <c r="N852">
        <v>1144.63342285156</v>
      </c>
      <c r="O852">
        <v>573.32399999999905</v>
      </c>
      <c r="P852">
        <v>1144.62805175781</v>
      </c>
      <c r="Q852">
        <v>573.3212890625</v>
      </c>
      <c r="R852">
        <v>2</v>
      </c>
      <c r="S852">
        <v>2</v>
      </c>
      <c r="T852">
        <v>9</v>
      </c>
      <c r="U852">
        <v>42.7589299999999</v>
      </c>
      <c r="V852">
        <v>108727.5</v>
      </c>
    </row>
    <row r="853" spans="1:22" x14ac:dyDescent="0.25">
      <c r="A853" t="s">
        <v>2455</v>
      </c>
      <c r="B853" t="s">
        <v>2456</v>
      </c>
      <c r="C853">
        <v>99</v>
      </c>
      <c r="D853">
        <v>99</v>
      </c>
      <c r="E853">
        <v>99</v>
      </c>
      <c r="F853" t="s">
        <v>2457</v>
      </c>
      <c r="G853" t="s">
        <v>2457</v>
      </c>
      <c r="H853">
        <f t="shared" si="16"/>
        <v>28</v>
      </c>
      <c r="L853" t="s">
        <v>555</v>
      </c>
      <c r="M853" s="1">
        <v>2.4075300898402799E-3</v>
      </c>
      <c r="N853">
        <v>1803.94714355469</v>
      </c>
      <c r="O853">
        <v>602.32299999999896</v>
      </c>
      <c r="P853">
        <v>1803.94470214844</v>
      </c>
      <c r="Q853">
        <v>602.32220458984295</v>
      </c>
      <c r="R853">
        <v>3</v>
      </c>
      <c r="S853">
        <v>1</v>
      </c>
      <c r="T853">
        <v>12</v>
      </c>
      <c r="U853">
        <v>23.6934</v>
      </c>
      <c r="V853">
        <v>321844</v>
      </c>
    </row>
    <row r="854" spans="1:22" x14ac:dyDescent="0.25">
      <c r="A854" t="s">
        <v>3283</v>
      </c>
      <c r="B854" t="s">
        <v>3284</v>
      </c>
      <c r="C854">
        <v>72</v>
      </c>
      <c r="D854">
        <v>98.8</v>
      </c>
      <c r="E854">
        <v>98.81</v>
      </c>
      <c r="F854" t="s">
        <v>3285</v>
      </c>
      <c r="G854" t="s">
        <v>3285</v>
      </c>
      <c r="H854">
        <f t="shared" si="16"/>
        <v>12</v>
      </c>
      <c r="M854">
        <v>-9.2999999999999997E-5</v>
      </c>
      <c r="N854">
        <v>1161.556640625</v>
      </c>
      <c r="O854">
        <v>581.78560000000004</v>
      </c>
      <c r="P854">
        <v>1161.55676269531</v>
      </c>
      <c r="Q854">
        <v>581.78564453125</v>
      </c>
      <c r="R854">
        <v>2</v>
      </c>
      <c r="S854">
        <v>2</v>
      </c>
      <c r="T854">
        <v>13</v>
      </c>
      <c r="U854">
        <v>25.68272</v>
      </c>
      <c r="V854">
        <v>2056848</v>
      </c>
    </row>
    <row r="855" spans="1:22" x14ac:dyDescent="0.25">
      <c r="A855" t="s">
        <v>177</v>
      </c>
      <c r="B855" t="s">
        <v>178</v>
      </c>
      <c r="C855">
        <v>81</v>
      </c>
      <c r="D855">
        <v>99</v>
      </c>
      <c r="E855">
        <v>99</v>
      </c>
      <c r="F855" t="s">
        <v>179</v>
      </c>
      <c r="G855" t="s">
        <v>179</v>
      </c>
      <c r="H855">
        <f t="shared" si="16"/>
        <v>12</v>
      </c>
      <c r="M855" s="1">
        <v>1.1278799502179001E-3</v>
      </c>
      <c r="N855">
        <v>1161.55786132813</v>
      </c>
      <c r="O855">
        <v>581.78620000000001</v>
      </c>
      <c r="P855">
        <v>1161.55676269531</v>
      </c>
      <c r="Q855">
        <v>581.78564453125</v>
      </c>
      <c r="R855">
        <v>2</v>
      </c>
      <c r="S855">
        <v>2</v>
      </c>
      <c r="T855">
        <v>13</v>
      </c>
      <c r="U855">
        <v>25.748249999999899</v>
      </c>
      <c r="V855">
        <v>1423911</v>
      </c>
    </row>
    <row r="856" spans="1:22" x14ac:dyDescent="0.25">
      <c r="A856" t="s">
        <v>177</v>
      </c>
      <c r="B856" t="s">
        <v>178</v>
      </c>
      <c r="C856">
        <v>61</v>
      </c>
      <c r="D856">
        <v>97.5</v>
      </c>
      <c r="E856">
        <v>97.51</v>
      </c>
      <c r="F856" t="s">
        <v>2445</v>
      </c>
      <c r="G856" t="s">
        <v>2445</v>
      </c>
      <c r="H856">
        <f t="shared" si="16"/>
        <v>8</v>
      </c>
      <c r="M856" s="1">
        <v>3.26450011925772E-4</v>
      </c>
      <c r="N856">
        <v>1181.51452636719</v>
      </c>
      <c r="O856">
        <v>591.7645</v>
      </c>
      <c r="P856">
        <v>1181.51416015625</v>
      </c>
      <c r="Q856">
        <v>591.76434326171795</v>
      </c>
      <c r="R856">
        <v>2</v>
      </c>
      <c r="S856">
        <v>1</v>
      </c>
      <c r="T856">
        <v>11</v>
      </c>
      <c r="U856">
        <v>29.6099</v>
      </c>
      <c r="V856">
        <v>414090.3</v>
      </c>
    </row>
    <row r="857" spans="1:22" x14ac:dyDescent="0.25">
      <c r="A857" t="s">
        <v>3951</v>
      </c>
      <c r="B857" t="s">
        <v>3952</v>
      </c>
      <c r="C857">
        <v>78</v>
      </c>
      <c r="D857">
        <v>99</v>
      </c>
      <c r="E857">
        <v>99</v>
      </c>
      <c r="F857" t="s">
        <v>234</v>
      </c>
      <c r="G857" t="s">
        <v>234</v>
      </c>
      <c r="H857">
        <f t="shared" si="16"/>
        <v>9</v>
      </c>
      <c r="M857" s="1">
        <v>4.4098999351263003E-3</v>
      </c>
      <c r="N857">
        <v>1013.57025146484</v>
      </c>
      <c r="O857">
        <v>507.79239999999902</v>
      </c>
      <c r="P857">
        <v>1013.56579589844</v>
      </c>
      <c r="Q857">
        <v>507.79019165039102</v>
      </c>
      <c r="R857">
        <v>2</v>
      </c>
      <c r="S857">
        <v>2</v>
      </c>
      <c r="T857">
        <v>12</v>
      </c>
      <c r="U857">
        <v>24.620930000000001</v>
      </c>
      <c r="V857">
        <v>10579930</v>
      </c>
    </row>
    <row r="858" spans="1:22" x14ac:dyDescent="0.25">
      <c r="A858" t="s">
        <v>3379</v>
      </c>
      <c r="B858" t="s">
        <v>3380</v>
      </c>
      <c r="C858">
        <v>372</v>
      </c>
      <c r="D858">
        <v>97.7</v>
      </c>
      <c r="E858">
        <v>97.74</v>
      </c>
      <c r="F858" t="s">
        <v>3381</v>
      </c>
      <c r="G858" t="s">
        <v>3381</v>
      </c>
      <c r="H858">
        <f t="shared" si="16"/>
        <v>15</v>
      </c>
      <c r="M858" s="1">
        <v>3.2602099236100799E-3</v>
      </c>
      <c r="N858">
        <v>1018.5302734375</v>
      </c>
      <c r="O858">
        <v>510.2724</v>
      </c>
      <c r="P858">
        <v>1018.52697753906</v>
      </c>
      <c r="Q858">
        <v>510.27078247070301</v>
      </c>
      <c r="R858">
        <v>2</v>
      </c>
      <c r="S858">
        <v>2</v>
      </c>
      <c r="T858">
        <v>11</v>
      </c>
      <c r="U858">
        <v>26.143370000000001</v>
      </c>
      <c r="V858">
        <v>1461242</v>
      </c>
    </row>
    <row r="859" spans="1:22" x14ac:dyDescent="0.25">
      <c r="A859" t="s">
        <v>3379</v>
      </c>
      <c r="B859" t="s">
        <v>3380</v>
      </c>
      <c r="C859">
        <v>320</v>
      </c>
      <c r="D859">
        <v>99</v>
      </c>
      <c r="E859">
        <v>99</v>
      </c>
      <c r="F859" t="s">
        <v>3382</v>
      </c>
      <c r="G859" t="s">
        <v>3382</v>
      </c>
      <c r="H859">
        <f t="shared" si="16"/>
        <v>14</v>
      </c>
      <c r="M859">
        <v>7.4349999999999998E-3</v>
      </c>
      <c r="N859">
        <v>1200.60021972656</v>
      </c>
      <c r="O859">
        <v>601.30740000000003</v>
      </c>
      <c r="P859">
        <v>1200.5927734375</v>
      </c>
      <c r="Q859">
        <v>601.30364990234295</v>
      </c>
      <c r="R859">
        <v>2</v>
      </c>
      <c r="S859">
        <v>5</v>
      </c>
      <c r="T859">
        <v>11</v>
      </c>
      <c r="U859">
        <v>28.3965999999999</v>
      </c>
      <c r="V859">
        <v>945717.1</v>
      </c>
    </row>
    <row r="860" spans="1:22" x14ac:dyDescent="0.25">
      <c r="A860" t="s">
        <v>3379</v>
      </c>
      <c r="B860" t="s">
        <v>3380</v>
      </c>
      <c r="C860">
        <v>320</v>
      </c>
      <c r="D860">
        <v>99</v>
      </c>
      <c r="E860">
        <v>99</v>
      </c>
      <c r="F860" t="s">
        <v>3383</v>
      </c>
      <c r="G860" t="s">
        <v>3383</v>
      </c>
      <c r="H860">
        <f t="shared" si="16"/>
        <v>15</v>
      </c>
      <c r="M860" s="1">
        <v>8.65583028644323E-3</v>
      </c>
      <c r="N860">
        <v>1200.60144042969</v>
      </c>
      <c r="O860">
        <v>601.30799999999897</v>
      </c>
      <c r="P860">
        <v>1200.5927734375</v>
      </c>
      <c r="Q860">
        <v>601.30364990234295</v>
      </c>
      <c r="R860">
        <v>2</v>
      </c>
      <c r="S860">
        <v>4</v>
      </c>
      <c r="T860">
        <v>11</v>
      </c>
      <c r="U860">
        <v>28.414829999999899</v>
      </c>
      <c r="V860">
        <v>800690.6</v>
      </c>
    </row>
    <row r="861" spans="1:22" x14ac:dyDescent="0.25">
      <c r="A861" t="s">
        <v>3379</v>
      </c>
      <c r="B861" t="s">
        <v>3380</v>
      </c>
      <c r="C861">
        <v>30</v>
      </c>
      <c r="D861">
        <v>98.2</v>
      </c>
      <c r="E861">
        <v>98.15</v>
      </c>
      <c r="F861" t="s">
        <v>229</v>
      </c>
      <c r="G861" t="s">
        <v>229</v>
      </c>
      <c r="H861">
        <f t="shared" si="16"/>
        <v>9</v>
      </c>
      <c r="M861">
        <v>7.6999999999999996E-4</v>
      </c>
      <c r="N861">
        <v>1099.61462402344</v>
      </c>
      <c r="O861">
        <v>550.81460000000004</v>
      </c>
      <c r="P861">
        <v>1099.61376953125</v>
      </c>
      <c r="Q861">
        <v>550.814208984375</v>
      </c>
      <c r="R861">
        <v>2</v>
      </c>
      <c r="S861">
        <v>1</v>
      </c>
      <c r="T861">
        <v>12</v>
      </c>
      <c r="U861">
        <v>29.43045</v>
      </c>
      <c r="V861">
        <v>535161.80000000005</v>
      </c>
    </row>
    <row r="862" spans="1:22" x14ac:dyDescent="0.25">
      <c r="A862" t="s">
        <v>2618</v>
      </c>
      <c r="B862" t="s">
        <v>2619</v>
      </c>
      <c r="C862">
        <v>1774</v>
      </c>
      <c r="D862">
        <v>97.9</v>
      </c>
      <c r="E862">
        <v>97.94</v>
      </c>
      <c r="F862" t="s">
        <v>2620</v>
      </c>
      <c r="G862" t="s">
        <v>2620</v>
      </c>
      <c r="H862">
        <f t="shared" si="16"/>
        <v>9</v>
      </c>
      <c r="M862">
        <v>6.019E-3</v>
      </c>
      <c r="N862">
        <v>1099.61987304688</v>
      </c>
      <c r="O862">
        <v>550.81719999999905</v>
      </c>
      <c r="P862">
        <v>1099.61376953125</v>
      </c>
      <c r="Q862">
        <v>550.814208984375</v>
      </c>
      <c r="R862">
        <v>2</v>
      </c>
      <c r="S862">
        <v>1</v>
      </c>
      <c r="T862">
        <v>11</v>
      </c>
      <c r="U862">
        <v>29.450320000000001</v>
      </c>
      <c r="V862">
        <v>254983.6</v>
      </c>
    </row>
    <row r="863" spans="1:22" x14ac:dyDescent="0.25">
      <c r="A863" t="s">
        <v>319</v>
      </c>
      <c r="B863" t="s">
        <v>320</v>
      </c>
      <c r="C863">
        <v>3814</v>
      </c>
      <c r="D863">
        <v>99</v>
      </c>
      <c r="E863">
        <v>99</v>
      </c>
      <c r="F863" t="s">
        <v>464</v>
      </c>
      <c r="G863" t="s">
        <v>464</v>
      </c>
      <c r="H863">
        <f t="shared" si="16"/>
        <v>14</v>
      </c>
      <c r="M863" s="1">
        <v>7.6814199564978502E-4</v>
      </c>
      <c r="N863">
        <v>1146.64050292969</v>
      </c>
      <c r="O863">
        <v>574.32749999999896</v>
      </c>
      <c r="P863">
        <v>1146.6396484375</v>
      </c>
      <c r="Q863">
        <v>574.3271484375</v>
      </c>
      <c r="R863">
        <v>2</v>
      </c>
      <c r="S863">
        <v>1</v>
      </c>
      <c r="T863">
        <v>12</v>
      </c>
      <c r="U863">
        <v>35.853870000000001</v>
      </c>
      <c r="V863">
        <v>1346159</v>
      </c>
    </row>
    <row r="864" spans="1:22" x14ac:dyDescent="0.25">
      <c r="A864" t="s">
        <v>319</v>
      </c>
      <c r="B864" t="s">
        <v>320</v>
      </c>
      <c r="C864">
        <v>3815</v>
      </c>
      <c r="D864">
        <v>99</v>
      </c>
      <c r="E864">
        <v>99</v>
      </c>
      <c r="F864" t="s">
        <v>735</v>
      </c>
      <c r="G864" t="s">
        <v>735</v>
      </c>
      <c r="H864">
        <f t="shared" si="16"/>
        <v>13</v>
      </c>
      <c r="M864" s="1">
        <v>1.3548400253057501E-2</v>
      </c>
      <c r="N864">
        <v>1758.82702636719</v>
      </c>
      <c r="O864">
        <v>880.42079999999896</v>
      </c>
      <c r="P864">
        <v>1758.8134765625</v>
      </c>
      <c r="Q864">
        <v>880.41400146484295</v>
      </c>
      <c r="R864">
        <v>2</v>
      </c>
      <c r="S864">
        <v>1</v>
      </c>
      <c r="T864">
        <v>13</v>
      </c>
      <c r="U864">
        <v>44.45082</v>
      </c>
      <c r="V864">
        <v>528693.6</v>
      </c>
    </row>
    <row r="865" spans="1:22" x14ac:dyDescent="0.25">
      <c r="A865" t="s">
        <v>319</v>
      </c>
      <c r="B865" t="s">
        <v>320</v>
      </c>
      <c r="C865">
        <v>3811</v>
      </c>
      <c r="D865">
        <v>99</v>
      </c>
      <c r="E865">
        <v>99</v>
      </c>
      <c r="F865" t="s">
        <v>321</v>
      </c>
      <c r="G865" t="s">
        <v>321</v>
      </c>
      <c r="H865">
        <f t="shared" si="16"/>
        <v>17</v>
      </c>
      <c r="L865" t="s">
        <v>295</v>
      </c>
      <c r="M865" s="1">
        <v>9.6842898055910995E-3</v>
      </c>
      <c r="N865">
        <v>2364.12524414063</v>
      </c>
      <c r="O865">
        <v>592.03859999999895</v>
      </c>
      <c r="P865">
        <v>2364.11547851563</v>
      </c>
      <c r="Q865">
        <v>592.0361328125</v>
      </c>
      <c r="R865">
        <v>4</v>
      </c>
      <c r="S865">
        <v>1</v>
      </c>
      <c r="T865">
        <v>15</v>
      </c>
      <c r="U865">
        <v>38.038930000000001</v>
      </c>
      <c r="V865">
        <v>273030.40000000002</v>
      </c>
    </row>
    <row r="866" spans="1:22" x14ac:dyDescent="0.25">
      <c r="A866" t="s">
        <v>736</v>
      </c>
      <c r="B866" t="s">
        <v>737</v>
      </c>
      <c r="C866">
        <v>5466</v>
      </c>
      <c r="D866">
        <v>99</v>
      </c>
      <c r="E866">
        <v>98.98</v>
      </c>
      <c r="F866" t="s">
        <v>207</v>
      </c>
      <c r="G866" t="s">
        <v>207</v>
      </c>
      <c r="H866">
        <f t="shared" si="16"/>
        <v>8</v>
      </c>
      <c r="M866" s="1">
        <v>1.6356000676751001E-2</v>
      </c>
      <c r="N866">
        <v>1758.82983398438</v>
      </c>
      <c r="O866">
        <v>880.42219999999895</v>
      </c>
      <c r="P866">
        <v>1758.8134765625</v>
      </c>
      <c r="Q866">
        <v>880.41400146484295</v>
      </c>
      <c r="R866">
        <v>2</v>
      </c>
      <c r="S866">
        <v>1</v>
      </c>
      <c r="T866">
        <v>12</v>
      </c>
      <c r="U866">
        <v>44.517449999999897</v>
      </c>
      <c r="V866">
        <v>203211.3</v>
      </c>
    </row>
    <row r="867" spans="1:22" x14ac:dyDescent="0.25">
      <c r="A867" t="s">
        <v>1105</v>
      </c>
      <c r="B867" t="s">
        <v>1106</v>
      </c>
      <c r="C867">
        <v>890</v>
      </c>
      <c r="D867">
        <v>99</v>
      </c>
      <c r="E867">
        <v>99</v>
      </c>
      <c r="F867" t="s">
        <v>346</v>
      </c>
      <c r="G867" t="s">
        <v>346</v>
      </c>
      <c r="H867">
        <f t="shared" si="16"/>
        <v>9</v>
      </c>
      <c r="M867" s="1">
        <v>5.3062802180647902E-3</v>
      </c>
      <c r="N867">
        <v>1560.74548339844</v>
      </c>
      <c r="O867">
        <v>781.38</v>
      </c>
      <c r="P867">
        <v>1560.74011230469</v>
      </c>
      <c r="Q867">
        <v>781.37738037109295</v>
      </c>
      <c r="R867">
        <v>2</v>
      </c>
      <c r="S867">
        <v>2</v>
      </c>
      <c r="T867">
        <v>10</v>
      </c>
      <c r="U867">
        <v>46.652749999999898</v>
      </c>
      <c r="V867">
        <v>384321</v>
      </c>
    </row>
    <row r="868" spans="1:22" x14ac:dyDescent="0.25">
      <c r="A868" t="s">
        <v>4048</v>
      </c>
      <c r="B868" t="s">
        <v>4049</v>
      </c>
      <c r="C868">
        <v>1067</v>
      </c>
      <c r="D868">
        <v>99</v>
      </c>
      <c r="E868">
        <v>99</v>
      </c>
      <c r="F868" t="s">
        <v>4050</v>
      </c>
      <c r="G868" t="s">
        <v>4050</v>
      </c>
      <c r="H868">
        <f t="shared" si="16"/>
        <v>10</v>
      </c>
      <c r="M868" s="1">
        <v>5.552529823035E-3</v>
      </c>
      <c r="N868">
        <v>1806.84802246094</v>
      </c>
      <c r="O868">
        <v>904.43129999999906</v>
      </c>
      <c r="P868">
        <v>1806.84240722656</v>
      </c>
      <c r="Q868">
        <v>904.42852783203102</v>
      </c>
      <c r="R868">
        <v>2</v>
      </c>
      <c r="S868">
        <v>4</v>
      </c>
      <c r="T868">
        <v>25</v>
      </c>
      <c r="U868">
        <v>31.548300000000001</v>
      </c>
      <c r="V868">
        <v>567756.4</v>
      </c>
    </row>
    <row r="869" spans="1:22" x14ac:dyDescent="0.25">
      <c r="A869" t="s">
        <v>4546</v>
      </c>
      <c r="B869" t="s">
        <v>4547</v>
      </c>
      <c r="C869">
        <v>1753</v>
      </c>
      <c r="D869">
        <v>98.2</v>
      </c>
      <c r="E869">
        <v>98.18</v>
      </c>
      <c r="F869" t="s">
        <v>4548</v>
      </c>
      <c r="G869" t="s">
        <v>4548</v>
      </c>
      <c r="H869">
        <f t="shared" si="16"/>
        <v>9</v>
      </c>
      <c r="L869" t="s">
        <v>2094</v>
      </c>
      <c r="M869" s="1">
        <v>8.2186702638864398E-4</v>
      </c>
      <c r="N869">
        <v>1663.69702148438</v>
      </c>
      <c r="O869">
        <v>832.85580000000004</v>
      </c>
      <c r="P869">
        <v>1663.69616699219</v>
      </c>
      <c r="Q869">
        <v>832.85534667968705</v>
      </c>
      <c r="R869">
        <v>2</v>
      </c>
      <c r="S869">
        <v>1</v>
      </c>
      <c r="T869">
        <v>13</v>
      </c>
      <c r="U869">
        <v>31.023980000000002</v>
      </c>
      <c r="V869">
        <v>219079.8</v>
      </c>
    </row>
    <row r="870" spans="1:22" x14ac:dyDescent="0.25">
      <c r="A870" t="s">
        <v>2918</v>
      </c>
      <c r="B870" t="s">
        <v>2919</v>
      </c>
      <c r="C870">
        <v>564</v>
      </c>
      <c r="D870">
        <v>98.7</v>
      </c>
      <c r="E870">
        <v>98.74</v>
      </c>
      <c r="F870" t="s">
        <v>2920</v>
      </c>
      <c r="G870" t="s">
        <v>2920</v>
      </c>
      <c r="H870">
        <f t="shared" si="16"/>
        <v>10</v>
      </c>
      <c r="M870" s="1">
        <v>5.552529823035E-3</v>
      </c>
      <c r="N870">
        <v>1806.84802246094</v>
      </c>
      <c r="O870">
        <v>904.43129999999906</v>
      </c>
      <c r="P870">
        <v>1806.84240722656</v>
      </c>
      <c r="Q870">
        <v>904.42852783203102</v>
      </c>
      <c r="R870">
        <v>2</v>
      </c>
      <c r="S870">
        <v>4</v>
      </c>
      <c r="T870">
        <v>30</v>
      </c>
      <c r="U870">
        <v>31.63597</v>
      </c>
      <c r="V870">
        <v>800121.1</v>
      </c>
    </row>
    <row r="871" spans="1:22" x14ac:dyDescent="0.25">
      <c r="A871" t="s">
        <v>1544</v>
      </c>
      <c r="B871" t="s">
        <v>1545</v>
      </c>
      <c r="C871">
        <v>22</v>
      </c>
      <c r="D871">
        <v>97.4</v>
      </c>
      <c r="E871">
        <v>97.37</v>
      </c>
      <c r="F871" t="s">
        <v>1546</v>
      </c>
      <c r="G871" t="s">
        <v>1546</v>
      </c>
      <c r="H871">
        <f t="shared" si="16"/>
        <v>16</v>
      </c>
      <c r="M871" s="1">
        <v>3.9561102166771802E-3</v>
      </c>
      <c r="N871">
        <v>1146.611328125</v>
      </c>
      <c r="O871">
        <v>574.31290000000001</v>
      </c>
      <c r="P871">
        <v>1146.60729980469</v>
      </c>
      <c r="Q871">
        <v>574.31097412109295</v>
      </c>
      <c r="R871">
        <v>2</v>
      </c>
      <c r="S871">
        <v>24</v>
      </c>
      <c r="T871">
        <v>14</v>
      </c>
      <c r="U871">
        <v>30.0291</v>
      </c>
      <c r="V871">
        <v>17270030</v>
      </c>
    </row>
    <row r="872" spans="1:22" x14ac:dyDescent="0.25">
      <c r="A872" t="s">
        <v>1893</v>
      </c>
      <c r="B872" t="s">
        <v>1894</v>
      </c>
      <c r="C872">
        <v>237</v>
      </c>
      <c r="D872">
        <v>99</v>
      </c>
      <c r="E872">
        <v>99</v>
      </c>
      <c r="F872" t="s">
        <v>1895</v>
      </c>
      <c r="G872" t="s">
        <v>1895</v>
      </c>
      <c r="H872">
        <f t="shared" si="16"/>
        <v>15</v>
      </c>
      <c r="M872" s="1">
        <v>3.3457500394433702E-3</v>
      </c>
      <c r="N872">
        <v>1146.61071777344</v>
      </c>
      <c r="O872">
        <v>574.31259999999895</v>
      </c>
      <c r="P872">
        <v>1146.60729980469</v>
      </c>
      <c r="Q872">
        <v>574.31097412109295</v>
      </c>
      <c r="R872">
        <v>2</v>
      </c>
      <c r="S872">
        <v>25</v>
      </c>
      <c r="T872">
        <v>14</v>
      </c>
      <c r="U872">
        <v>29.662980000000001</v>
      </c>
      <c r="V872">
        <v>15750640</v>
      </c>
    </row>
    <row r="873" spans="1:22" x14ac:dyDescent="0.25">
      <c r="A873" t="s">
        <v>3048</v>
      </c>
      <c r="B873" t="s">
        <v>3049</v>
      </c>
      <c r="C873">
        <v>42</v>
      </c>
      <c r="D873">
        <v>99</v>
      </c>
      <c r="E873">
        <v>99</v>
      </c>
      <c r="F873" t="s">
        <v>3050</v>
      </c>
      <c r="G873" t="s">
        <v>3050</v>
      </c>
      <c r="H873">
        <f t="shared" si="16"/>
        <v>15</v>
      </c>
      <c r="M873" s="1">
        <v>2.94476002454757E-3</v>
      </c>
      <c r="N873">
        <v>1125.62121582031</v>
      </c>
      <c r="O873">
        <v>563.81790000000001</v>
      </c>
      <c r="P873">
        <v>1125.61828613281</v>
      </c>
      <c r="Q873">
        <v>563.81640625</v>
      </c>
      <c r="R873">
        <v>2</v>
      </c>
      <c r="S873">
        <v>1</v>
      </c>
      <c r="T873">
        <v>9</v>
      </c>
      <c r="U873">
        <v>44.029519999999899</v>
      </c>
      <c r="V873">
        <v>253233.1</v>
      </c>
    </row>
    <row r="874" spans="1:22" x14ac:dyDescent="0.25">
      <c r="A874" t="s">
        <v>3048</v>
      </c>
      <c r="B874" t="s">
        <v>3049</v>
      </c>
      <c r="C874">
        <v>43</v>
      </c>
      <c r="D874">
        <v>99</v>
      </c>
      <c r="E874">
        <v>99</v>
      </c>
      <c r="F874" t="s">
        <v>3051</v>
      </c>
      <c r="G874" t="s">
        <v>3051</v>
      </c>
      <c r="H874">
        <f t="shared" si="16"/>
        <v>17</v>
      </c>
      <c r="M874" s="1">
        <v>4.04339004307984E-3</v>
      </c>
      <c r="N874">
        <v>1125.62231445313</v>
      </c>
      <c r="O874">
        <v>563.8184</v>
      </c>
      <c r="P874">
        <v>1125.61828613281</v>
      </c>
      <c r="Q874">
        <v>563.81640625</v>
      </c>
      <c r="R874">
        <v>2</v>
      </c>
      <c r="S874">
        <v>1</v>
      </c>
      <c r="T874">
        <v>10</v>
      </c>
      <c r="U874">
        <v>43.974220000000003</v>
      </c>
      <c r="V874">
        <v>92493.51</v>
      </c>
    </row>
    <row r="875" spans="1:22" x14ac:dyDescent="0.25">
      <c r="A875" t="s">
        <v>3052</v>
      </c>
      <c r="B875" t="s">
        <v>3053</v>
      </c>
      <c r="C875">
        <v>140</v>
      </c>
      <c r="D875">
        <v>99</v>
      </c>
      <c r="E875">
        <v>99</v>
      </c>
      <c r="F875" t="s">
        <v>3054</v>
      </c>
      <c r="G875" t="s">
        <v>3054</v>
      </c>
      <c r="H875">
        <f t="shared" si="16"/>
        <v>17</v>
      </c>
      <c r="M875" s="1">
        <v>4.7061400255188303E-4</v>
      </c>
      <c r="N875">
        <v>1187.60925292969</v>
      </c>
      <c r="O875">
        <v>396.87700000000001</v>
      </c>
      <c r="P875">
        <v>1187.60876464844</v>
      </c>
      <c r="Q875">
        <v>396.87686157226602</v>
      </c>
      <c r="R875">
        <v>3</v>
      </c>
      <c r="S875">
        <v>3</v>
      </c>
      <c r="T875">
        <v>12</v>
      </c>
      <c r="U875">
        <v>38.85042</v>
      </c>
      <c r="V875">
        <v>2303489</v>
      </c>
    </row>
    <row r="876" spans="1:22" x14ac:dyDescent="0.25">
      <c r="A876" t="s">
        <v>3055</v>
      </c>
      <c r="B876" t="s">
        <v>3056</v>
      </c>
      <c r="C876">
        <v>261</v>
      </c>
      <c r="D876">
        <v>99</v>
      </c>
      <c r="E876">
        <v>99</v>
      </c>
      <c r="F876" t="s">
        <v>3057</v>
      </c>
      <c r="G876" t="s">
        <v>3057</v>
      </c>
      <c r="H876">
        <f t="shared" si="16"/>
        <v>16</v>
      </c>
      <c r="M876" s="1">
        <v>4.0411697700619602E-3</v>
      </c>
      <c r="N876">
        <v>1187.61279296875</v>
      </c>
      <c r="O876">
        <v>396.87819999999903</v>
      </c>
      <c r="P876">
        <v>1187.60876464844</v>
      </c>
      <c r="Q876">
        <v>396.87686157226602</v>
      </c>
      <c r="R876">
        <v>3</v>
      </c>
      <c r="S876">
        <v>5</v>
      </c>
      <c r="T876">
        <v>11</v>
      </c>
      <c r="U876">
        <v>38.9564799999999</v>
      </c>
      <c r="V876">
        <v>493577.9</v>
      </c>
    </row>
    <row r="877" spans="1:22" x14ac:dyDescent="0.25">
      <c r="A877" t="s">
        <v>3058</v>
      </c>
      <c r="B877" t="s">
        <v>3059</v>
      </c>
      <c r="C877">
        <v>255</v>
      </c>
      <c r="D877">
        <v>98.5</v>
      </c>
      <c r="E877">
        <v>98.48</v>
      </c>
      <c r="F877" t="s">
        <v>3060</v>
      </c>
      <c r="G877" t="s">
        <v>3060</v>
      </c>
      <c r="H877">
        <f t="shared" si="16"/>
        <v>16</v>
      </c>
      <c r="M877" s="1">
        <v>8.5915699601173401E-3</v>
      </c>
      <c r="N877">
        <v>1276.6650390625</v>
      </c>
      <c r="O877">
        <v>639.33979999999895</v>
      </c>
      <c r="P877">
        <v>1276.65637207031</v>
      </c>
      <c r="Q877">
        <v>639.33551025390602</v>
      </c>
      <c r="R877">
        <v>2</v>
      </c>
      <c r="S877">
        <v>5</v>
      </c>
      <c r="T877">
        <v>10</v>
      </c>
      <c r="U877">
        <v>37.142879999999899</v>
      </c>
      <c r="V877">
        <v>247410</v>
      </c>
    </row>
    <row r="878" spans="1:22" x14ac:dyDescent="0.25">
      <c r="A878" t="s">
        <v>3061</v>
      </c>
      <c r="B878" t="s">
        <v>3062</v>
      </c>
      <c r="C878">
        <v>141</v>
      </c>
      <c r="D878">
        <v>99</v>
      </c>
      <c r="E878">
        <v>99</v>
      </c>
      <c r="F878" t="s">
        <v>3063</v>
      </c>
      <c r="G878" t="s">
        <v>3063</v>
      </c>
      <c r="H878">
        <f t="shared" si="16"/>
        <v>16</v>
      </c>
      <c r="M878" s="1">
        <v>1.95964006707072E-3</v>
      </c>
      <c r="N878">
        <v>1161.65661621094</v>
      </c>
      <c r="O878">
        <v>581.8356</v>
      </c>
      <c r="P878">
        <v>1161.65466308594</v>
      </c>
      <c r="Q878">
        <v>581.83459472656205</v>
      </c>
      <c r="R878">
        <v>2</v>
      </c>
      <c r="S878">
        <v>7</v>
      </c>
      <c r="T878">
        <v>11</v>
      </c>
      <c r="U878">
        <v>45.5167</v>
      </c>
      <c r="V878">
        <v>2800792</v>
      </c>
    </row>
    <row r="879" spans="1:22" x14ac:dyDescent="0.25">
      <c r="A879" t="s">
        <v>3064</v>
      </c>
      <c r="B879" t="s">
        <v>3065</v>
      </c>
      <c r="C879">
        <v>255</v>
      </c>
      <c r="D879">
        <v>97.6</v>
      </c>
      <c r="E879">
        <v>97.57</v>
      </c>
      <c r="F879" t="s">
        <v>3066</v>
      </c>
      <c r="G879" t="s">
        <v>3066</v>
      </c>
      <c r="H879">
        <f t="shared" si="16"/>
        <v>14</v>
      </c>
      <c r="M879">
        <v>-3.2000000000000003E-4</v>
      </c>
      <c r="N879">
        <v>1276.65612792969</v>
      </c>
      <c r="O879">
        <v>639.33529999999905</v>
      </c>
      <c r="P879">
        <v>1276.65637207031</v>
      </c>
      <c r="Q879">
        <v>639.33551025390602</v>
      </c>
      <c r="R879">
        <v>2</v>
      </c>
      <c r="S879">
        <v>7</v>
      </c>
      <c r="T879">
        <v>10</v>
      </c>
      <c r="U879">
        <v>37.445529999999899</v>
      </c>
      <c r="V879">
        <v>2083714</v>
      </c>
    </row>
    <row r="880" spans="1:22" x14ac:dyDescent="0.25">
      <c r="A880" t="s">
        <v>3067</v>
      </c>
      <c r="B880" t="s">
        <v>3068</v>
      </c>
      <c r="C880">
        <v>241</v>
      </c>
      <c r="D880">
        <v>99</v>
      </c>
      <c r="E880">
        <v>99</v>
      </c>
      <c r="F880" t="s">
        <v>3069</v>
      </c>
      <c r="G880" t="s">
        <v>3069</v>
      </c>
      <c r="H880">
        <f t="shared" si="16"/>
        <v>14</v>
      </c>
      <c r="M880">
        <v>-1.407E-3</v>
      </c>
      <c r="N880">
        <v>1168.63391113281</v>
      </c>
      <c r="O880">
        <v>585.32420000000002</v>
      </c>
      <c r="P880">
        <v>1168.63525390625</v>
      </c>
      <c r="Q880">
        <v>585.324951171875</v>
      </c>
      <c r="R880">
        <v>2</v>
      </c>
      <c r="S880">
        <v>7</v>
      </c>
      <c r="T880">
        <v>11</v>
      </c>
      <c r="U880">
        <v>23.813230000000001</v>
      </c>
      <c r="V880">
        <v>190434200</v>
      </c>
    </row>
    <row r="881" spans="1:22" x14ac:dyDescent="0.25">
      <c r="A881" t="s">
        <v>3067</v>
      </c>
      <c r="B881" t="s">
        <v>3068</v>
      </c>
      <c r="C881">
        <v>240</v>
      </c>
      <c r="D881">
        <v>99</v>
      </c>
      <c r="E881">
        <v>99</v>
      </c>
      <c r="F881" t="s">
        <v>173</v>
      </c>
      <c r="G881" t="s">
        <v>173</v>
      </c>
      <c r="H881">
        <f t="shared" si="16"/>
        <v>15</v>
      </c>
      <c r="M881" s="1">
        <v>-1.64819997735322E-3</v>
      </c>
      <c r="N881">
        <v>1156.62243652344</v>
      </c>
      <c r="O881">
        <v>579.31849999999895</v>
      </c>
      <c r="P881">
        <v>1156.6240234375</v>
      </c>
      <c r="Q881">
        <v>579.3193359375</v>
      </c>
      <c r="R881">
        <v>2</v>
      </c>
      <c r="S881">
        <v>3</v>
      </c>
      <c r="T881">
        <v>14</v>
      </c>
      <c r="U881">
        <v>21.212800000000001</v>
      </c>
      <c r="V881">
        <v>1998257</v>
      </c>
    </row>
    <row r="882" spans="1:22" x14ac:dyDescent="0.25">
      <c r="A882" t="s">
        <v>3067</v>
      </c>
      <c r="B882" t="s">
        <v>3068</v>
      </c>
      <c r="C882">
        <v>240</v>
      </c>
      <c r="D882">
        <v>98.8</v>
      </c>
      <c r="E882">
        <v>98.79</v>
      </c>
      <c r="F882" t="s">
        <v>173</v>
      </c>
      <c r="G882" t="s">
        <v>173</v>
      </c>
      <c r="H882">
        <f t="shared" si="16"/>
        <v>15</v>
      </c>
      <c r="L882" t="s">
        <v>3070</v>
      </c>
      <c r="M882" s="1">
        <v>1.64679996669291E-3</v>
      </c>
      <c r="N882">
        <v>1127.541015625</v>
      </c>
      <c r="O882">
        <v>564.77779999999905</v>
      </c>
      <c r="P882">
        <v>1127.53930664063</v>
      </c>
      <c r="Q882">
        <v>564.77697753906205</v>
      </c>
      <c r="R882">
        <v>2</v>
      </c>
      <c r="S882">
        <v>1</v>
      </c>
      <c r="T882">
        <v>10</v>
      </c>
      <c r="U882">
        <v>21.715070000000001</v>
      </c>
      <c r="V882">
        <v>256715</v>
      </c>
    </row>
    <row r="883" spans="1:22" x14ac:dyDescent="0.25">
      <c r="A883" t="s">
        <v>1206</v>
      </c>
      <c r="B883" t="s">
        <v>1207</v>
      </c>
      <c r="C883">
        <v>144</v>
      </c>
      <c r="D883">
        <v>98.6</v>
      </c>
      <c r="E883">
        <v>98.64</v>
      </c>
      <c r="F883" t="s">
        <v>1208</v>
      </c>
      <c r="G883" t="s">
        <v>1208</v>
      </c>
      <c r="H883">
        <f t="shared" si="16"/>
        <v>16</v>
      </c>
      <c r="M883" s="1">
        <v>-6.7163800122216301E-4</v>
      </c>
      <c r="N883">
        <v>1156.62341308594</v>
      </c>
      <c r="O883">
        <v>579.31899999999905</v>
      </c>
      <c r="P883">
        <v>1156.6240234375</v>
      </c>
      <c r="Q883">
        <v>579.3193359375</v>
      </c>
      <c r="R883">
        <v>2</v>
      </c>
      <c r="S883">
        <v>1</v>
      </c>
      <c r="T883">
        <v>11</v>
      </c>
      <c r="U883">
        <v>21.1836699999999</v>
      </c>
      <c r="V883">
        <v>293946.7</v>
      </c>
    </row>
    <row r="884" spans="1:22" x14ac:dyDescent="0.25">
      <c r="A884" t="s">
        <v>1206</v>
      </c>
      <c r="B884" t="s">
        <v>1207</v>
      </c>
      <c r="C884">
        <v>153</v>
      </c>
      <c r="D884">
        <v>97.7</v>
      </c>
      <c r="E884">
        <v>97.65</v>
      </c>
      <c r="F884" t="s">
        <v>1209</v>
      </c>
      <c r="G884" t="s">
        <v>1209</v>
      </c>
      <c r="H884">
        <f t="shared" si="16"/>
        <v>17</v>
      </c>
      <c r="M884" s="1">
        <v>-3.1984399538487201E-4</v>
      </c>
      <c r="N884">
        <v>1240.6826171875</v>
      </c>
      <c r="O884">
        <v>621.34860000000003</v>
      </c>
      <c r="P884">
        <v>1240.68286132813</v>
      </c>
      <c r="Q884">
        <v>621.34875488281205</v>
      </c>
      <c r="R884">
        <v>2</v>
      </c>
      <c r="S884">
        <v>7</v>
      </c>
      <c r="T884">
        <v>10</v>
      </c>
      <c r="U884">
        <v>23.369969999999899</v>
      </c>
      <c r="V884">
        <v>1703913</v>
      </c>
    </row>
    <row r="885" spans="1:22" x14ac:dyDescent="0.25">
      <c r="A885" t="s">
        <v>1843</v>
      </c>
      <c r="B885" t="s">
        <v>1844</v>
      </c>
      <c r="C885">
        <v>67</v>
      </c>
      <c r="D885">
        <v>99</v>
      </c>
      <c r="E885">
        <v>99</v>
      </c>
      <c r="F885" t="s">
        <v>1845</v>
      </c>
      <c r="G885" t="s">
        <v>1845</v>
      </c>
      <c r="H885">
        <f t="shared" si="16"/>
        <v>13</v>
      </c>
      <c r="M885" s="1">
        <v>-3.1984399538487201E-4</v>
      </c>
      <c r="N885">
        <v>1240.6826171875</v>
      </c>
      <c r="O885">
        <v>621.34860000000003</v>
      </c>
      <c r="P885">
        <v>1240.68286132813</v>
      </c>
      <c r="Q885">
        <v>621.34875488281205</v>
      </c>
      <c r="R885">
        <v>2</v>
      </c>
      <c r="S885">
        <v>6</v>
      </c>
      <c r="T885">
        <v>10</v>
      </c>
      <c r="U885">
        <v>22.929320000000001</v>
      </c>
      <c r="V885">
        <v>612233.19999999902</v>
      </c>
    </row>
    <row r="886" spans="1:22" x14ac:dyDescent="0.25">
      <c r="A886" t="s">
        <v>128</v>
      </c>
      <c r="B886" t="s">
        <v>129</v>
      </c>
      <c r="C886">
        <v>45</v>
      </c>
      <c r="D886">
        <v>98.4</v>
      </c>
      <c r="E886">
        <v>98.36</v>
      </c>
      <c r="F886" t="s">
        <v>130</v>
      </c>
      <c r="G886" t="s">
        <v>130</v>
      </c>
      <c r="H886">
        <f t="shared" si="16"/>
        <v>9</v>
      </c>
      <c r="M886" s="1">
        <v>7.7800801955163401E-3</v>
      </c>
      <c r="N886">
        <v>1241.66687011719</v>
      </c>
      <c r="O886">
        <v>621.84069999999895</v>
      </c>
      <c r="P886">
        <v>1241.65905761719</v>
      </c>
      <c r="Q886">
        <v>621.83679199218705</v>
      </c>
      <c r="R886">
        <v>2</v>
      </c>
      <c r="S886">
        <v>2</v>
      </c>
      <c r="T886">
        <v>11</v>
      </c>
      <c r="U886">
        <v>39.618180000000002</v>
      </c>
      <c r="V886">
        <v>218305.7</v>
      </c>
    </row>
    <row r="887" spans="1:22" x14ac:dyDescent="0.25">
      <c r="A887" t="s">
        <v>128</v>
      </c>
      <c r="B887" t="s">
        <v>129</v>
      </c>
      <c r="C887">
        <v>45</v>
      </c>
      <c r="D887">
        <v>99</v>
      </c>
      <c r="E887">
        <v>99</v>
      </c>
      <c r="F887" t="s">
        <v>126</v>
      </c>
      <c r="G887" t="s">
        <v>126</v>
      </c>
      <c r="H887">
        <f t="shared" si="16"/>
        <v>10</v>
      </c>
      <c r="M887" s="1">
        <v>1.31626997608691E-3</v>
      </c>
      <c r="N887">
        <v>1165.61450195313</v>
      </c>
      <c r="O887">
        <v>583.81449999999904</v>
      </c>
      <c r="P887">
        <v>1165.61315917969</v>
      </c>
      <c r="Q887">
        <v>583.81384277343705</v>
      </c>
      <c r="R887">
        <v>2</v>
      </c>
      <c r="S887">
        <v>4</v>
      </c>
      <c r="T887">
        <v>10</v>
      </c>
      <c r="U887">
        <v>40.12265</v>
      </c>
      <c r="V887">
        <v>1098528</v>
      </c>
    </row>
    <row r="888" spans="1:22" x14ac:dyDescent="0.25">
      <c r="A888" t="s">
        <v>128</v>
      </c>
      <c r="B888" t="s">
        <v>129</v>
      </c>
      <c r="C888">
        <v>45</v>
      </c>
      <c r="D888">
        <v>99</v>
      </c>
      <c r="E888">
        <v>99</v>
      </c>
      <c r="F888" t="s">
        <v>126</v>
      </c>
      <c r="G888" t="s">
        <v>126</v>
      </c>
      <c r="H888">
        <f t="shared" si="16"/>
        <v>10</v>
      </c>
      <c r="L888" t="s">
        <v>127</v>
      </c>
      <c r="M888" s="1">
        <v>-1.1014900170266601E-2</v>
      </c>
      <c r="N888">
        <v>1041.50549316406</v>
      </c>
      <c r="O888">
        <v>521.76</v>
      </c>
      <c r="P888">
        <v>1041.51647949219</v>
      </c>
      <c r="Q888">
        <v>521.76550292968705</v>
      </c>
      <c r="R888">
        <v>2</v>
      </c>
      <c r="S888">
        <v>2</v>
      </c>
      <c r="T888">
        <v>13</v>
      </c>
      <c r="U888">
        <v>19.7642799999999</v>
      </c>
      <c r="V888">
        <v>491835.7</v>
      </c>
    </row>
    <row r="889" spans="1:22" x14ac:dyDescent="0.25">
      <c r="A889" t="s">
        <v>128</v>
      </c>
      <c r="B889" t="s">
        <v>129</v>
      </c>
      <c r="C889">
        <v>45</v>
      </c>
      <c r="D889">
        <v>99</v>
      </c>
      <c r="E889">
        <v>99</v>
      </c>
      <c r="F889" t="s">
        <v>1218</v>
      </c>
      <c r="G889" t="s">
        <v>1218</v>
      </c>
      <c r="H889">
        <f t="shared" si="16"/>
        <v>11</v>
      </c>
      <c r="L889" t="s">
        <v>127</v>
      </c>
      <c r="M889" s="1">
        <v>-3.0867899768054399E-3</v>
      </c>
      <c r="N889">
        <v>1171.60021972656</v>
      </c>
      <c r="O889">
        <v>586.80740000000003</v>
      </c>
      <c r="P889">
        <v>1171.60327148438</v>
      </c>
      <c r="Q889">
        <v>586.80889892578102</v>
      </c>
      <c r="R889">
        <v>2</v>
      </c>
      <c r="S889">
        <v>2</v>
      </c>
      <c r="T889">
        <v>12</v>
      </c>
      <c r="U889">
        <v>18.089500000000001</v>
      </c>
      <c r="V889">
        <v>864409.9</v>
      </c>
    </row>
    <row r="890" spans="1:22" x14ac:dyDescent="0.25">
      <c r="A890" t="s">
        <v>1154</v>
      </c>
      <c r="B890" t="s">
        <v>1155</v>
      </c>
      <c r="C890">
        <v>170</v>
      </c>
      <c r="D890">
        <v>99</v>
      </c>
      <c r="E890">
        <v>99</v>
      </c>
      <c r="F890" t="s">
        <v>1156</v>
      </c>
      <c r="G890" t="s">
        <v>1156</v>
      </c>
      <c r="H890">
        <f t="shared" si="16"/>
        <v>14</v>
      </c>
      <c r="M890" s="1">
        <v>4.0577799081802403E-3</v>
      </c>
      <c r="N890">
        <v>1183.54064941406</v>
      </c>
      <c r="O890">
        <v>592.77760000000001</v>
      </c>
      <c r="P890">
        <v>1183.53662109375</v>
      </c>
      <c r="Q890">
        <v>592.77557373046795</v>
      </c>
      <c r="R890">
        <v>2</v>
      </c>
      <c r="S890">
        <v>5</v>
      </c>
      <c r="T890">
        <v>11</v>
      </c>
      <c r="U890">
        <v>25.686070000000001</v>
      </c>
      <c r="V890">
        <v>616796.9</v>
      </c>
    </row>
    <row r="891" spans="1:22" x14ac:dyDescent="0.25">
      <c r="A891" t="s">
        <v>1157</v>
      </c>
      <c r="B891" t="s">
        <v>1158</v>
      </c>
      <c r="C891">
        <v>67</v>
      </c>
      <c r="D891">
        <v>99</v>
      </c>
      <c r="E891">
        <v>99</v>
      </c>
      <c r="F891" t="s">
        <v>1159</v>
      </c>
      <c r="G891" t="s">
        <v>1159</v>
      </c>
      <c r="H891">
        <f t="shared" si="16"/>
        <v>13</v>
      </c>
      <c r="M891" s="1">
        <v>4.6681300736963601E-3</v>
      </c>
      <c r="N891">
        <v>1183.54125976563</v>
      </c>
      <c r="O891">
        <v>592.77790000000005</v>
      </c>
      <c r="P891">
        <v>1183.53662109375</v>
      </c>
      <c r="Q891">
        <v>592.77557373046795</v>
      </c>
      <c r="R891">
        <v>2</v>
      </c>
      <c r="S891">
        <v>3</v>
      </c>
      <c r="T891">
        <v>12</v>
      </c>
      <c r="U891">
        <v>25.633199999999899</v>
      </c>
      <c r="V891">
        <v>1760313</v>
      </c>
    </row>
    <row r="892" spans="1:22" x14ac:dyDescent="0.25">
      <c r="A892" t="s">
        <v>2703</v>
      </c>
      <c r="B892" t="s">
        <v>2704</v>
      </c>
      <c r="C892">
        <v>1231</v>
      </c>
      <c r="D892">
        <v>98.1</v>
      </c>
      <c r="E892">
        <v>98.08</v>
      </c>
      <c r="F892" t="s">
        <v>2705</v>
      </c>
      <c r="G892" t="s">
        <v>2705</v>
      </c>
      <c r="H892">
        <f t="shared" si="16"/>
        <v>9</v>
      </c>
      <c r="M892" s="1">
        <v>1.4729899703525001E-4</v>
      </c>
      <c r="N892">
        <v>1232.60852050781</v>
      </c>
      <c r="O892">
        <v>411.8768</v>
      </c>
      <c r="P892">
        <v>1232.6083984375</v>
      </c>
      <c r="Q892">
        <v>411.87673950195301</v>
      </c>
      <c r="R892">
        <v>3</v>
      </c>
      <c r="S892">
        <v>1</v>
      </c>
      <c r="T892">
        <v>11</v>
      </c>
      <c r="U892">
        <v>22.082719999999899</v>
      </c>
      <c r="V892">
        <v>2816995</v>
      </c>
    </row>
    <row r="893" spans="1:22" x14ac:dyDescent="0.25">
      <c r="A893" t="s">
        <v>2703</v>
      </c>
      <c r="B893" t="s">
        <v>2704</v>
      </c>
      <c r="C893">
        <v>1337</v>
      </c>
      <c r="D893">
        <v>97.9</v>
      </c>
      <c r="E893">
        <v>97.88</v>
      </c>
      <c r="F893" t="s">
        <v>241</v>
      </c>
      <c r="G893" t="s">
        <v>241</v>
      </c>
      <c r="H893">
        <f t="shared" si="16"/>
        <v>9</v>
      </c>
      <c r="M893" s="1">
        <v>1.2619999470189201E-3</v>
      </c>
      <c r="N893">
        <v>1134.64501953125</v>
      </c>
      <c r="O893">
        <v>568.32979999999895</v>
      </c>
      <c r="P893">
        <v>1134.64367675781</v>
      </c>
      <c r="Q893">
        <v>568.32916259765602</v>
      </c>
      <c r="R893">
        <v>2</v>
      </c>
      <c r="S893">
        <v>3</v>
      </c>
      <c r="T893">
        <v>11</v>
      </c>
      <c r="U893">
        <v>54.659320000000001</v>
      </c>
      <c r="V893">
        <v>340186.6</v>
      </c>
    </row>
    <row r="894" spans="1:22" x14ac:dyDescent="0.25">
      <c r="A894" t="s">
        <v>391</v>
      </c>
      <c r="B894" t="s">
        <v>661</v>
      </c>
      <c r="C894">
        <v>335</v>
      </c>
      <c r="D894">
        <v>99</v>
      </c>
      <c r="E894">
        <v>99</v>
      </c>
      <c r="F894" t="s">
        <v>392</v>
      </c>
      <c r="G894" t="s">
        <v>392</v>
      </c>
      <c r="H894">
        <f t="shared" si="16"/>
        <v>9</v>
      </c>
      <c r="M894" s="1">
        <v>8.95793025847523E-4</v>
      </c>
      <c r="N894">
        <v>1134.64465332031</v>
      </c>
      <c r="O894">
        <v>568.32960000000003</v>
      </c>
      <c r="P894">
        <v>1134.64367675781</v>
      </c>
      <c r="Q894">
        <v>568.32916259765602</v>
      </c>
      <c r="R894">
        <v>2</v>
      </c>
      <c r="S894">
        <v>3</v>
      </c>
      <c r="T894">
        <v>10</v>
      </c>
      <c r="U894">
        <v>54.97513</v>
      </c>
      <c r="V894">
        <v>3169220</v>
      </c>
    </row>
    <row r="895" spans="1:22" x14ac:dyDescent="0.25">
      <c r="A895" t="s">
        <v>478</v>
      </c>
      <c r="B895" t="s">
        <v>479</v>
      </c>
      <c r="C895">
        <v>1498</v>
      </c>
      <c r="D895">
        <v>97.2</v>
      </c>
      <c r="E895">
        <v>97.17</v>
      </c>
      <c r="F895" t="s">
        <v>480</v>
      </c>
      <c r="G895" t="s">
        <v>480</v>
      </c>
      <c r="H895">
        <f t="shared" si="16"/>
        <v>13</v>
      </c>
      <c r="M895" s="1">
        <v>3.4032498952001199E-3</v>
      </c>
      <c r="N895">
        <v>1205.58630371094</v>
      </c>
      <c r="O895">
        <v>402.86939999999902</v>
      </c>
      <c r="P895">
        <v>1205.58288574219</v>
      </c>
      <c r="Q895">
        <v>402.86825561523301</v>
      </c>
      <c r="R895">
        <v>3</v>
      </c>
      <c r="S895">
        <v>5</v>
      </c>
      <c r="T895">
        <v>12</v>
      </c>
      <c r="U895">
        <v>30.120920000000002</v>
      </c>
      <c r="V895">
        <v>1357772</v>
      </c>
    </row>
    <row r="896" spans="1:22" x14ac:dyDescent="0.25">
      <c r="A896" t="s">
        <v>4329</v>
      </c>
      <c r="B896" t="s">
        <v>4330</v>
      </c>
      <c r="C896">
        <v>80</v>
      </c>
      <c r="D896">
        <v>99</v>
      </c>
      <c r="E896">
        <v>99</v>
      </c>
      <c r="F896" t="s">
        <v>4331</v>
      </c>
      <c r="G896" t="s">
        <v>4331</v>
      </c>
      <c r="H896">
        <f t="shared" si="16"/>
        <v>16</v>
      </c>
      <c r="M896" s="1">
        <v>2.5792799424379999E-3</v>
      </c>
      <c r="N896">
        <v>1205.58544921875</v>
      </c>
      <c r="O896">
        <v>402.8691</v>
      </c>
      <c r="P896">
        <v>1205.58288574219</v>
      </c>
      <c r="Q896">
        <v>402.86825561523301</v>
      </c>
      <c r="R896">
        <v>3</v>
      </c>
      <c r="S896">
        <v>3</v>
      </c>
      <c r="T896">
        <v>11</v>
      </c>
      <c r="U896">
        <v>30.19387</v>
      </c>
      <c r="V896">
        <v>624882</v>
      </c>
    </row>
    <row r="897" spans="1:22" x14ac:dyDescent="0.25">
      <c r="A897" t="s">
        <v>3017</v>
      </c>
      <c r="B897" t="s">
        <v>3018</v>
      </c>
      <c r="C897">
        <v>246</v>
      </c>
      <c r="D897">
        <v>99</v>
      </c>
      <c r="E897">
        <v>99</v>
      </c>
      <c r="F897" t="s">
        <v>3019</v>
      </c>
      <c r="G897" t="s">
        <v>3019</v>
      </c>
      <c r="H897">
        <f t="shared" si="16"/>
        <v>12</v>
      </c>
      <c r="M897" s="1">
        <v>3.3711099531501501E-3</v>
      </c>
      <c r="N897">
        <v>984.54266357421795</v>
      </c>
      <c r="O897">
        <v>493.27859999999902</v>
      </c>
      <c r="P897">
        <v>984.53924560546795</v>
      </c>
      <c r="Q897">
        <v>493.27691650390602</v>
      </c>
      <c r="R897">
        <v>2</v>
      </c>
      <c r="S897">
        <v>2</v>
      </c>
      <c r="T897">
        <v>10</v>
      </c>
      <c r="U897">
        <v>25.445329999999899</v>
      </c>
      <c r="V897">
        <v>12542830</v>
      </c>
    </row>
    <row r="898" spans="1:22" x14ac:dyDescent="0.25">
      <c r="A898" t="s">
        <v>643</v>
      </c>
      <c r="B898" t="s">
        <v>644</v>
      </c>
      <c r="C898">
        <v>927</v>
      </c>
      <c r="D898">
        <v>98.2</v>
      </c>
      <c r="E898">
        <v>98.21</v>
      </c>
      <c r="F898" t="s">
        <v>645</v>
      </c>
      <c r="G898" t="s">
        <v>645</v>
      </c>
      <c r="H898">
        <f t="shared" si="16"/>
        <v>9</v>
      </c>
      <c r="M898" s="1">
        <v>4.8298002220690302E-3</v>
      </c>
      <c r="N898">
        <v>1120.61901855469</v>
      </c>
      <c r="O898">
        <v>561.31679999999903</v>
      </c>
      <c r="P898">
        <v>1120.61413574219</v>
      </c>
      <c r="Q898">
        <v>561.31433105468705</v>
      </c>
      <c r="R898">
        <v>2</v>
      </c>
      <c r="S898">
        <v>1</v>
      </c>
      <c r="T898">
        <v>10</v>
      </c>
      <c r="U898">
        <v>26.802250000000001</v>
      </c>
      <c r="V898">
        <v>657577.30000000005</v>
      </c>
    </row>
    <row r="899" spans="1:22" x14ac:dyDescent="0.25">
      <c r="A899" t="s">
        <v>643</v>
      </c>
      <c r="B899" t="s">
        <v>644</v>
      </c>
      <c r="C899">
        <v>895</v>
      </c>
      <c r="D899">
        <v>98.9</v>
      </c>
      <c r="E899">
        <v>98.94</v>
      </c>
      <c r="F899" t="s">
        <v>2066</v>
      </c>
      <c r="G899" t="s">
        <v>2066</v>
      </c>
      <c r="H899">
        <f t="shared" ref="H899:H962" si="17">LEN(G899)</f>
        <v>9</v>
      </c>
      <c r="M899" s="1">
        <v>4.4635902158915901E-3</v>
      </c>
      <c r="N899">
        <v>1120.61865234375</v>
      </c>
      <c r="O899">
        <v>561.31659999999897</v>
      </c>
      <c r="P899">
        <v>1120.61413574219</v>
      </c>
      <c r="Q899">
        <v>561.31433105468705</v>
      </c>
      <c r="R899">
        <v>2</v>
      </c>
      <c r="S899">
        <v>1</v>
      </c>
      <c r="T899">
        <v>9</v>
      </c>
      <c r="U899">
        <v>26.823730000000001</v>
      </c>
      <c r="V899">
        <v>798417.7</v>
      </c>
    </row>
    <row r="900" spans="1:22" x14ac:dyDescent="0.25">
      <c r="A900" t="s">
        <v>929</v>
      </c>
      <c r="B900" t="s">
        <v>930</v>
      </c>
      <c r="C900">
        <v>617</v>
      </c>
      <c r="D900">
        <v>99</v>
      </c>
      <c r="E900">
        <v>99</v>
      </c>
      <c r="F900" t="s">
        <v>931</v>
      </c>
      <c r="G900" t="s">
        <v>931</v>
      </c>
      <c r="H900">
        <f t="shared" si="17"/>
        <v>16</v>
      </c>
      <c r="M900" s="1">
        <v>2.2692501079291101E-3</v>
      </c>
      <c r="N900">
        <v>1060.60522460938</v>
      </c>
      <c r="O900">
        <v>531.30989999999895</v>
      </c>
      <c r="P900">
        <v>1060.60290527344</v>
      </c>
      <c r="Q900">
        <v>531.30871582031205</v>
      </c>
      <c r="R900">
        <v>2</v>
      </c>
      <c r="S900">
        <v>1</v>
      </c>
      <c r="T900">
        <v>11</v>
      </c>
      <c r="U900">
        <v>34.793120000000002</v>
      </c>
      <c r="V900">
        <v>1410186</v>
      </c>
    </row>
    <row r="901" spans="1:22" x14ac:dyDescent="0.25">
      <c r="A901" t="s">
        <v>929</v>
      </c>
      <c r="B901" t="s">
        <v>930</v>
      </c>
      <c r="C901">
        <v>618</v>
      </c>
      <c r="D901">
        <v>99</v>
      </c>
      <c r="E901">
        <v>99</v>
      </c>
      <c r="F901" t="s">
        <v>932</v>
      </c>
      <c r="G901" t="s">
        <v>932</v>
      </c>
      <c r="H901">
        <f t="shared" si="17"/>
        <v>14</v>
      </c>
      <c r="M901" s="1">
        <v>6.18633988779037E-4</v>
      </c>
      <c r="N901">
        <v>1162.60290527344</v>
      </c>
      <c r="O901">
        <v>582.30870000000004</v>
      </c>
      <c r="P901">
        <v>1162.60229492188</v>
      </c>
      <c r="Q901">
        <v>582.30841064453102</v>
      </c>
      <c r="R901">
        <v>2</v>
      </c>
      <c r="S901">
        <v>7</v>
      </c>
      <c r="T901">
        <v>11</v>
      </c>
      <c r="U901">
        <v>42.948520000000002</v>
      </c>
      <c r="V901">
        <v>1106611</v>
      </c>
    </row>
    <row r="902" spans="1:22" x14ac:dyDescent="0.25">
      <c r="A902" t="s">
        <v>929</v>
      </c>
      <c r="B902" t="s">
        <v>930</v>
      </c>
      <c r="C902">
        <v>617</v>
      </c>
      <c r="D902">
        <v>99</v>
      </c>
      <c r="E902">
        <v>99</v>
      </c>
      <c r="F902" t="s">
        <v>933</v>
      </c>
      <c r="G902" t="s">
        <v>933</v>
      </c>
      <c r="H902">
        <f t="shared" si="17"/>
        <v>15</v>
      </c>
      <c r="M902" s="1">
        <v>6.35593989863992E-3</v>
      </c>
      <c r="N902">
        <v>1162.60864257813</v>
      </c>
      <c r="O902">
        <v>582.3116</v>
      </c>
      <c r="P902">
        <v>1162.60229492188</v>
      </c>
      <c r="Q902">
        <v>582.30841064453102</v>
      </c>
      <c r="R902">
        <v>2</v>
      </c>
      <c r="S902">
        <v>5</v>
      </c>
      <c r="T902">
        <v>9</v>
      </c>
      <c r="U902">
        <v>42.491950000000003</v>
      </c>
      <c r="V902">
        <v>490107.8</v>
      </c>
    </row>
    <row r="903" spans="1:22" x14ac:dyDescent="0.25">
      <c r="A903" t="s">
        <v>4332</v>
      </c>
      <c r="B903" t="s">
        <v>4333</v>
      </c>
      <c r="C903">
        <v>105</v>
      </c>
      <c r="D903">
        <v>98.9</v>
      </c>
      <c r="E903">
        <v>98.9</v>
      </c>
      <c r="F903" t="s">
        <v>4334</v>
      </c>
      <c r="G903" t="s">
        <v>4334</v>
      </c>
      <c r="H903">
        <f t="shared" si="17"/>
        <v>9</v>
      </c>
      <c r="M903" s="1">
        <v>5.6364899501204404E-3</v>
      </c>
      <c r="N903">
        <v>1484.73901367188</v>
      </c>
      <c r="O903">
        <v>743.3768</v>
      </c>
      <c r="P903">
        <v>1484.7333984375</v>
      </c>
      <c r="Q903">
        <v>743.37396240234295</v>
      </c>
      <c r="R903">
        <v>2</v>
      </c>
      <c r="S903">
        <v>1</v>
      </c>
      <c r="T903">
        <v>12</v>
      </c>
      <c r="U903">
        <v>44.749679999999898</v>
      </c>
      <c r="V903">
        <v>57858.61</v>
      </c>
    </row>
    <row r="904" spans="1:22" x14ac:dyDescent="0.25">
      <c r="A904" t="s">
        <v>4637</v>
      </c>
      <c r="B904" t="s">
        <v>4638</v>
      </c>
      <c r="C904">
        <v>96</v>
      </c>
      <c r="D904">
        <v>99</v>
      </c>
      <c r="E904">
        <v>99</v>
      </c>
      <c r="F904" t="s">
        <v>4639</v>
      </c>
      <c r="G904" t="s">
        <v>4639</v>
      </c>
      <c r="H904">
        <f t="shared" si="17"/>
        <v>17</v>
      </c>
      <c r="M904" s="1">
        <v>2.0964499562978701E-3</v>
      </c>
      <c r="N904">
        <v>1484.73547363281</v>
      </c>
      <c r="O904">
        <v>743.375</v>
      </c>
      <c r="P904">
        <v>1484.7333984375</v>
      </c>
      <c r="Q904">
        <v>743.37396240234295</v>
      </c>
      <c r="R904">
        <v>2</v>
      </c>
      <c r="S904">
        <v>1</v>
      </c>
      <c r="T904">
        <v>9</v>
      </c>
      <c r="U904">
        <v>44.855350000000001</v>
      </c>
      <c r="V904">
        <v>48316.79</v>
      </c>
    </row>
    <row r="905" spans="1:22" x14ac:dyDescent="0.25">
      <c r="A905" t="s">
        <v>1150</v>
      </c>
      <c r="B905" t="s">
        <v>1151</v>
      </c>
      <c r="C905">
        <v>80</v>
      </c>
      <c r="D905">
        <v>97.1</v>
      </c>
      <c r="E905">
        <v>97.05</v>
      </c>
      <c r="F905" t="s">
        <v>1152</v>
      </c>
      <c r="G905" t="s">
        <v>1152</v>
      </c>
      <c r="H905">
        <f t="shared" si="17"/>
        <v>15</v>
      </c>
      <c r="L905" t="s">
        <v>1153</v>
      </c>
      <c r="M905" s="1">
        <v>-1.2336299987509699E-3</v>
      </c>
      <c r="N905">
        <v>1079.64392089844</v>
      </c>
      <c r="O905">
        <v>540.82920000000001</v>
      </c>
      <c r="P905">
        <v>1079.64514160156</v>
      </c>
      <c r="Q905">
        <v>540.829833984375</v>
      </c>
      <c r="R905">
        <v>2</v>
      </c>
      <c r="S905">
        <v>2</v>
      </c>
      <c r="T905">
        <v>12</v>
      </c>
      <c r="U905">
        <v>42.848869999999899</v>
      </c>
      <c r="V905">
        <v>1123915</v>
      </c>
    </row>
    <row r="906" spans="1:22" x14ac:dyDescent="0.25">
      <c r="A906" t="s">
        <v>4151</v>
      </c>
      <c r="B906" t="s">
        <v>4152</v>
      </c>
      <c r="C906">
        <v>336</v>
      </c>
      <c r="D906">
        <v>97.6</v>
      </c>
      <c r="E906">
        <v>97.56</v>
      </c>
      <c r="F906" t="s">
        <v>488</v>
      </c>
      <c r="G906" t="s">
        <v>488</v>
      </c>
      <c r="H906">
        <f t="shared" si="17"/>
        <v>9</v>
      </c>
      <c r="M906" s="1">
        <v>4.3703499250113903E-3</v>
      </c>
      <c r="N906">
        <v>1881.00012207031</v>
      </c>
      <c r="O906">
        <v>628.00729999999896</v>
      </c>
      <c r="P906">
        <v>1880.99572753906</v>
      </c>
      <c r="Q906">
        <v>628.005859375</v>
      </c>
      <c r="R906">
        <v>3</v>
      </c>
      <c r="S906">
        <v>2</v>
      </c>
      <c r="T906">
        <v>9</v>
      </c>
      <c r="U906">
        <v>48.749850000000002</v>
      </c>
      <c r="V906">
        <v>250895.3</v>
      </c>
    </row>
    <row r="907" spans="1:22" x14ac:dyDescent="0.25">
      <c r="A907" t="s">
        <v>701</v>
      </c>
      <c r="B907" t="s">
        <v>702</v>
      </c>
      <c r="C907">
        <v>83</v>
      </c>
      <c r="D907">
        <v>98.7</v>
      </c>
      <c r="E907">
        <v>98.7</v>
      </c>
      <c r="F907" t="s">
        <v>703</v>
      </c>
      <c r="G907" t="s">
        <v>703</v>
      </c>
      <c r="H907">
        <f t="shared" si="17"/>
        <v>14</v>
      </c>
      <c r="M907" s="1">
        <v>1.7187499906867599E-3</v>
      </c>
      <c r="N907">
        <v>1139.578125</v>
      </c>
      <c r="O907">
        <v>570.79629999999895</v>
      </c>
      <c r="P907">
        <v>1139.57641601563</v>
      </c>
      <c r="Q907">
        <v>570.79547119140602</v>
      </c>
      <c r="R907">
        <v>2</v>
      </c>
      <c r="S907">
        <v>3</v>
      </c>
      <c r="T907">
        <v>11</v>
      </c>
      <c r="U907">
        <v>44.558779999999899</v>
      </c>
      <c r="V907">
        <v>654953.80000000005</v>
      </c>
    </row>
    <row r="908" spans="1:22" x14ac:dyDescent="0.25">
      <c r="A908" t="s">
        <v>701</v>
      </c>
      <c r="B908" t="s">
        <v>702</v>
      </c>
      <c r="C908">
        <v>83</v>
      </c>
      <c r="D908">
        <v>99</v>
      </c>
      <c r="E908">
        <v>99</v>
      </c>
      <c r="F908" t="s">
        <v>704</v>
      </c>
      <c r="G908" t="s">
        <v>704</v>
      </c>
      <c r="H908">
        <f t="shared" si="17"/>
        <v>15</v>
      </c>
      <c r="M908" s="1">
        <v>4.5348700950853402E-4</v>
      </c>
      <c r="N908">
        <v>1207.6064453125</v>
      </c>
      <c r="O908">
        <v>604.81050000000005</v>
      </c>
      <c r="P908">
        <v>1207.60595703125</v>
      </c>
      <c r="Q908">
        <v>604.81024169921795</v>
      </c>
      <c r="R908">
        <v>2</v>
      </c>
      <c r="S908">
        <v>1</v>
      </c>
      <c r="T908">
        <v>11</v>
      </c>
      <c r="U908">
        <v>30.532969999999899</v>
      </c>
      <c r="V908">
        <v>7367692</v>
      </c>
    </row>
    <row r="909" spans="1:22" x14ac:dyDescent="0.25">
      <c r="A909" t="s">
        <v>701</v>
      </c>
      <c r="B909" t="s">
        <v>702</v>
      </c>
      <c r="C909">
        <v>83</v>
      </c>
      <c r="D909">
        <v>99</v>
      </c>
      <c r="E909">
        <v>99</v>
      </c>
      <c r="F909" t="s">
        <v>705</v>
      </c>
      <c r="G909" t="s">
        <v>705</v>
      </c>
      <c r="H909">
        <f t="shared" si="17"/>
        <v>16</v>
      </c>
      <c r="M909" s="1">
        <v>1.2301900424063099E-3</v>
      </c>
      <c r="N909">
        <v>1221.61547851563</v>
      </c>
      <c r="O909">
        <v>611.81500000000005</v>
      </c>
      <c r="P909">
        <v>1221.6142578125</v>
      </c>
      <c r="Q909">
        <v>611.81439208984295</v>
      </c>
      <c r="R909">
        <v>2</v>
      </c>
      <c r="S909">
        <v>6</v>
      </c>
      <c r="T909">
        <v>15</v>
      </c>
      <c r="U909">
        <v>29.280930000000001</v>
      </c>
      <c r="V909">
        <v>2386391</v>
      </c>
    </row>
    <row r="910" spans="1:22" x14ac:dyDescent="0.25">
      <c r="A910" t="s">
        <v>687</v>
      </c>
      <c r="B910" t="s">
        <v>688</v>
      </c>
      <c r="C910">
        <v>947</v>
      </c>
      <c r="D910">
        <v>97.3</v>
      </c>
      <c r="E910">
        <v>97.27</v>
      </c>
      <c r="F910" t="s">
        <v>689</v>
      </c>
      <c r="G910" t="s">
        <v>689</v>
      </c>
      <c r="H910">
        <f t="shared" si="17"/>
        <v>9</v>
      </c>
      <c r="M910" s="1">
        <v>9.8605302628129591E-4</v>
      </c>
      <c r="N910">
        <v>1221.615234375</v>
      </c>
      <c r="O910">
        <v>611.81489999999906</v>
      </c>
      <c r="P910">
        <v>1221.6142578125</v>
      </c>
      <c r="Q910">
        <v>611.81439208984295</v>
      </c>
      <c r="R910">
        <v>2</v>
      </c>
      <c r="S910">
        <v>5</v>
      </c>
      <c r="T910">
        <v>13</v>
      </c>
      <c r="U910">
        <v>29.442799999999899</v>
      </c>
      <c r="V910">
        <v>8820482</v>
      </c>
    </row>
    <row r="911" spans="1:22" x14ac:dyDescent="0.25">
      <c r="A911" t="s">
        <v>687</v>
      </c>
      <c r="B911" t="s">
        <v>688</v>
      </c>
      <c r="C911">
        <v>2</v>
      </c>
      <c r="D911">
        <v>97.1</v>
      </c>
      <c r="E911">
        <v>97.13</v>
      </c>
      <c r="F911" t="s">
        <v>690</v>
      </c>
      <c r="G911" t="s">
        <v>690</v>
      </c>
      <c r="H911">
        <f t="shared" si="17"/>
        <v>11</v>
      </c>
      <c r="L911" t="s">
        <v>227</v>
      </c>
      <c r="M911" s="1">
        <v>1.12789003178476E-2</v>
      </c>
      <c r="N911">
        <v>1984.90686035156</v>
      </c>
      <c r="O911">
        <v>662.64290000000005</v>
      </c>
      <c r="P911">
        <v>1984.8955078125</v>
      </c>
      <c r="Q911">
        <v>662.63909912109295</v>
      </c>
      <c r="R911">
        <v>3</v>
      </c>
      <c r="S911">
        <v>1</v>
      </c>
      <c r="T911">
        <v>10</v>
      </c>
      <c r="U911">
        <v>31.24597</v>
      </c>
      <c r="V911">
        <v>116890.2</v>
      </c>
    </row>
    <row r="912" spans="1:22" x14ac:dyDescent="0.25">
      <c r="A912" t="s">
        <v>3085</v>
      </c>
      <c r="B912" t="s">
        <v>3086</v>
      </c>
      <c r="C912">
        <v>58</v>
      </c>
      <c r="D912">
        <v>99</v>
      </c>
      <c r="E912">
        <v>99</v>
      </c>
      <c r="F912" t="s">
        <v>244</v>
      </c>
      <c r="G912" t="s">
        <v>244</v>
      </c>
      <c r="H912">
        <f t="shared" si="17"/>
        <v>9</v>
      </c>
      <c r="M912" s="1">
        <v>4.92037981748581E-2</v>
      </c>
      <c r="N912">
        <v>1137.66345214844</v>
      </c>
      <c r="O912">
        <v>569.83900000000006</v>
      </c>
      <c r="P912">
        <v>1137.6142578125</v>
      </c>
      <c r="Q912">
        <v>569.81439208984295</v>
      </c>
      <c r="R912">
        <v>2</v>
      </c>
      <c r="S912">
        <v>1</v>
      </c>
      <c r="T912">
        <v>9</v>
      </c>
      <c r="U912">
        <v>26.055520000000001</v>
      </c>
      <c r="V912">
        <v>530091.9</v>
      </c>
    </row>
    <row r="913" spans="1:22" x14ac:dyDescent="0.25">
      <c r="A913" t="s">
        <v>4261</v>
      </c>
      <c r="B913" t="s">
        <v>4262</v>
      </c>
      <c r="C913">
        <v>254</v>
      </c>
      <c r="D913">
        <v>98.6</v>
      </c>
      <c r="E913">
        <v>98.58</v>
      </c>
      <c r="F913" t="s">
        <v>4263</v>
      </c>
      <c r="G913" t="s">
        <v>4263</v>
      </c>
      <c r="H913">
        <f t="shared" si="17"/>
        <v>9</v>
      </c>
      <c r="M913" s="1">
        <v>3.5763499327003899E-3</v>
      </c>
      <c r="N913">
        <v>970.53845214843705</v>
      </c>
      <c r="O913">
        <v>486.2765</v>
      </c>
      <c r="P913">
        <v>970.53485107421795</v>
      </c>
      <c r="Q913">
        <v>486.27468872070301</v>
      </c>
      <c r="R913">
        <v>2</v>
      </c>
      <c r="S913">
        <v>1</v>
      </c>
      <c r="T913">
        <v>12</v>
      </c>
      <c r="U913">
        <v>27.295780000000001</v>
      </c>
      <c r="V913">
        <v>2527600</v>
      </c>
    </row>
    <row r="914" spans="1:22" x14ac:dyDescent="0.25">
      <c r="A914" t="s">
        <v>451</v>
      </c>
      <c r="B914" t="s">
        <v>452</v>
      </c>
      <c r="C914">
        <v>2345</v>
      </c>
      <c r="D914">
        <v>99</v>
      </c>
      <c r="E914">
        <v>99</v>
      </c>
      <c r="F914" t="s">
        <v>2867</v>
      </c>
      <c r="G914" t="s">
        <v>2867</v>
      </c>
      <c r="H914">
        <f t="shared" si="17"/>
        <v>10</v>
      </c>
      <c r="M914" s="1">
        <v>4.0658200159668801E-3</v>
      </c>
      <c r="N914">
        <v>963.56549072265602</v>
      </c>
      <c r="O914">
        <v>482.79</v>
      </c>
      <c r="P914">
        <v>963.56140136718705</v>
      </c>
      <c r="Q914">
        <v>482.78796386718801</v>
      </c>
      <c r="R914">
        <v>2</v>
      </c>
      <c r="S914">
        <v>1</v>
      </c>
      <c r="T914">
        <v>12</v>
      </c>
      <c r="U914">
        <v>23.3939799999999</v>
      </c>
      <c r="V914">
        <v>540000.4</v>
      </c>
    </row>
    <row r="915" spans="1:22" x14ac:dyDescent="0.25">
      <c r="A915" t="s">
        <v>451</v>
      </c>
      <c r="B915" t="s">
        <v>452</v>
      </c>
      <c r="C915">
        <v>2345</v>
      </c>
      <c r="D915">
        <v>97.3</v>
      </c>
      <c r="E915">
        <v>97.29</v>
      </c>
      <c r="F915" t="s">
        <v>453</v>
      </c>
      <c r="G915" t="s">
        <v>453</v>
      </c>
      <c r="H915">
        <f t="shared" si="17"/>
        <v>9</v>
      </c>
      <c r="M915" s="1">
        <v>1.03313000872731E-2</v>
      </c>
      <c r="N915">
        <v>1769.84765625</v>
      </c>
      <c r="O915">
        <v>885.93110000000001</v>
      </c>
      <c r="P915">
        <v>1769.83728027344</v>
      </c>
      <c r="Q915">
        <v>885.92590332031205</v>
      </c>
      <c r="R915">
        <v>2</v>
      </c>
      <c r="S915">
        <v>1</v>
      </c>
      <c r="T915">
        <v>13</v>
      </c>
      <c r="U915">
        <v>55.3803699999999</v>
      </c>
      <c r="V915">
        <v>549614.6</v>
      </c>
    </row>
    <row r="916" spans="1:22" x14ac:dyDescent="0.25">
      <c r="A916" t="s">
        <v>451</v>
      </c>
      <c r="B916" t="s">
        <v>452</v>
      </c>
      <c r="C916">
        <v>708</v>
      </c>
      <c r="D916">
        <v>99</v>
      </c>
      <c r="E916">
        <v>99</v>
      </c>
      <c r="F916" t="s">
        <v>2868</v>
      </c>
      <c r="G916" t="s">
        <v>2868</v>
      </c>
      <c r="H916">
        <f t="shared" si="17"/>
        <v>9</v>
      </c>
      <c r="M916" s="1">
        <v>8.2416902296245001E-4</v>
      </c>
      <c r="N916">
        <v>1012.54626464844</v>
      </c>
      <c r="O916">
        <v>507.28039999999902</v>
      </c>
      <c r="P916">
        <v>1012.54541015625</v>
      </c>
      <c r="Q916">
        <v>507.27996826171801</v>
      </c>
      <c r="R916">
        <v>2</v>
      </c>
      <c r="S916">
        <v>3</v>
      </c>
      <c r="T916">
        <v>10</v>
      </c>
      <c r="U916">
        <v>30.252600000000001</v>
      </c>
      <c r="V916">
        <v>442622.1</v>
      </c>
    </row>
    <row r="917" spans="1:22" x14ac:dyDescent="0.25">
      <c r="A917" t="s">
        <v>451</v>
      </c>
      <c r="B917" t="s">
        <v>452</v>
      </c>
      <c r="C917">
        <v>708</v>
      </c>
      <c r="D917">
        <v>99</v>
      </c>
      <c r="E917">
        <v>99</v>
      </c>
      <c r="F917" t="s">
        <v>2869</v>
      </c>
      <c r="G917" t="s">
        <v>2869</v>
      </c>
      <c r="H917">
        <f t="shared" si="17"/>
        <v>10</v>
      </c>
      <c r="M917" s="1">
        <v>1.02435995358974E-3</v>
      </c>
      <c r="N917">
        <v>946.48828125</v>
      </c>
      <c r="O917">
        <v>474.25139999999902</v>
      </c>
      <c r="P917">
        <v>946.48724365234295</v>
      </c>
      <c r="Q917">
        <v>474.25088500976602</v>
      </c>
      <c r="R917">
        <v>2</v>
      </c>
      <c r="S917">
        <v>1</v>
      </c>
      <c r="T917">
        <v>10</v>
      </c>
      <c r="U917">
        <v>25.840119999999899</v>
      </c>
      <c r="V917">
        <v>628702.6</v>
      </c>
    </row>
    <row r="918" spans="1:22" x14ac:dyDescent="0.25">
      <c r="A918" t="s">
        <v>1859</v>
      </c>
      <c r="B918" t="s">
        <v>1860</v>
      </c>
      <c r="C918">
        <v>62</v>
      </c>
      <c r="D918">
        <v>99</v>
      </c>
      <c r="E918">
        <v>99</v>
      </c>
      <c r="F918" t="s">
        <v>1861</v>
      </c>
      <c r="G918" t="s">
        <v>1861</v>
      </c>
      <c r="H918">
        <f t="shared" si="17"/>
        <v>17</v>
      </c>
      <c r="M918">
        <v>2.2030000000000001E-3</v>
      </c>
      <c r="N918">
        <v>960.577880859375</v>
      </c>
      <c r="O918">
        <v>481.2962</v>
      </c>
      <c r="P918">
        <v>960.57562255859295</v>
      </c>
      <c r="Q918">
        <v>481.29510498046801</v>
      </c>
      <c r="R918">
        <v>2</v>
      </c>
      <c r="S918">
        <v>1</v>
      </c>
      <c r="T918">
        <v>12</v>
      </c>
      <c r="U918">
        <v>45.060830000000003</v>
      </c>
      <c r="V918">
        <v>662953.69999999902</v>
      </c>
    </row>
    <row r="919" spans="1:22" x14ac:dyDescent="0.25">
      <c r="A919" t="s">
        <v>1859</v>
      </c>
      <c r="B919" t="s">
        <v>1860</v>
      </c>
      <c r="C919">
        <v>59</v>
      </c>
      <c r="D919">
        <v>99</v>
      </c>
      <c r="E919">
        <v>99</v>
      </c>
      <c r="F919" t="s">
        <v>1862</v>
      </c>
      <c r="G919" t="s">
        <v>1862</v>
      </c>
      <c r="H919">
        <f t="shared" si="17"/>
        <v>20</v>
      </c>
      <c r="M919" s="1">
        <v>4.3131900019943601E-3</v>
      </c>
      <c r="N919">
        <v>899.50207519531205</v>
      </c>
      <c r="O919">
        <v>450.75830000000002</v>
      </c>
      <c r="P919">
        <v>899.49774169921795</v>
      </c>
      <c r="Q919">
        <v>450.75613403320301</v>
      </c>
      <c r="R919">
        <v>2</v>
      </c>
      <c r="S919">
        <v>1</v>
      </c>
      <c r="T919">
        <v>11</v>
      </c>
      <c r="U919">
        <v>26.5453499999999</v>
      </c>
      <c r="V919">
        <v>3900842</v>
      </c>
    </row>
    <row r="920" spans="1:22" x14ac:dyDescent="0.25">
      <c r="A920" t="s">
        <v>1859</v>
      </c>
      <c r="B920" t="s">
        <v>1860</v>
      </c>
      <c r="C920">
        <v>62</v>
      </c>
      <c r="D920">
        <v>99</v>
      </c>
      <c r="E920">
        <v>99</v>
      </c>
      <c r="F920" t="s">
        <v>1863</v>
      </c>
      <c r="G920" t="s">
        <v>1863</v>
      </c>
      <c r="H920">
        <f t="shared" si="17"/>
        <v>16</v>
      </c>
      <c r="M920" s="1">
        <v>-4.1601801058277401E-4</v>
      </c>
      <c r="N920">
        <v>894.564697265625</v>
      </c>
      <c r="O920">
        <v>448.28960000000001</v>
      </c>
      <c r="P920">
        <v>894.56506347656205</v>
      </c>
      <c r="Q920">
        <v>448.28982543945301</v>
      </c>
      <c r="R920">
        <v>2</v>
      </c>
      <c r="S920">
        <v>1</v>
      </c>
      <c r="T920">
        <v>12</v>
      </c>
      <c r="U920">
        <v>39.082230000000003</v>
      </c>
      <c r="V920">
        <v>825050.3</v>
      </c>
    </row>
    <row r="921" spans="1:22" x14ac:dyDescent="0.25">
      <c r="A921" t="s">
        <v>120</v>
      </c>
      <c r="B921" t="s">
        <v>121</v>
      </c>
      <c r="C921">
        <v>428</v>
      </c>
      <c r="D921">
        <v>99</v>
      </c>
      <c r="E921">
        <v>99</v>
      </c>
      <c r="F921" t="s">
        <v>122</v>
      </c>
      <c r="G921" t="s">
        <v>122</v>
      </c>
      <c r="H921">
        <f t="shared" si="17"/>
        <v>11</v>
      </c>
      <c r="M921" s="1">
        <v>4.6644001267850304E-3</v>
      </c>
      <c r="N921">
        <v>1325.67749023438</v>
      </c>
      <c r="O921">
        <v>663.846</v>
      </c>
      <c r="P921">
        <v>1325.6728515625</v>
      </c>
      <c r="Q921">
        <v>663.84368896484295</v>
      </c>
      <c r="R921">
        <v>2</v>
      </c>
      <c r="S921">
        <v>1</v>
      </c>
      <c r="T921">
        <v>8</v>
      </c>
      <c r="U921">
        <v>41.708100000000002</v>
      </c>
      <c r="V921">
        <v>89044.7</v>
      </c>
    </row>
    <row r="922" spans="1:22" x14ac:dyDescent="0.25">
      <c r="A922" t="s">
        <v>826</v>
      </c>
      <c r="B922" t="s">
        <v>827</v>
      </c>
      <c r="C922">
        <v>118</v>
      </c>
      <c r="D922">
        <v>99</v>
      </c>
      <c r="E922">
        <v>99</v>
      </c>
      <c r="F922" t="s">
        <v>828</v>
      </c>
      <c r="G922" t="s">
        <v>828</v>
      </c>
      <c r="H922">
        <f t="shared" si="17"/>
        <v>17</v>
      </c>
      <c r="M922">
        <v>1.555E-3</v>
      </c>
      <c r="N922">
        <v>957.58746337890602</v>
      </c>
      <c r="O922">
        <v>479.80099999999902</v>
      </c>
      <c r="P922">
        <v>957.58587646484295</v>
      </c>
      <c r="Q922">
        <v>479.80023193359301</v>
      </c>
      <c r="R922">
        <v>2</v>
      </c>
      <c r="S922">
        <v>2</v>
      </c>
      <c r="T922">
        <v>15</v>
      </c>
      <c r="U922">
        <v>32.704349999999899</v>
      </c>
      <c r="V922">
        <v>1724802</v>
      </c>
    </row>
    <row r="923" spans="1:22" x14ac:dyDescent="0.25">
      <c r="A923" t="s">
        <v>826</v>
      </c>
      <c r="B923" t="s">
        <v>827</v>
      </c>
      <c r="C923">
        <v>117</v>
      </c>
      <c r="D923">
        <v>99</v>
      </c>
      <c r="E923">
        <v>99</v>
      </c>
      <c r="F923" t="s">
        <v>829</v>
      </c>
      <c r="G923" t="s">
        <v>829</v>
      </c>
      <c r="H923">
        <f t="shared" si="17"/>
        <v>23</v>
      </c>
      <c r="M923" s="1">
        <v>-2.1925200708210399E-3</v>
      </c>
      <c r="N923">
        <v>1064.70483398438</v>
      </c>
      <c r="O923">
        <v>533.35969999999895</v>
      </c>
      <c r="P923">
        <v>1064.70703125</v>
      </c>
      <c r="Q923">
        <v>533.36077880859295</v>
      </c>
      <c r="R923">
        <v>2</v>
      </c>
      <c r="S923">
        <v>1</v>
      </c>
      <c r="T923">
        <v>12</v>
      </c>
      <c r="U923">
        <v>18.026520000000001</v>
      </c>
      <c r="V923">
        <v>479536</v>
      </c>
    </row>
    <row r="924" spans="1:22" x14ac:dyDescent="0.25">
      <c r="A924" t="s">
        <v>826</v>
      </c>
      <c r="B924" t="s">
        <v>827</v>
      </c>
      <c r="C924">
        <v>118</v>
      </c>
      <c r="D924">
        <v>99</v>
      </c>
      <c r="E924">
        <v>99</v>
      </c>
      <c r="F924" t="s">
        <v>830</v>
      </c>
      <c r="G924" t="s">
        <v>830</v>
      </c>
      <c r="H924">
        <f t="shared" si="17"/>
        <v>15</v>
      </c>
      <c r="M924" s="1">
        <v>5.0291800871491302E-3</v>
      </c>
      <c r="N924">
        <v>1737.88488769531</v>
      </c>
      <c r="O924">
        <v>869.94970000000001</v>
      </c>
      <c r="P924">
        <v>1737.8798828125</v>
      </c>
      <c r="Q924">
        <v>869.94720458984295</v>
      </c>
      <c r="R924">
        <v>2</v>
      </c>
      <c r="S924">
        <v>1</v>
      </c>
      <c r="T924">
        <v>17</v>
      </c>
      <c r="U924">
        <v>26.951370000000001</v>
      </c>
      <c r="V924">
        <v>254644.7</v>
      </c>
    </row>
    <row r="925" spans="1:22" x14ac:dyDescent="0.25">
      <c r="A925" t="s">
        <v>4264</v>
      </c>
      <c r="B925" t="s">
        <v>4265</v>
      </c>
      <c r="C925">
        <v>147</v>
      </c>
      <c r="D925">
        <v>99</v>
      </c>
      <c r="E925">
        <v>99</v>
      </c>
      <c r="F925" t="s">
        <v>4266</v>
      </c>
      <c r="G925" t="s">
        <v>4266</v>
      </c>
      <c r="H925">
        <f t="shared" si="17"/>
        <v>16</v>
      </c>
      <c r="M925" s="1">
        <v>6.2839998863637404E-3</v>
      </c>
      <c r="N925">
        <v>1527.78186035156</v>
      </c>
      <c r="O925">
        <v>764.89819999999895</v>
      </c>
      <c r="P925">
        <v>1527.77551269531</v>
      </c>
      <c r="Q925">
        <v>764.89508056640602</v>
      </c>
      <c r="R925">
        <v>2</v>
      </c>
      <c r="S925">
        <v>1</v>
      </c>
      <c r="T925">
        <v>10</v>
      </c>
      <c r="U925">
        <v>47.132579999999898</v>
      </c>
      <c r="V925">
        <v>77631.679999999906</v>
      </c>
    </row>
    <row r="926" spans="1:22" x14ac:dyDescent="0.25">
      <c r="A926" t="s">
        <v>4323</v>
      </c>
      <c r="B926" t="s">
        <v>4324</v>
      </c>
      <c r="C926">
        <v>304</v>
      </c>
      <c r="D926">
        <v>99</v>
      </c>
      <c r="E926">
        <v>99</v>
      </c>
      <c r="F926" t="s">
        <v>4325</v>
      </c>
      <c r="G926" t="s">
        <v>4325</v>
      </c>
      <c r="H926">
        <f t="shared" si="17"/>
        <v>9</v>
      </c>
      <c r="M926">
        <v>1.134E-3</v>
      </c>
      <c r="N926">
        <v>869.50946044921795</v>
      </c>
      <c r="O926">
        <v>435.762</v>
      </c>
      <c r="P926">
        <v>869.50830078125</v>
      </c>
      <c r="Q926">
        <v>435.76141357421801</v>
      </c>
      <c r="R926">
        <v>2</v>
      </c>
      <c r="S926">
        <v>1</v>
      </c>
      <c r="T926">
        <v>11</v>
      </c>
      <c r="U926">
        <v>32.423050000000003</v>
      </c>
      <c r="V926">
        <v>441001.3</v>
      </c>
    </row>
    <row r="927" spans="1:22" x14ac:dyDescent="0.25">
      <c r="A927" t="s">
        <v>579</v>
      </c>
      <c r="B927" t="s">
        <v>580</v>
      </c>
      <c r="C927">
        <v>457</v>
      </c>
      <c r="D927">
        <v>99</v>
      </c>
      <c r="E927">
        <v>99</v>
      </c>
      <c r="F927" t="s">
        <v>581</v>
      </c>
      <c r="G927" t="s">
        <v>581</v>
      </c>
      <c r="H927">
        <f t="shared" si="17"/>
        <v>9</v>
      </c>
      <c r="M927" s="1">
        <v>1.9823499023914198E-3</v>
      </c>
      <c r="N927">
        <v>999.57330322265602</v>
      </c>
      <c r="O927">
        <v>500.79390000000001</v>
      </c>
      <c r="P927">
        <v>999.5712890625</v>
      </c>
      <c r="Q927">
        <v>500.79293823242102</v>
      </c>
      <c r="R927">
        <v>2</v>
      </c>
      <c r="S927">
        <v>1</v>
      </c>
      <c r="T927">
        <v>11</v>
      </c>
      <c r="U927">
        <v>34.991950000000003</v>
      </c>
      <c r="V927">
        <v>99134.64</v>
      </c>
    </row>
    <row r="928" spans="1:22" x14ac:dyDescent="0.25">
      <c r="A928" t="s">
        <v>579</v>
      </c>
      <c r="B928" t="s">
        <v>580</v>
      </c>
      <c r="C928">
        <v>378</v>
      </c>
      <c r="D928">
        <v>99</v>
      </c>
      <c r="E928">
        <v>99</v>
      </c>
      <c r="F928" t="s">
        <v>1313</v>
      </c>
      <c r="G928" t="s">
        <v>1313</v>
      </c>
      <c r="H928">
        <f t="shared" si="17"/>
        <v>16</v>
      </c>
      <c r="M928" s="1">
        <v>-1.22480001300573E-3</v>
      </c>
      <c r="N928">
        <v>925.56970214843705</v>
      </c>
      <c r="O928">
        <v>463.7921</v>
      </c>
      <c r="P928">
        <v>925.57092285156205</v>
      </c>
      <c r="Q928">
        <v>463.792724609375</v>
      </c>
      <c r="R928">
        <v>2</v>
      </c>
      <c r="S928">
        <v>1</v>
      </c>
      <c r="T928">
        <v>10</v>
      </c>
      <c r="U928">
        <v>22.072949999999899</v>
      </c>
      <c r="V928">
        <v>13841140</v>
      </c>
    </row>
    <row r="929" spans="1:22" x14ac:dyDescent="0.25">
      <c r="A929" t="s">
        <v>1793</v>
      </c>
      <c r="B929" t="s">
        <v>1794</v>
      </c>
      <c r="C929">
        <v>34</v>
      </c>
      <c r="D929">
        <v>99</v>
      </c>
      <c r="E929">
        <v>99</v>
      </c>
      <c r="F929" t="s">
        <v>134</v>
      </c>
      <c r="G929" t="s">
        <v>134</v>
      </c>
      <c r="H929">
        <f t="shared" si="17"/>
        <v>9</v>
      </c>
      <c r="L929" t="s">
        <v>116</v>
      </c>
      <c r="M929" s="1">
        <v>-6.9921999238431402E-3</v>
      </c>
      <c r="N929">
        <v>1137.50549316406</v>
      </c>
      <c r="O929">
        <v>569.76</v>
      </c>
      <c r="P929">
        <v>1137.51245117188</v>
      </c>
      <c r="Q929">
        <v>569.76348876953102</v>
      </c>
      <c r="R929">
        <v>2</v>
      </c>
      <c r="S929">
        <v>1</v>
      </c>
      <c r="T929">
        <v>12</v>
      </c>
      <c r="U929">
        <v>19.659600000000001</v>
      </c>
      <c r="V929">
        <v>255142.3</v>
      </c>
    </row>
    <row r="930" spans="1:22" x14ac:dyDescent="0.25">
      <c r="A930" t="s">
        <v>1682</v>
      </c>
      <c r="B930" t="s">
        <v>1683</v>
      </c>
      <c r="C930">
        <v>489</v>
      </c>
      <c r="D930">
        <v>99</v>
      </c>
      <c r="E930">
        <v>99</v>
      </c>
      <c r="F930" t="s">
        <v>1684</v>
      </c>
      <c r="G930" t="s">
        <v>1684</v>
      </c>
      <c r="H930">
        <f t="shared" si="17"/>
        <v>15</v>
      </c>
      <c r="M930" s="1">
        <v>3.0703800730407099E-3</v>
      </c>
      <c r="N930">
        <v>871.49066162109295</v>
      </c>
      <c r="O930">
        <v>436.75259999999901</v>
      </c>
      <c r="P930">
        <v>871.487548828125</v>
      </c>
      <c r="Q930">
        <v>436.75106811523301</v>
      </c>
      <c r="R930">
        <v>2</v>
      </c>
      <c r="S930">
        <v>2</v>
      </c>
      <c r="T930">
        <v>10</v>
      </c>
      <c r="U930">
        <v>28.540199999999899</v>
      </c>
      <c r="V930">
        <v>255856.1</v>
      </c>
    </row>
    <row r="931" spans="1:22" x14ac:dyDescent="0.25">
      <c r="A931" t="s">
        <v>1682</v>
      </c>
      <c r="B931" t="s">
        <v>1683</v>
      </c>
      <c r="C931">
        <v>489</v>
      </c>
      <c r="D931">
        <v>99</v>
      </c>
      <c r="E931">
        <v>99</v>
      </c>
      <c r="F931" t="s">
        <v>1685</v>
      </c>
      <c r="G931" t="s">
        <v>1685</v>
      </c>
      <c r="H931">
        <f t="shared" si="17"/>
        <v>16</v>
      </c>
      <c r="M931" s="1">
        <v>4.3933899141848001E-3</v>
      </c>
      <c r="N931">
        <v>943.54949951171795</v>
      </c>
      <c r="O931">
        <v>472.78199999999902</v>
      </c>
      <c r="P931">
        <v>943.54510498046795</v>
      </c>
      <c r="Q931">
        <v>472.77981567382801</v>
      </c>
      <c r="R931">
        <v>2</v>
      </c>
      <c r="S931">
        <v>5</v>
      </c>
      <c r="T931">
        <v>13</v>
      </c>
      <c r="U931">
        <v>30.847650000000002</v>
      </c>
      <c r="V931">
        <v>1040758</v>
      </c>
    </row>
    <row r="932" spans="1:22" x14ac:dyDescent="0.25">
      <c r="A932" t="s">
        <v>2652</v>
      </c>
      <c r="B932" t="s">
        <v>2653</v>
      </c>
      <c r="C932">
        <v>463</v>
      </c>
      <c r="D932">
        <v>96.9</v>
      </c>
      <c r="E932">
        <v>96.91</v>
      </c>
      <c r="F932" t="s">
        <v>2654</v>
      </c>
      <c r="G932" t="s">
        <v>2654</v>
      </c>
      <c r="H932">
        <f t="shared" si="17"/>
        <v>10</v>
      </c>
      <c r="M932">
        <v>6.8630000000000002E-3</v>
      </c>
      <c r="N932">
        <v>1478.75866699219</v>
      </c>
      <c r="O932">
        <v>740.38660000000004</v>
      </c>
      <c r="P932">
        <v>1478.75183105469</v>
      </c>
      <c r="Q932">
        <v>740.38317871093705</v>
      </c>
      <c r="R932">
        <v>2</v>
      </c>
      <c r="S932">
        <v>1</v>
      </c>
      <c r="T932">
        <v>8</v>
      </c>
      <c r="U932">
        <v>43.292749999999899</v>
      </c>
      <c r="V932">
        <v>101452.9</v>
      </c>
    </row>
    <row r="933" spans="1:22" x14ac:dyDescent="0.25">
      <c r="A933" t="s">
        <v>1265</v>
      </c>
      <c r="B933" t="s">
        <v>1266</v>
      </c>
      <c r="C933">
        <v>508</v>
      </c>
      <c r="D933">
        <v>98.4</v>
      </c>
      <c r="E933">
        <v>98.35</v>
      </c>
      <c r="F933" t="s">
        <v>1267</v>
      </c>
      <c r="G933" t="s">
        <v>1267</v>
      </c>
      <c r="H933">
        <f t="shared" si="17"/>
        <v>16</v>
      </c>
      <c r="L933" t="s">
        <v>283</v>
      </c>
      <c r="M933" s="1">
        <v>3.5010001156478999E-3</v>
      </c>
      <c r="N933">
        <v>1142.69592285156</v>
      </c>
      <c r="O933">
        <v>381.90589999999901</v>
      </c>
      <c r="P933">
        <v>1142.6923828125</v>
      </c>
      <c r="Q933">
        <v>381.90475463867102</v>
      </c>
      <c r="R933">
        <v>3</v>
      </c>
      <c r="S933">
        <v>2</v>
      </c>
      <c r="T933">
        <v>11</v>
      </c>
      <c r="U933">
        <v>30.789449999999899</v>
      </c>
      <c r="V933">
        <v>1812851</v>
      </c>
    </row>
    <row r="934" spans="1:22" x14ac:dyDescent="0.25">
      <c r="A934" t="s">
        <v>328</v>
      </c>
      <c r="B934" t="s">
        <v>329</v>
      </c>
      <c r="C934">
        <v>110</v>
      </c>
      <c r="D934">
        <v>99</v>
      </c>
      <c r="E934">
        <v>99</v>
      </c>
      <c r="F934" t="s">
        <v>1537</v>
      </c>
      <c r="G934" t="s">
        <v>1537</v>
      </c>
      <c r="H934">
        <f t="shared" si="17"/>
        <v>19</v>
      </c>
      <c r="M934" s="1">
        <v>1.4619800494983801E-3</v>
      </c>
      <c r="N934">
        <v>1575.80603027344</v>
      </c>
      <c r="O934">
        <v>788.91030000000001</v>
      </c>
      <c r="P934">
        <v>1575.80456542969</v>
      </c>
      <c r="Q934">
        <v>788.90954589843705</v>
      </c>
      <c r="R934">
        <v>2</v>
      </c>
      <c r="S934">
        <v>3</v>
      </c>
      <c r="T934">
        <v>12</v>
      </c>
      <c r="U934">
        <v>45.0616699999999</v>
      </c>
      <c r="V934">
        <v>323246.40000000002</v>
      </c>
    </row>
    <row r="935" spans="1:22" x14ac:dyDescent="0.25">
      <c r="A935" t="s">
        <v>328</v>
      </c>
      <c r="B935" t="s">
        <v>329</v>
      </c>
      <c r="C935">
        <v>110</v>
      </c>
      <c r="D935">
        <v>99</v>
      </c>
      <c r="E935">
        <v>99</v>
      </c>
      <c r="F935" t="s">
        <v>1537</v>
      </c>
      <c r="G935" t="s">
        <v>1537</v>
      </c>
      <c r="H935">
        <f t="shared" si="17"/>
        <v>19</v>
      </c>
      <c r="L935" t="s">
        <v>295</v>
      </c>
      <c r="M935">
        <v>-2.0110000000000002E-3</v>
      </c>
      <c r="N935">
        <v>1126.5322265625</v>
      </c>
      <c r="O935">
        <v>376.51799999999901</v>
      </c>
      <c r="P935">
        <v>1126.5341796875</v>
      </c>
      <c r="Q935">
        <v>376.51867675781301</v>
      </c>
      <c r="R935">
        <v>3</v>
      </c>
      <c r="S935">
        <v>1</v>
      </c>
      <c r="T935">
        <v>12</v>
      </c>
      <c r="U935">
        <v>19.9224</v>
      </c>
      <c r="V935">
        <v>5605955</v>
      </c>
    </row>
    <row r="936" spans="1:22" x14ac:dyDescent="0.25">
      <c r="A936" t="s">
        <v>1143</v>
      </c>
      <c r="B936" t="s">
        <v>1144</v>
      </c>
      <c r="C936">
        <v>96</v>
      </c>
      <c r="D936">
        <v>99</v>
      </c>
      <c r="E936">
        <v>99</v>
      </c>
      <c r="F936" t="s">
        <v>1145</v>
      </c>
      <c r="G936" t="s">
        <v>1145</v>
      </c>
      <c r="H936">
        <f t="shared" si="17"/>
        <v>19</v>
      </c>
      <c r="M936" s="1">
        <v>5.7969097979366701E-3</v>
      </c>
      <c r="N936">
        <v>1720.87768554688</v>
      </c>
      <c r="O936">
        <v>574.63319999999896</v>
      </c>
      <c r="P936">
        <v>1720.87194824219</v>
      </c>
      <c r="Q936">
        <v>574.63122558593705</v>
      </c>
      <c r="R936">
        <v>3</v>
      </c>
      <c r="S936">
        <v>1</v>
      </c>
      <c r="T936">
        <v>15</v>
      </c>
      <c r="U936">
        <v>40.177149999999898</v>
      </c>
      <c r="V936">
        <v>650323</v>
      </c>
    </row>
    <row r="937" spans="1:22" x14ac:dyDescent="0.25">
      <c r="A937" t="s">
        <v>1143</v>
      </c>
      <c r="B937" t="s">
        <v>1144</v>
      </c>
      <c r="C937">
        <v>96</v>
      </c>
      <c r="D937">
        <v>99</v>
      </c>
      <c r="E937">
        <v>99</v>
      </c>
      <c r="F937" t="s">
        <v>1146</v>
      </c>
      <c r="G937" t="s">
        <v>1146</v>
      </c>
      <c r="H937">
        <f t="shared" si="17"/>
        <v>17</v>
      </c>
      <c r="M937" s="1">
        <v>1.2915000552311501E-3</v>
      </c>
      <c r="N937">
        <v>1019.57769775391</v>
      </c>
      <c r="O937">
        <v>510.79610000000002</v>
      </c>
      <c r="P937">
        <v>1019.57635498047</v>
      </c>
      <c r="Q937">
        <v>510.79547119140602</v>
      </c>
      <c r="R937">
        <v>2</v>
      </c>
      <c r="S937">
        <v>2</v>
      </c>
      <c r="T937">
        <v>12</v>
      </c>
      <c r="U937">
        <v>36.546169999999897</v>
      </c>
      <c r="V937">
        <v>3317514</v>
      </c>
    </row>
    <row r="938" spans="1:22" x14ac:dyDescent="0.25">
      <c r="A938" t="s">
        <v>1143</v>
      </c>
      <c r="B938" t="s">
        <v>1144</v>
      </c>
      <c r="C938">
        <v>97</v>
      </c>
      <c r="D938">
        <v>99</v>
      </c>
      <c r="E938">
        <v>99</v>
      </c>
      <c r="F938" t="s">
        <v>1147</v>
      </c>
      <c r="G938" t="s">
        <v>1147</v>
      </c>
      <c r="H938">
        <f t="shared" si="17"/>
        <v>16</v>
      </c>
      <c r="M938" s="1">
        <v>2.7135899290442501E-3</v>
      </c>
      <c r="N938">
        <v>1006.54748535156</v>
      </c>
      <c r="O938">
        <v>504.28100000000001</v>
      </c>
      <c r="P938">
        <v>1006.54473876953</v>
      </c>
      <c r="Q938">
        <v>504.27966308593801</v>
      </c>
      <c r="R938">
        <v>2</v>
      </c>
      <c r="S938">
        <v>2</v>
      </c>
      <c r="T938">
        <v>12</v>
      </c>
      <c r="U938">
        <v>35.880879999999898</v>
      </c>
      <c r="V938">
        <v>1880983</v>
      </c>
    </row>
    <row r="939" spans="1:22" x14ac:dyDescent="0.25">
      <c r="A939" t="s">
        <v>1143</v>
      </c>
      <c r="B939" t="s">
        <v>1144</v>
      </c>
      <c r="C939">
        <v>96</v>
      </c>
      <c r="D939">
        <v>99</v>
      </c>
      <c r="E939">
        <v>99</v>
      </c>
      <c r="F939" t="s">
        <v>1148</v>
      </c>
      <c r="G939" t="s">
        <v>1148</v>
      </c>
      <c r="H939">
        <f t="shared" si="17"/>
        <v>16</v>
      </c>
      <c r="L939" t="s">
        <v>43</v>
      </c>
      <c r="M939" s="1">
        <v>4.2601400054991202E-3</v>
      </c>
      <c r="N939">
        <v>1117.55590820313</v>
      </c>
      <c r="O939">
        <v>559.78520000000003</v>
      </c>
      <c r="P939">
        <v>1117.55163574219</v>
      </c>
      <c r="Q939">
        <v>559.78308105468705</v>
      </c>
      <c r="R939">
        <v>2</v>
      </c>
      <c r="S939">
        <v>2</v>
      </c>
      <c r="T939">
        <v>13</v>
      </c>
      <c r="U939">
        <v>39.9619199999999</v>
      </c>
      <c r="V939">
        <v>2454658</v>
      </c>
    </row>
    <row r="940" spans="1:22" x14ac:dyDescent="0.25">
      <c r="A940" t="s">
        <v>1143</v>
      </c>
      <c r="B940" t="s">
        <v>1144</v>
      </c>
      <c r="C940">
        <v>96</v>
      </c>
      <c r="D940">
        <v>99</v>
      </c>
      <c r="E940">
        <v>99</v>
      </c>
      <c r="F940" t="s">
        <v>1146</v>
      </c>
      <c r="G940" t="s">
        <v>1146</v>
      </c>
      <c r="H940">
        <f t="shared" si="17"/>
        <v>17</v>
      </c>
      <c r="L940" t="s">
        <v>1149</v>
      </c>
      <c r="M940" s="1">
        <v>8.7086101993918402E-3</v>
      </c>
      <c r="N940">
        <v>992.58544921875</v>
      </c>
      <c r="O940">
        <v>497.3</v>
      </c>
      <c r="P940">
        <v>992.57672119140602</v>
      </c>
      <c r="Q940">
        <v>497.29562377929602</v>
      </c>
      <c r="R940">
        <v>2</v>
      </c>
      <c r="S940">
        <v>1</v>
      </c>
      <c r="T940">
        <v>13</v>
      </c>
      <c r="U940">
        <v>32.167200000000001</v>
      </c>
      <c r="V940">
        <v>648264.9</v>
      </c>
    </row>
    <row r="941" spans="1:22" x14ac:dyDescent="0.25">
      <c r="A941" t="s">
        <v>1143</v>
      </c>
      <c r="B941" t="s">
        <v>1144</v>
      </c>
      <c r="C941">
        <v>96</v>
      </c>
      <c r="D941">
        <v>99</v>
      </c>
      <c r="E941">
        <v>99</v>
      </c>
      <c r="F941" t="s">
        <v>1145</v>
      </c>
      <c r="G941" t="s">
        <v>1145</v>
      </c>
      <c r="H941">
        <f t="shared" si="17"/>
        <v>19</v>
      </c>
      <c r="L941" t="s">
        <v>43</v>
      </c>
      <c r="M941" s="1">
        <v>9.5233302563428792E-3</v>
      </c>
      <c r="N941">
        <v>1833.96081542969</v>
      </c>
      <c r="O941">
        <v>917.98770000000002</v>
      </c>
      <c r="P941">
        <v>1833.95129394531</v>
      </c>
      <c r="Q941">
        <v>917.98291015625</v>
      </c>
      <c r="R941">
        <v>2</v>
      </c>
      <c r="S941">
        <v>2</v>
      </c>
      <c r="T941">
        <v>10</v>
      </c>
      <c r="U941">
        <v>48.123570000000001</v>
      </c>
      <c r="V941">
        <v>100922.7</v>
      </c>
    </row>
    <row r="942" spans="1:22" x14ac:dyDescent="0.25">
      <c r="A942" t="s">
        <v>1143</v>
      </c>
      <c r="B942" t="s">
        <v>1144</v>
      </c>
      <c r="C942">
        <v>96</v>
      </c>
      <c r="D942">
        <v>99</v>
      </c>
      <c r="E942">
        <v>99</v>
      </c>
      <c r="F942" t="s">
        <v>1145</v>
      </c>
      <c r="G942" t="s">
        <v>1145</v>
      </c>
      <c r="H942">
        <f t="shared" si="17"/>
        <v>19</v>
      </c>
      <c r="L942" t="s">
        <v>1149</v>
      </c>
      <c r="M942" s="1">
        <v>4.5679397881031002E-3</v>
      </c>
      <c r="N942">
        <v>967.58605957031205</v>
      </c>
      <c r="O942">
        <v>484.80029999999903</v>
      </c>
      <c r="P942">
        <v>967.58148193359295</v>
      </c>
      <c r="Q942">
        <v>484.79800415039102</v>
      </c>
      <c r="R942">
        <v>2</v>
      </c>
      <c r="S942">
        <v>1</v>
      </c>
      <c r="T942">
        <v>12</v>
      </c>
      <c r="U942">
        <v>36.7560199999999</v>
      </c>
      <c r="V942">
        <v>473699.6</v>
      </c>
    </row>
    <row r="943" spans="1:22" x14ac:dyDescent="0.25">
      <c r="A943" t="s">
        <v>576</v>
      </c>
      <c r="B943" t="s">
        <v>577</v>
      </c>
      <c r="C943">
        <v>455</v>
      </c>
      <c r="D943">
        <v>98.9</v>
      </c>
      <c r="E943">
        <v>98.87</v>
      </c>
      <c r="F943" t="s">
        <v>578</v>
      </c>
      <c r="G943" t="s">
        <v>578</v>
      </c>
      <c r="H943">
        <f t="shared" si="17"/>
        <v>9</v>
      </c>
      <c r="M943" s="1">
        <v>1.0895200539380199E-3</v>
      </c>
      <c r="N943">
        <v>1083.50366210938</v>
      </c>
      <c r="O943">
        <v>542.75909999999897</v>
      </c>
      <c r="P943">
        <v>1083.50256347656</v>
      </c>
      <c r="Q943">
        <v>542.758544921875</v>
      </c>
      <c r="R943">
        <v>2</v>
      </c>
      <c r="S943">
        <v>2</v>
      </c>
      <c r="T943">
        <v>13</v>
      </c>
      <c r="U943">
        <v>35.567129999999899</v>
      </c>
      <c r="V943">
        <v>2637272</v>
      </c>
    </row>
    <row r="944" spans="1:22" x14ac:dyDescent="0.25">
      <c r="A944" t="s">
        <v>2870</v>
      </c>
      <c r="B944" t="s">
        <v>2871</v>
      </c>
      <c r="C944">
        <v>34</v>
      </c>
      <c r="D944">
        <v>98.5</v>
      </c>
      <c r="E944">
        <v>98.45</v>
      </c>
      <c r="F944" t="s">
        <v>2872</v>
      </c>
      <c r="G944" t="s">
        <v>2872</v>
      </c>
      <c r="H944">
        <f t="shared" si="17"/>
        <v>9</v>
      </c>
      <c r="M944" s="1">
        <v>8.7104702834039905E-4</v>
      </c>
      <c r="N944">
        <v>1102.59326171875</v>
      </c>
      <c r="O944">
        <v>552.3039</v>
      </c>
      <c r="P944">
        <v>1102.59240722656</v>
      </c>
      <c r="Q944">
        <v>552.303466796875</v>
      </c>
      <c r="R944">
        <v>2</v>
      </c>
      <c r="S944">
        <v>1</v>
      </c>
      <c r="T944">
        <v>12</v>
      </c>
      <c r="U944">
        <v>33.227150000000002</v>
      </c>
      <c r="V944">
        <v>6109720</v>
      </c>
    </row>
    <row r="945" spans="1:22" x14ac:dyDescent="0.25">
      <c r="A945" t="s">
        <v>1699</v>
      </c>
      <c r="B945" t="s">
        <v>1700</v>
      </c>
      <c r="C945">
        <v>259</v>
      </c>
      <c r="D945">
        <v>99</v>
      </c>
      <c r="E945">
        <v>99</v>
      </c>
      <c r="F945" t="s">
        <v>1701</v>
      </c>
      <c r="G945" t="s">
        <v>1701</v>
      </c>
      <c r="H945">
        <f t="shared" si="17"/>
        <v>9</v>
      </c>
      <c r="M945" s="1">
        <v>5.1037799566984203E-3</v>
      </c>
      <c r="N945">
        <v>1883.94287109375</v>
      </c>
      <c r="O945">
        <v>942.9787</v>
      </c>
      <c r="P945">
        <v>1883.93774414063</v>
      </c>
      <c r="Q945">
        <v>942.97613525390602</v>
      </c>
      <c r="R945">
        <v>2</v>
      </c>
      <c r="S945">
        <v>1</v>
      </c>
      <c r="T945">
        <v>8</v>
      </c>
      <c r="U945">
        <v>43.753100000000003</v>
      </c>
      <c r="V945">
        <v>38138.019999999902</v>
      </c>
    </row>
    <row r="946" spans="1:22" x14ac:dyDescent="0.25">
      <c r="A946" t="s">
        <v>1941</v>
      </c>
      <c r="B946" t="s">
        <v>1942</v>
      </c>
      <c r="C946">
        <v>375</v>
      </c>
      <c r="D946">
        <v>99</v>
      </c>
      <c r="E946">
        <v>99</v>
      </c>
      <c r="F946" t="s">
        <v>1943</v>
      </c>
      <c r="G946" t="s">
        <v>1943</v>
      </c>
      <c r="H946">
        <f t="shared" si="17"/>
        <v>17</v>
      </c>
      <c r="M946" s="1">
        <v>1.15691004320979E-2</v>
      </c>
      <c r="N946">
        <v>1954.98645019531</v>
      </c>
      <c r="O946">
        <v>978.50049999999896</v>
      </c>
      <c r="P946">
        <v>1954.97485351563</v>
      </c>
      <c r="Q946">
        <v>978.49468994140602</v>
      </c>
      <c r="R946">
        <v>2</v>
      </c>
      <c r="S946">
        <v>1</v>
      </c>
      <c r="T946">
        <v>11</v>
      </c>
      <c r="U946">
        <v>43.551180000000002</v>
      </c>
      <c r="V946">
        <v>111749.2</v>
      </c>
    </row>
    <row r="947" spans="1:22" x14ac:dyDescent="0.25">
      <c r="A947" t="s">
        <v>1941</v>
      </c>
      <c r="B947" t="s">
        <v>1942</v>
      </c>
      <c r="C947">
        <v>375</v>
      </c>
      <c r="D947">
        <v>99</v>
      </c>
      <c r="E947">
        <v>99</v>
      </c>
      <c r="F947" t="s">
        <v>1944</v>
      </c>
      <c r="G947" t="s">
        <v>1944</v>
      </c>
      <c r="H947">
        <f t="shared" si="17"/>
        <v>20</v>
      </c>
      <c r="M947" s="1">
        <v>1.65570003446192E-3</v>
      </c>
      <c r="N947">
        <v>1771.95971679688</v>
      </c>
      <c r="O947">
        <v>591.66049999999905</v>
      </c>
      <c r="P947">
        <v>1771.95812988281</v>
      </c>
      <c r="Q947">
        <v>591.65997314453102</v>
      </c>
      <c r="R947">
        <v>3</v>
      </c>
      <c r="S947">
        <v>2</v>
      </c>
      <c r="T947">
        <v>10</v>
      </c>
      <c r="U947">
        <v>21.6893999999999</v>
      </c>
      <c r="V947">
        <v>249314.2</v>
      </c>
    </row>
    <row r="948" spans="1:22" x14ac:dyDescent="0.25">
      <c r="A948" t="s">
        <v>4045</v>
      </c>
      <c r="B948" t="s">
        <v>4046</v>
      </c>
      <c r="C948">
        <v>458</v>
      </c>
      <c r="D948">
        <v>99</v>
      </c>
      <c r="E948">
        <v>99</v>
      </c>
      <c r="F948" t="s">
        <v>4047</v>
      </c>
      <c r="G948" t="s">
        <v>4047</v>
      </c>
      <c r="H948">
        <f t="shared" si="17"/>
        <v>9</v>
      </c>
      <c r="M948" s="1">
        <v>2.7203899808227899E-3</v>
      </c>
      <c r="N948">
        <v>1612.77941894531</v>
      </c>
      <c r="O948">
        <v>807.39700000000005</v>
      </c>
      <c r="P948">
        <v>1612.77661132813</v>
      </c>
      <c r="Q948">
        <v>807.39562988281205</v>
      </c>
      <c r="R948">
        <v>2</v>
      </c>
      <c r="S948">
        <v>1</v>
      </c>
      <c r="T948">
        <v>13</v>
      </c>
      <c r="U948">
        <v>22.458269999999899</v>
      </c>
      <c r="V948">
        <v>121428.8</v>
      </c>
    </row>
    <row r="949" spans="1:22" x14ac:dyDescent="0.25">
      <c r="A949" t="s">
        <v>4045</v>
      </c>
      <c r="B949" t="s">
        <v>4046</v>
      </c>
      <c r="C949">
        <v>458</v>
      </c>
      <c r="D949">
        <v>97.8</v>
      </c>
      <c r="E949">
        <v>97.78</v>
      </c>
      <c r="F949" t="s">
        <v>4047</v>
      </c>
      <c r="G949" t="s">
        <v>4047</v>
      </c>
      <c r="H949">
        <f t="shared" si="17"/>
        <v>9</v>
      </c>
      <c r="L949" t="s">
        <v>87</v>
      </c>
      <c r="M949" s="1">
        <v>1.15344999358057E-2</v>
      </c>
      <c r="N949">
        <v>1770.76684570313</v>
      </c>
      <c r="O949">
        <v>886.39070000000004</v>
      </c>
      <c r="P949">
        <v>1770.75524902344</v>
      </c>
      <c r="Q949">
        <v>886.38494873046795</v>
      </c>
      <c r="R949">
        <v>2</v>
      </c>
      <c r="S949">
        <v>1</v>
      </c>
      <c r="T949">
        <v>12</v>
      </c>
      <c r="U949">
        <v>44.068849999999898</v>
      </c>
      <c r="V949">
        <v>69395.48</v>
      </c>
    </row>
    <row r="950" spans="1:22" x14ac:dyDescent="0.25">
      <c r="A950" t="s">
        <v>1437</v>
      </c>
      <c r="B950" t="s">
        <v>1438</v>
      </c>
      <c r="C950">
        <v>115</v>
      </c>
      <c r="D950">
        <v>97.3</v>
      </c>
      <c r="E950">
        <v>97.28</v>
      </c>
      <c r="F950" t="s">
        <v>422</v>
      </c>
      <c r="G950" t="s">
        <v>422</v>
      </c>
      <c r="H950">
        <f t="shared" si="17"/>
        <v>9</v>
      </c>
      <c r="M950">
        <v>-2.7599999999999999E-4</v>
      </c>
      <c r="N950">
        <v>1740.87133789063</v>
      </c>
      <c r="O950">
        <v>581.29769999999905</v>
      </c>
      <c r="P950">
        <v>1740.87158203125</v>
      </c>
      <c r="Q950">
        <v>581.2978515625</v>
      </c>
      <c r="R950">
        <v>3</v>
      </c>
      <c r="S950">
        <v>4</v>
      </c>
      <c r="T950">
        <v>13</v>
      </c>
      <c r="U950">
        <v>20.75328</v>
      </c>
      <c r="V950">
        <v>221212.4</v>
      </c>
    </row>
    <row r="951" spans="1:22" x14ac:dyDescent="0.25">
      <c r="A951" t="s">
        <v>1437</v>
      </c>
      <c r="B951" t="s">
        <v>1438</v>
      </c>
      <c r="C951">
        <v>115</v>
      </c>
      <c r="D951">
        <v>99</v>
      </c>
      <c r="E951">
        <v>99</v>
      </c>
      <c r="F951" t="s">
        <v>422</v>
      </c>
      <c r="G951" t="s">
        <v>422</v>
      </c>
      <c r="H951">
        <f t="shared" si="17"/>
        <v>9</v>
      </c>
      <c r="L951" t="s">
        <v>423</v>
      </c>
      <c r="M951" s="1">
        <v>4.9103000201284903E-3</v>
      </c>
      <c r="N951">
        <v>1088.61401367188</v>
      </c>
      <c r="O951">
        <v>545.3143</v>
      </c>
      <c r="P951">
        <v>1088.60913085938</v>
      </c>
      <c r="Q951">
        <v>545.31182861328102</v>
      </c>
      <c r="R951">
        <v>2</v>
      </c>
      <c r="S951">
        <v>1</v>
      </c>
      <c r="T951">
        <v>12</v>
      </c>
      <c r="U951">
        <v>25.460819999999899</v>
      </c>
      <c r="V951">
        <v>581389.6</v>
      </c>
    </row>
    <row r="952" spans="1:22" x14ac:dyDescent="0.25">
      <c r="A952" t="s">
        <v>1672</v>
      </c>
      <c r="B952" t="s">
        <v>1673</v>
      </c>
      <c r="C952">
        <v>528</v>
      </c>
      <c r="D952">
        <v>99</v>
      </c>
      <c r="E952">
        <v>99</v>
      </c>
      <c r="F952" t="s">
        <v>1674</v>
      </c>
      <c r="G952" t="s">
        <v>1674</v>
      </c>
      <c r="H952">
        <f t="shared" si="17"/>
        <v>9</v>
      </c>
      <c r="M952" s="1">
        <v>1.10993003472686E-2</v>
      </c>
      <c r="N952">
        <v>1392.71826171875</v>
      </c>
      <c r="O952">
        <v>697.3664</v>
      </c>
      <c r="P952">
        <v>1392.70715332031</v>
      </c>
      <c r="Q952">
        <v>697.36083984375</v>
      </c>
      <c r="R952">
        <v>2</v>
      </c>
      <c r="S952">
        <v>1</v>
      </c>
      <c r="T952">
        <v>10</v>
      </c>
      <c r="U952">
        <v>41.650779999999898</v>
      </c>
      <c r="V952">
        <v>144966.70000000001</v>
      </c>
    </row>
    <row r="953" spans="1:22" x14ac:dyDescent="0.25">
      <c r="A953" t="s">
        <v>2728</v>
      </c>
      <c r="B953" t="s">
        <v>2729</v>
      </c>
      <c r="C953">
        <v>313</v>
      </c>
      <c r="D953">
        <v>97.8</v>
      </c>
      <c r="E953">
        <v>97.8</v>
      </c>
      <c r="F953" t="s">
        <v>212</v>
      </c>
      <c r="G953" t="s">
        <v>212</v>
      </c>
      <c r="H953">
        <f t="shared" si="17"/>
        <v>9</v>
      </c>
      <c r="M953" s="1">
        <v>1.24949002638459E-2</v>
      </c>
      <c r="N953">
        <v>1843.9951171875</v>
      </c>
      <c r="O953">
        <v>615.67229999999904</v>
      </c>
      <c r="P953">
        <v>1843.98254394531</v>
      </c>
      <c r="Q953">
        <v>615.66815185546795</v>
      </c>
      <c r="R953">
        <v>3</v>
      </c>
      <c r="S953">
        <v>1</v>
      </c>
      <c r="T953">
        <v>10</v>
      </c>
      <c r="U953">
        <v>46.931669999999897</v>
      </c>
      <c r="V953">
        <v>65718.880000000005</v>
      </c>
    </row>
    <row r="954" spans="1:22" x14ac:dyDescent="0.25">
      <c r="A954" t="s">
        <v>1838</v>
      </c>
      <c r="B954" t="s">
        <v>1839</v>
      </c>
      <c r="C954">
        <v>164</v>
      </c>
      <c r="D954">
        <v>99</v>
      </c>
      <c r="E954">
        <v>99</v>
      </c>
      <c r="F954" t="s">
        <v>1840</v>
      </c>
      <c r="G954" t="s">
        <v>1840</v>
      </c>
      <c r="H954">
        <f t="shared" si="17"/>
        <v>15</v>
      </c>
      <c r="M954" s="1">
        <v>4.13338001817465E-3</v>
      </c>
      <c r="N954">
        <v>1508.64208984375</v>
      </c>
      <c r="O954">
        <v>755.32830000000001</v>
      </c>
      <c r="P954">
        <v>1508.63793945313</v>
      </c>
      <c r="Q954">
        <v>755.32623291015602</v>
      </c>
      <c r="R954">
        <v>2</v>
      </c>
      <c r="S954">
        <v>1</v>
      </c>
      <c r="T954">
        <v>15</v>
      </c>
      <c r="U954">
        <v>27.99203</v>
      </c>
      <c r="V954">
        <v>301437.7</v>
      </c>
    </row>
    <row r="955" spans="1:22" x14ac:dyDescent="0.25">
      <c r="A955" t="s">
        <v>1838</v>
      </c>
      <c r="B955" t="s">
        <v>1839</v>
      </c>
      <c r="C955">
        <v>163</v>
      </c>
      <c r="D955">
        <v>99</v>
      </c>
      <c r="E955">
        <v>99</v>
      </c>
      <c r="F955" t="s">
        <v>1841</v>
      </c>
      <c r="G955" t="s">
        <v>1841</v>
      </c>
      <c r="H955">
        <f t="shared" si="17"/>
        <v>16</v>
      </c>
      <c r="M955">
        <v>-7.2000000000000002E-5</v>
      </c>
      <c r="N955">
        <v>1655.70629882813</v>
      </c>
      <c r="O955">
        <v>828.86040000000003</v>
      </c>
      <c r="P955">
        <v>1655.70629882813</v>
      </c>
      <c r="Q955">
        <v>828.86047363281205</v>
      </c>
      <c r="R955">
        <v>2</v>
      </c>
      <c r="S955">
        <v>1</v>
      </c>
      <c r="T955">
        <v>14</v>
      </c>
      <c r="U955">
        <v>38.902279999999898</v>
      </c>
      <c r="V955">
        <v>452663.6</v>
      </c>
    </row>
    <row r="956" spans="1:22" x14ac:dyDescent="0.25">
      <c r="A956" t="s">
        <v>1838</v>
      </c>
      <c r="B956" t="s">
        <v>1839</v>
      </c>
      <c r="C956">
        <v>163</v>
      </c>
      <c r="D956">
        <v>99</v>
      </c>
      <c r="E956">
        <v>99</v>
      </c>
      <c r="F956" t="s">
        <v>1841</v>
      </c>
      <c r="G956" t="s">
        <v>1841</v>
      </c>
      <c r="H956">
        <f t="shared" si="17"/>
        <v>16</v>
      </c>
      <c r="L956" t="s">
        <v>1842</v>
      </c>
      <c r="M956" s="1">
        <v>-4.4514401815831601E-3</v>
      </c>
      <c r="N956">
        <v>1167.55969238281</v>
      </c>
      <c r="O956">
        <v>584.78710000000001</v>
      </c>
      <c r="P956">
        <v>1167.56408691406</v>
      </c>
      <c r="Q956">
        <v>584.789306640625</v>
      </c>
      <c r="R956">
        <v>2</v>
      </c>
      <c r="S956">
        <v>1</v>
      </c>
      <c r="T956">
        <v>11</v>
      </c>
      <c r="U956">
        <v>18.1297</v>
      </c>
      <c r="V956">
        <v>47866.07</v>
      </c>
    </row>
    <row r="957" spans="1:22" x14ac:dyDescent="0.25">
      <c r="A957" t="s">
        <v>238</v>
      </c>
      <c r="B957" t="s">
        <v>239</v>
      </c>
      <c r="C957">
        <v>38</v>
      </c>
      <c r="D957">
        <v>97.2</v>
      </c>
      <c r="E957">
        <v>97.22</v>
      </c>
      <c r="F957" t="s">
        <v>2847</v>
      </c>
      <c r="G957" t="s">
        <v>2847</v>
      </c>
      <c r="H957">
        <f t="shared" si="17"/>
        <v>19</v>
      </c>
      <c r="L957" t="s">
        <v>2848</v>
      </c>
      <c r="M957" s="1">
        <v>1.1830899864435101E-2</v>
      </c>
      <c r="N957">
        <v>2006.03149414063</v>
      </c>
      <c r="O957">
        <v>1004.023</v>
      </c>
      <c r="P957">
        <v>2006.01965332031</v>
      </c>
      <c r="Q957">
        <v>1004.01708984375</v>
      </c>
      <c r="R957">
        <v>2</v>
      </c>
      <c r="S957">
        <v>6</v>
      </c>
      <c r="T957">
        <v>16</v>
      </c>
      <c r="U957">
        <v>32.8738999999999</v>
      </c>
      <c r="V957">
        <v>236312.2</v>
      </c>
    </row>
    <row r="958" spans="1:22" x14ac:dyDescent="0.25">
      <c r="A958" t="s">
        <v>4201</v>
      </c>
      <c r="B958" t="s">
        <v>4202</v>
      </c>
      <c r="C958">
        <v>792</v>
      </c>
      <c r="D958">
        <v>98.9</v>
      </c>
      <c r="E958">
        <v>98.91</v>
      </c>
      <c r="F958" t="s">
        <v>4203</v>
      </c>
      <c r="G958" t="s">
        <v>4203</v>
      </c>
      <c r="H958">
        <f t="shared" si="17"/>
        <v>9</v>
      </c>
      <c r="M958">
        <v>-8.5000000000000006E-5</v>
      </c>
      <c r="N958">
        <v>2107.0068359375</v>
      </c>
      <c r="O958">
        <v>703.34289999999896</v>
      </c>
      <c r="P958">
        <v>2107.0068359375</v>
      </c>
      <c r="Q958">
        <v>703.34289550781205</v>
      </c>
      <c r="R958">
        <v>3</v>
      </c>
      <c r="S958">
        <v>1</v>
      </c>
      <c r="T958">
        <v>12</v>
      </c>
      <c r="U958">
        <v>27.727650000000001</v>
      </c>
      <c r="V958">
        <v>172516.5</v>
      </c>
    </row>
    <row r="959" spans="1:22" x14ac:dyDescent="0.25">
      <c r="A959" t="s">
        <v>861</v>
      </c>
      <c r="B959" t="s">
        <v>862</v>
      </c>
      <c r="C959">
        <v>467</v>
      </c>
      <c r="D959">
        <v>99</v>
      </c>
      <c r="E959">
        <v>99</v>
      </c>
      <c r="F959" t="s">
        <v>863</v>
      </c>
      <c r="G959" t="s">
        <v>863</v>
      </c>
      <c r="H959">
        <f t="shared" si="17"/>
        <v>9</v>
      </c>
      <c r="M959">
        <v>1.3749999999999999E-3</v>
      </c>
      <c r="N959">
        <v>1889.94970703125</v>
      </c>
      <c r="O959">
        <v>945.98209999999904</v>
      </c>
      <c r="P959">
        <v>1889.94836425781</v>
      </c>
      <c r="Q959">
        <v>945.9814453125</v>
      </c>
      <c r="R959">
        <v>2</v>
      </c>
      <c r="S959">
        <v>2</v>
      </c>
      <c r="T959">
        <v>19</v>
      </c>
      <c r="U959">
        <v>34.730550000000001</v>
      </c>
      <c r="V959">
        <v>463905.8</v>
      </c>
    </row>
    <row r="960" spans="1:22" x14ac:dyDescent="0.25">
      <c r="A960" t="s">
        <v>2514</v>
      </c>
      <c r="B960" t="s">
        <v>2515</v>
      </c>
      <c r="C960">
        <v>342</v>
      </c>
      <c r="D960">
        <v>97.6</v>
      </c>
      <c r="E960">
        <v>97.63</v>
      </c>
      <c r="F960" t="s">
        <v>2516</v>
      </c>
      <c r="G960" t="s">
        <v>2516</v>
      </c>
      <c r="H960">
        <f t="shared" si="17"/>
        <v>9</v>
      </c>
      <c r="M960" s="1">
        <v>6.4989500679075701E-3</v>
      </c>
      <c r="N960">
        <v>1848.87817382813</v>
      </c>
      <c r="O960">
        <v>617.29999999999905</v>
      </c>
      <c r="P960">
        <v>1848.87158203125</v>
      </c>
      <c r="Q960">
        <v>617.2978515625</v>
      </c>
      <c r="R960">
        <v>3</v>
      </c>
      <c r="S960">
        <v>1</v>
      </c>
      <c r="T960">
        <v>11</v>
      </c>
      <c r="U960">
        <v>42.156350000000003</v>
      </c>
      <c r="V960">
        <v>410166.4</v>
      </c>
    </row>
    <row r="961" spans="1:22" x14ac:dyDescent="0.25">
      <c r="A961" t="s">
        <v>3729</v>
      </c>
      <c r="B961" t="s">
        <v>3730</v>
      </c>
      <c r="C961">
        <v>138</v>
      </c>
      <c r="D961">
        <v>97.7</v>
      </c>
      <c r="E961">
        <v>97.74</v>
      </c>
      <c r="F961" t="s">
        <v>3731</v>
      </c>
      <c r="G961" t="s">
        <v>3731</v>
      </c>
      <c r="H961">
        <f t="shared" si="17"/>
        <v>9</v>
      </c>
      <c r="M961" s="1">
        <v>4.1501801460981404E-3</v>
      </c>
      <c r="N961">
        <v>1645.83532714844</v>
      </c>
      <c r="O961">
        <v>823.92489999999896</v>
      </c>
      <c r="P961">
        <v>1645.83117675781</v>
      </c>
      <c r="Q961">
        <v>823.9228515625</v>
      </c>
      <c r="R961">
        <v>2</v>
      </c>
      <c r="S961">
        <v>1</v>
      </c>
      <c r="T961">
        <v>11</v>
      </c>
      <c r="U961">
        <v>40.4742999999999</v>
      </c>
      <c r="V961">
        <v>184264.8</v>
      </c>
    </row>
    <row r="962" spans="1:22" x14ac:dyDescent="0.25">
      <c r="A962" t="s">
        <v>4188</v>
      </c>
      <c r="B962" t="s">
        <v>4189</v>
      </c>
      <c r="C962">
        <v>122</v>
      </c>
      <c r="D962">
        <v>98</v>
      </c>
      <c r="E962">
        <v>98.03</v>
      </c>
      <c r="F962" t="s">
        <v>4190</v>
      </c>
      <c r="G962" t="s">
        <v>4190</v>
      </c>
      <c r="H962">
        <f t="shared" si="17"/>
        <v>9</v>
      </c>
      <c r="M962" s="1">
        <v>9.1975303366780194E-3</v>
      </c>
      <c r="N962">
        <v>1758.92443847656</v>
      </c>
      <c r="O962">
        <v>880.46950000000004</v>
      </c>
      <c r="P962">
        <v>1758.91516113281</v>
      </c>
      <c r="Q962">
        <v>880.46490478515602</v>
      </c>
      <c r="R962">
        <v>2</v>
      </c>
      <c r="S962">
        <v>1</v>
      </c>
      <c r="T962">
        <v>13</v>
      </c>
      <c r="U962">
        <v>44.280900000000003</v>
      </c>
      <c r="V962">
        <v>130260</v>
      </c>
    </row>
    <row r="963" spans="1:22" x14ac:dyDescent="0.25">
      <c r="A963" t="s">
        <v>3886</v>
      </c>
      <c r="B963" t="s">
        <v>3887</v>
      </c>
      <c r="C963">
        <v>130</v>
      </c>
      <c r="D963">
        <v>99</v>
      </c>
      <c r="E963">
        <v>99</v>
      </c>
      <c r="F963" t="s">
        <v>124</v>
      </c>
      <c r="G963" t="s">
        <v>124</v>
      </c>
      <c r="H963">
        <f t="shared" ref="H963:H1026" si="18">LEN(G963)</f>
        <v>9</v>
      </c>
      <c r="M963" s="1">
        <v>4.6067900257185102E-4</v>
      </c>
      <c r="N963">
        <v>1685.76501464844</v>
      </c>
      <c r="O963">
        <v>843.88980000000004</v>
      </c>
      <c r="P963">
        <v>1685.76452636719</v>
      </c>
      <c r="Q963">
        <v>843.88952636718705</v>
      </c>
      <c r="R963">
        <v>2</v>
      </c>
      <c r="S963">
        <v>1</v>
      </c>
      <c r="T963">
        <v>12</v>
      </c>
      <c r="U963">
        <v>27.167120000000001</v>
      </c>
      <c r="V963">
        <v>294821.3</v>
      </c>
    </row>
    <row r="964" spans="1:22" x14ac:dyDescent="0.25">
      <c r="A964" t="s">
        <v>1588</v>
      </c>
      <c r="B964" t="s">
        <v>1589</v>
      </c>
      <c r="C964">
        <v>123</v>
      </c>
      <c r="D964">
        <v>99</v>
      </c>
      <c r="E964">
        <v>99</v>
      </c>
      <c r="F964" t="s">
        <v>1590</v>
      </c>
      <c r="G964" t="s">
        <v>1590</v>
      </c>
      <c r="H964">
        <f t="shared" si="18"/>
        <v>9</v>
      </c>
      <c r="M964" s="1">
        <v>4.5293299481272602E-3</v>
      </c>
      <c r="N964">
        <v>1988.03405761719</v>
      </c>
      <c r="O964">
        <v>663.68529999999896</v>
      </c>
      <c r="P964">
        <v>1988.02954101563</v>
      </c>
      <c r="Q964">
        <v>663.68377685546795</v>
      </c>
      <c r="R964">
        <v>3</v>
      </c>
      <c r="S964">
        <v>1</v>
      </c>
      <c r="T964">
        <v>18</v>
      </c>
      <c r="U964">
        <v>29.336400000000001</v>
      </c>
      <c r="V964">
        <v>354534.40000000002</v>
      </c>
    </row>
    <row r="965" spans="1:22" x14ac:dyDescent="0.25">
      <c r="A965" t="s">
        <v>3367</v>
      </c>
      <c r="B965" t="s">
        <v>3368</v>
      </c>
      <c r="C965">
        <v>233</v>
      </c>
      <c r="D965">
        <v>98.7</v>
      </c>
      <c r="E965">
        <v>98.69</v>
      </c>
      <c r="F965" t="s">
        <v>3369</v>
      </c>
      <c r="G965" t="s">
        <v>3369</v>
      </c>
      <c r="H965">
        <f t="shared" si="18"/>
        <v>9</v>
      </c>
      <c r="L965" t="s">
        <v>47</v>
      </c>
      <c r="M965" s="1">
        <v>1.01696001365781E-3</v>
      </c>
      <c r="N965">
        <v>1069.56005859375</v>
      </c>
      <c r="O965">
        <v>535.78729999999905</v>
      </c>
      <c r="P965">
        <v>1069.55895996094</v>
      </c>
      <c r="Q965">
        <v>535.78680419921795</v>
      </c>
      <c r="R965">
        <v>2</v>
      </c>
      <c r="S965">
        <v>1</v>
      </c>
      <c r="T965">
        <v>12</v>
      </c>
      <c r="U965">
        <v>25.699670000000001</v>
      </c>
      <c r="V965">
        <v>4363593</v>
      </c>
    </row>
    <row r="966" spans="1:22" x14ac:dyDescent="0.25">
      <c r="A966" t="s">
        <v>4023</v>
      </c>
      <c r="B966" t="s">
        <v>4024</v>
      </c>
      <c r="C966">
        <v>257</v>
      </c>
      <c r="D966">
        <v>97.2</v>
      </c>
      <c r="E966">
        <v>97.23</v>
      </c>
      <c r="F966" t="s">
        <v>165</v>
      </c>
      <c r="G966" t="s">
        <v>165</v>
      </c>
      <c r="H966">
        <f t="shared" si="18"/>
        <v>9</v>
      </c>
      <c r="M966" s="1">
        <v>2.6271999813616302E-3</v>
      </c>
      <c r="N966">
        <v>1805.95971679688</v>
      </c>
      <c r="O966">
        <v>452.49720000000002</v>
      </c>
      <c r="P966">
        <v>1805.95703125</v>
      </c>
      <c r="Q966">
        <v>452.49652099609301</v>
      </c>
      <c r="R966">
        <v>4</v>
      </c>
      <c r="S966">
        <v>2</v>
      </c>
      <c r="T966">
        <v>12</v>
      </c>
      <c r="U966">
        <v>28.087720000000001</v>
      </c>
      <c r="V966">
        <v>390641.2</v>
      </c>
    </row>
    <row r="967" spans="1:22" x14ac:dyDescent="0.25">
      <c r="A967" t="s">
        <v>3441</v>
      </c>
      <c r="B967" t="s">
        <v>3442</v>
      </c>
      <c r="C967">
        <v>101</v>
      </c>
      <c r="D967">
        <v>98.9</v>
      </c>
      <c r="E967">
        <v>98.88</v>
      </c>
      <c r="F967" t="s">
        <v>3443</v>
      </c>
      <c r="G967" t="s">
        <v>3443</v>
      </c>
      <c r="H967">
        <f t="shared" si="18"/>
        <v>9</v>
      </c>
      <c r="M967" s="1">
        <v>9.3856202438473701E-3</v>
      </c>
      <c r="N967">
        <v>1457.79724121094</v>
      </c>
      <c r="O967">
        <v>729.90589999999895</v>
      </c>
      <c r="P967">
        <v>1457.78784179688</v>
      </c>
      <c r="Q967">
        <v>729.90118408203102</v>
      </c>
      <c r="R967">
        <v>2</v>
      </c>
      <c r="S967">
        <v>3</v>
      </c>
      <c r="T967">
        <v>8</v>
      </c>
      <c r="U967">
        <v>49.207880000000003</v>
      </c>
      <c r="V967">
        <v>19517.240000000002</v>
      </c>
    </row>
    <row r="968" spans="1:22" x14ac:dyDescent="0.25">
      <c r="A968" t="s">
        <v>354</v>
      </c>
      <c r="B968" t="s">
        <v>355</v>
      </c>
      <c r="C968">
        <v>453</v>
      </c>
      <c r="D968">
        <v>99</v>
      </c>
      <c r="E968">
        <v>99</v>
      </c>
      <c r="F968" t="s">
        <v>1538</v>
      </c>
      <c r="G968" t="s">
        <v>1538</v>
      </c>
      <c r="H968">
        <f t="shared" si="18"/>
        <v>17</v>
      </c>
      <c r="M968" s="1">
        <v>1.17886997759342E-2</v>
      </c>
      <c r="N968">
        <v>1744.92663574219</v>
      </c>
      <c r="O968">
        <v>873.47059999999897</v>
      </c>
      <c r="P968">
        <v>1744.91479492188</v>
      </c>
      <c r="Q968">
        <v>873.46466064453102</v>
      </c>
      <c r="R968">
        <v>2</v>
      </c>
      <c r="S968">
        <v>1</v>
      </c>
      <c r="T968">
        <v>11</v>
      </c>
      <c r="U968">
        <v>55.41057</v>
      </c>
      <c r="V968">
        <v>147507.70000000001</v>
      </c>
    </row>
    <row r="969" spans="1:22" x14ac:dyDescent="0.25">
      <c r="A969" t="s">
        <v>354</v>
      </c>
      <c r="B969" t="s">
        <v>355</v>
      </c>
      <c r="C969">
        <v>570</v>
      </c>
      <c r="D969">
        <v>99</v>
      </c>
      <c r="E969">
        <v>99</v>
      </c>
      <c r="F969" t="s">
        <v>1539</v>
      </c>
      <c r="G969" t="s">
        <v>1539</v>
      </c>
      <c r="H969">
        <f t="shared" si="18"/>
        <v>15</v>
      </c>
      <c r="M969" s="1">
        <v>1.4088699826970701E-3</v>
      </c>
      <c r="N969">
        <v>975.44244384765602</v>
      </c>
      <c r="O969">
        <v>488.7285</v>
      </c>
      <c r="P969">
        <v>975.44097900390602</v>
      </c>
      <c r="Q969">
        <v>488.727783203125</v>
      </c>
      <c r="R969">
        <v>2</v>
      </c>
      <c r="S969">
        <v>2</v>
      </c>
      <c r="T969">
        <v>10</v>
      </c>
      <c r="U969">
        <v>25.123919999999899</v>
      </c>
      <c r="V969">
        <v>181462.2</v>
      </c>
    </row>
    <row r="970" spans="1:22" x14ac:dyDescent="0.25">
      <c r="A970" t="s">
        <v>260</v>
      </c>
      <c r="B970" t="s">
        <v>261</v>
      </c>
      <c r="C970">
        <v>175</v>
      </c>
      <c r="D970">
        <v>99</v>
      </c>
      <c r="E970">
        <v>99</v>
      </c>
      <c r="F970" t="s">
        <v>1982</v>
      </c>
      <c r="G970" t="s">
        <v>1982</v>
      </c>
      <c r="H970">
        <f t="shared" si="18"/>
        <v>12</v>
      </c>
      <c r="M970" s="1">
        <v>2.3592800425831101E-4</v>
      </c>
      <c r="N970">
        <v>992.55584716796795</v>
      </c>
      <c r="O970">
        <v>497.28519999999901</v>
      </c>
      <c r="P970">
        <v>992.55560302734295</v>
      </c>
      <c r="Q970">
        <v>497.28506469726602</v>
      </c>
      <c r="R970">
        <v>2</v>
      </c>
      <c r="S970">
        <v>1</v>
      </c>
      <c r="T970">
        <v>10</v>
      </c>
      <c r="U970">
        <v>22.38608</v>
      </c>
      <c r="V970">
        <v>106653.6</v>
      </c>
    </row>
    <row r="971" spans="1:22" x14ac:dyDescent="0.25">
      <c r="A971" t="s">
        <v>482</v>
      </c>
      <c r="B971" t="s">
        <v>483</v>
      </c>
      <c r="C971">
        <v>560</v>
      </c>
      <c r="D971">
        <v>99</v>
      </c>
      <c r="E971">
        <v>99</v>
      </c>
      <c r="F971" t="s">
        <v>484</v>
      </c>
      <c r="G971" t="s">
        <v>484</v>
      </c>
      <c r="H971">
        <f t="shared" si="18"/>
        <v>19</v>
      </c>
      <c r="M971">
        <v>-1.338E-2</v>
      </c>
      <c r="N971">
        <v>1975.02807617188</v>
      </c>
      <c r="O971">
        <v>659.35</v>
      </c>
      <c r="P971">
        <v>1975.04150390625</v>
      </c>
      <c r="Q971">
        <v>659.35443115234295</v>
      </c>
      <c r="R971">
        <v>3</v>
      </c>
      <c r="S971">
        <v>2</v>
      </c>
      <c r="T971">
        <v>14</v>
      </c>
      <c r="U971">
        <v>38.645249999999898</v>
      </c>
      <c r="V971">
        <v>323230.40000000002</v>
      </c>
    </row>
    <row r="972" spans="1:22" x14ac:dyDescent="0.25">
      <c r="A972" t="s">
        <v>482</v>
      </c>
      <c r="B972" t="s">
        <v>483</v>
      </c>
      <c r="C972">
        <v>635</v>
      </c>
      <c r="D972">
        <v>99</v>
      </c>
      <c r="E972">
        <v>99</v>
      </c>
      <c r="F972" t="s">
        <v>1210</v>
      </c>
      <c r="G972" t="s">
        <v>1210</v>
      </c>
      <c r="H972">
        <f t="shared" si="18"/>
        <v>10</v>
      </c>
      <c r="M972" s="1">
        <v>6.5509001724422004E-3</v>
      </c>
      <c r="N972">
        <v>1540.90026855469</v>
      </c>
      <c r="O972">
        <v>771.45740000000001</v>
      </c>
      <c r="P972">
        <v>1540.89367675781</v>
      </c>
      <c r="Q972">
        <v>771.4541015625</v>
      </c>
      <c r="R972">
        <v>2</v>
      </c>
      <c r="S972">
        <v>1</v>
      </c>
      <c r="T972">
        <v>12</v>
      </c>
      <c r="U972">
        <v>55.188119999999898</v>
      </c>
      <c r="V972">
        <v>57970.26</v>
      </c>
    </row>
    <row r="973" spans="1:22" x14ac:dyDescent="0.25">
      <c r="A973" t="s">
        <v>1540</v>
      </c>
      <c r="B973" t="s">
        <v>1541</v>
      </c>
      <c r="C973">
        <v>578</v>
      </c>
      <c r="D973">
        <v>99</v>
      </c>
      <c r="E973">
        <v>99</v>
      </c>
      <c r="F973" t="s">
        <v>1542</v>
      </c>
      <c r="G973" t="s">
        <v>1542</v>
      </c>
      <c r="H973">
        <f t="shared" si="18"/>
        <v>12</v>
      </c>
      <c r="M973" s="1">
        <v>1.00289995316416E-3</v>
      </c>
      <c r="N973">
        <v>1572.79064941406</v>
      </c>
      <c r="O973">
        <v>787.40260000000001</v>
      </c>
      <c r="P973">
        <v>1572.78967285156</v>
      </c>
      <c r="Q973">
        <v>787.402099609375</v>
      </c>
      <c r="R973">
        <v>2</v>
      </c>
      <c r="S973">
        <v>1</v>
      </c>
      <c r="T973">
        <v>10</v>
      </c>
      <c r="U973">
        <v>25.707529999999899</v>
      </c>
      <c r="V973">
        <v>223370.4</v>
      </c>
    </row>
    <row r="974" spans="1:22" x14ac:dyDescent="0.25">
      <c r="A974" t="s">
        <v>1540</v>
      </c>
      <c r="B974" t="s">
        <v>1541</v>
      </c>
      <c r="C974">
        <v>578</v>
      </c>
      <c r="D974">
        <v>99</v>
      </c>
      <c r="E974">
        <v>99</v>
      </c>
      <c r="F974" t="s">
        <v>1543</v>
      </c>
      <c r="G974" t="s">
        <v>1543</v>
      </c>
      <c r="H974">
        <f t="shared" si="18"/>
        <v>13</v>
      </c>
      <c r="M974" s="1">
        <v>6.3934600912034503E-3</v>
      </c>
      <c r="N974">
        <v>1992.08569335938</v>
      </c>
      <c r="O974">
        <v>665.03579999999897</v>
      </c>
      <c r="P974">
        <v>1992.07922363281</v>
      </c>
      <c r="Q974">
        <v>665.03369140625</v>
      </c>
      <c r="R974">
        <v>3</v>
      </c>
      <c r="S974">
        <v>3</v>
      </c>
      <c r="T974">
        <v>8</v>
      </c>
      <c r="U974">
        <v>40.207749999999898</v>
      </c>
      <c r="V974">
        <v>120709.8</v>
      </c>
    </row>
    <row r="975" spans="1:22" x14ac:dyDescent="0.25">
      <c r="A975" t="s">
        <v>589</v>
      </c>
      <c r="B975" t="s">
        <v>590</v>
      </c>
      <c r="C975">
        <v>84</v>
      </c>
      <c r="D975">
        <v>99</v>
      </c>
      <c r="E975">
        <v>98.95</v>
      </c>
      <c r="F975" t="s">
        <v>591</v>
      </c>
      <c r="G975" t="s">
        <v>591</v>
      </c>
      <c r="H975">
        <f t="shared" si="18"/>
        <v>9</v>
      </c>
      <c r="M975" s="1">
        <v>-6.4490200020372902E-3</v>
      </c>
      <c r="N975">
        <v>1750.93090820313</v>
      </c>
      <c r="O975">
        <v>438.74</v>
      </c>
      <c r="P975">
        <v>1750.93725585938</v>
      </c>
      <c r="Q975">
        <v>438.74160766601602</v>
      </c>
      <c r="R975">
        <v>4</v>
      </c>
      <c r="S975">
        <v>1</v>
      </c>
      <c r="T975">
        <v>14</v>
      </c>
      <c r="U975">
        <v>21.448979999999899</v>
      </c>
      <c r="V975">
        <v>214431.9</v>
      </c>
    </row>
    <row r="976" spans="1:22" x14ac:dyDescent="0.25">
      <c r="A976" t="s">
        <v>4499</v>
      </c>
      <c r="B976" t="s">
        <v>4500</v>
      </c>
      <c r="C976">
        <v>117</v>
      </c>
      <c r="D976">
        <v>98.7</v>
      </c>
      <c r="E976">
        <v>98.71</v>
      </c>
      <c r="F976" t="s">
        <v>4501</v>
      </c>
      <c r="G976" t="s">
        <v>4501</v>
      </c>
      <c r="H976">
        <f t="shared" si="18"/>
        <v>17</v>
      </c>
      <c r="M976" s="1">
        <v>1.27255003899336E-2</v>
      </c>
      <c r="N976">
        <v>1254.6484375</v>
      </c>
      <c r="O976">
        <v>628.33150000000001</v>
      </c>
      <c r="P976">
        <v>1254.6357421875</v>
      </c>
      <c r="Q976">
        <v>628.32513427734295</v>
      </c>
      <c r="R976">
        <v>2</v>
      </c>
      <c r="S976">
        <v>1</v>
      </c>
      <c r="T976">
        <v>13</v>
      </c>
      <c r="U976">
        <v>41.566020000000002</v>
      </c>
      <c r="V976">
        <v>221335.5</v>
      </c>
    </row>
    <row r="977" spans="1:22" x14ac:dyDescent="0.25">
      <c r="A977" t="s">
        <v>2713</v>
      </c>
      <c r="B977" t="s">
        <v>2714</v>
      </c>
      <c r="C977">
        <v>190</v>
      </c>
      <c r="D977">
        <v>99</v>
      </c>
      <c r="E977">
        <v>99</v>
      </c>
      <c r="F977" t="s">
        <v>2715</v>
      </c>
      <c r="G977" t="s">
        <v>2715</v>
      </c>
      <c r="H977">
        <f t="shared" si="18"/>
        <v>9</v>
      </c>
      <c r="L977" t="s">
        <v>47</v>
      </c>
      <c r="M977" s="1">
        <v>4.8625399358570602E-3</v>
      </c>
      <c r="N977">
        <v>2142.01000976563</v>
      </c>
      <c r="O977">
        <v>715.01059999999904</v>
      </c>
      <c r="P977">
        <v>2142.00512695313</v>
      </c>
      <c r="Q977">
        <v>715.00897216796795</v>
      </c>
      <c r="R977">
        <v>3</v>
      </c>
      <c r="S977">
        <v>1</v>
      </c>
      <c r="T977">
        <v>13</v>
      </c>
      <c r="U977">
        <v>38.358139999999899</v>
      </c>
      <c r="V977">
        <v>315017.40000000002</v>
      </c>
    </row>
    <row r="978" spans="1:22" x14ac:dyDescent="0.25">
      <c r="A978" t="s">
        <v>3671</v>
      </c>
      <c r="B978" t="s">
        <v>3672</v>
      </c>
      <c r="C978">
        <v>299</v>
      </c>
      <c r="D978">
        <v>97.5</v>
      </c>
      <c r="E978">
        <v>97.46</v>
      </c>
      <c r="F978" t="s">
        <v>3673</v>
      </c>
      <c r="G978" t="s">
        <v>3673</v>
      </c>
      <c r="H978">
        <f t="shared" si="18"/>
        <v>9</v>
      </c>
      <c r="M978" s="1">
        <v>-2.2702099755406401E-2</v>
      </c>
      <c r="N978">
        <v>1032.53771972656</v>
      </c>
      <c r="O978">
        <v>517.27610000000004</v>
      </c>
      <c r="P978">
        <v>1032.56042480469</v>
      </c>
      <c r="Q978">
        <v>517.28747558593705</v>
      </c>
      <c r="R978">
        <v>2</v>
      </c>
      <c r="S978">
        <v>1</v>
      </c>
      <c r="T978">
        <v>10</v>
      </c>
      <c r="U978">
        <v>31.6910799999999</v>
      </c>
      <c r="V978">
        <v>8582706</v>
      </c>
    </row>
    <row r="979" spans="1:22" x14ac:dyDescent="0.25">
      <c r="A979" t="s">
        <v>4116</v>
      </c>
      <c r="B979" t="s">
        <v>4117</v>
      </c>
      <c r="C979">
        <v>1151</v>
      </c>
      <c r="D979">
        <v>98.6</v>
      </c>
      <c r="E979">
        <v>98.55</v>
      </c>
      <c r="F979" t="s">
        <v>4118</v>
      </c>
      <c r="G979" t="s">
        <v>4118</v>
      </c>
      <c r="H979">
        <f t="shared" si="18"/>
        <v>12</v>
      </c>
      <c r="M979" s="1">
        <v>2.5558399502188002E-3</v>
      </c>
      <c r="N979">
        <v>844.479248046875</v>
      </c>
      <c r="O979">
        <v>423.24689999999902</v>
      </c>
      <c r="P979">
        <v>844.47668457031205</v>
      </c>
      <c r="Q979">
        <v>423.24560546875</v>
      </c>
      <c r="R979">
        <v>2</v>
      </c>
      <c r="S979">
        <v>1</v>
      </c>
      <c r="T979">
        <v>12</v>
      </c>
      <c r="U979">
        <v>26.631350000000001</v>
      </c>
      <c r="V979">
        <v>305134.2</v>
      </c>
    </row>
    <row r="980" spans="1:22" x14ac:dyDescent="0.25">
      <c r="A980" t="s">
        <v>3574</v>
      </c>
      <c r="B980" t="s">
        <v>3575</v>
      </c>
      <c r="C980">
        <v>28</v>
      </c>
      <c r="D980">
        <v>98.7</v>
      </c>
      <c r="E980">
        <v>98.68</v>
      </c>
      <c r="F980" t="s">
        <v>3576</v>
      </c>
      <c r="G980" t="s">
        <v>3576</v>
      </c>
      <c r="H980">
        <f t="shared" si="18"/>
        <v>9</v>
      </c>
      <c r="M980" s="1">
        <v>1.0939300060272101E-2</v>
      </c>
      <c r="N980">
        <v>1873.00549316406</v>
      </c>
      <c r="O980">
        <v>937.51</v>
      </c>
      <c r="P980">
        <v>1872.99450683594</v>
      </c>
      <c r="Q980">
        <v>937.50451660156205</v>
      </c>
      <c r="R980">
        <v>2</v>
      </c>
      <c r="S980">
        <v>1</v>
      </c>
      <c r="T980">
        <v>11</v>
      </c>
      <c r="U980">
        <v>47.524970000000003</v>
      </c>
      <c r="V980">
        <v>90263.35</v>
      </c>
    </row>
    <row r="981" spans="1:22" x14ac:dyDescent="0.25">
      <c r="A981" t="s">
        <v>2901</v>
      </c>
      <c r="B981" t="s">
        <v>2902</v>
      </c>
      <c r="C981">
        <v>433</v>
      </c>
      <c r="D981">
        <v>99</v>
      </c>
      <c r="E981">
        <v>99</v>
      </c>
      <c r="F981" t="s">
        <v>233</v>
      </c>
      <c r="G981" t="s">
        <v>233</v>
      </c>
      <c r="H981">
        <f t="shared" si="18"/>
        <v>12</v>
      </c>
      <c r="M981">
        <v>1.8402000000000002E-2</v>
      </c>
      <c r="N981">
        <v>2001.07153320313</v>
      </c>
      <c r="O981">
        <v>1001.543</v>
      </c>
      <c r="P981">
        <v>2001.05310058594</v>
      </c>
      <c r="Q981">
        <v>1001.53381347656</v>
      </c>
      <c r="R981">
        <v>2</v>
      </c>
      <c r="S981">
        <v>1</v>
      </c>
      <c r="T981">
        <v>8</v>
      </c>
      <c r="U981">
        <v>46.841569999999898</v>
      </c>
      <c r="V981">
        <v>56199.97</v>
      </c>
    </row>
    <row r="982" spans="1:22" x14ac:dyDescent="0.25">
      <c r="A982" t="s">
        <v>2901</v>
      </c>
      <c r="B982" t="s">
        <v>2902</v>
      </c>
      <c r="C982">
        <v>433</v>
      </c>
      <c r="D982">
        <v>99</v>
      </c>
      <c r="E982">
        <v>99</v>
      </c>
      <c r="F982" t="s">
        <v>233</v>
      </c>
      <c r="G982" t="s">
        <v>233</v>
      </c>
      <c r="H982">
        <f t="shared" si="18"/>
        <v>12</v>
      </c>
      <c r="L982" t="s">
        <v>52</v>
      </c>
      <c r="M982">
        <v>5.6599999999999999E-4</v>
      </c>
      <c r="N982">
        <v>1982.03015136719</v>
      </c>
      <c r="O982">
        <v>496.51479999999901</v>
      </c>
      <c r="P982">
        <v>1982.02954101563</v>
      </c>
      <c r="Q982">
        <v>496.5146484375</v>
      </c>
      <c r="R982">
        <v>4</v>
      </c>
      <c r="S982">
        <v>2</v>
      </c>
      <c r="T982">
        <v>10</v>
      </c>
      <c r="U982">
        <v>27.86195</v>
      </c>
      <c r="V982">
        <v>219045</v>
      </c>
    </row>
    <row r="983" spans="1:22" x14ac:dyDescent="0.25">
      <c r="A983" t="s">
        <v>2901</v>
      </c>
      <c r="B983" t="s">
        <v>2902</v>
      </c>
      <c r="C983">
        <v>433</v>
      </c>
      <c r="D983">
        <v>97.3</v>
      </c>
      <c r="E983">
        <v>97.27</v>
      </c>
      <c r="F983" t="s">
        <v>233</v>
      </c>
      <c r="G983" t="s">
        <v>233</v>
      </c>
      <c r="H983">
        <f t="shared" si="18"/>
        <v>12</v>
      </c>
      <c r="L983" t="s">
        <v>1408</v>
      </c>
      <c r="M983" s="1">
        <v>1.9558100029826099E-3</v>
      </c>
      <c r="N983">
        <v>1168.58312988281</v>
      </c>
      <c r="O983">
        <v>585.29880000000003</v>
      </c>
      <c r="P983">
        <v>1168.58117675781</v>
      </c>
      <c r="Q983">
        <v>585.2978515625</v>
      </c>
      <c r="R983">
        <v>2</v>
      </c>
      <c r="S983">
        <v>3</v>
      </c>
      <c r="T983">
        <v>13</v>
      </c>
      <c r="U983">
        <v>30.31222</v>
      </c>
      <c r="V983">
        <v>565881.4</v>
      </c>
    </row>
    <row r="984" spans="1:22" x14ac:dyDescent="0.25">
      <c r="A984" t="s">
        <v>3920</v>
      </c>
      <c r="B984" t="s">
        <v>3921</v>
      </c>
      <c r="C984">
        <v>265</v>
      </c>
      <c r="D984">
        <v>99</v>
      </c>
      <c r="E984">
        <v>99</v>
      </c>
      <c r="F984" t="s">
        <v>3922</v>
      </c>
      <c r="G984" t="s">
        <v>3922</v>
      </c>
      <c r="H984">
        <f t="shared" si="18"/>
        <v>9</v>
      </c>
      <c r="M984" s="1">
        <v>1.37058994732796E-3</v>
      </c>
      <c r="N984">
        <v>1929.05981445313</v>
      </c>
      <c r="O984">
        <v>644.02719999999897</v>
      </c>
      <c r="P984">
        <v>1929.05847167969</v>
      </c>
      <c r="Q984">
        <v>644.02679443359295</v>
      </c>
      <c r="R984">
        <v>3</v>
      </c>
      <c r="S984">
        <v>1</v>
      </c>
      <c r="T984">
        <v>13</v>
      </c>
      <c r="U984">
        <v>28.227</v>
      </c>
      <c r="V984">
        <v>512391.1</v>
      </c>
    </row>
    <row r="985" spans="1:22" x14ac:dyDescent="0.25">
      <c r="A985" t="s">
        <v>4623</v>
      </c>
      <c r="B985" t="s">
        <v>4624</v>
      </c>
      <c r="C985">
        <v>108</v>
      </c>
      <c r="D985">
        <v>99</v>
      </c>
      <c r="E985">
        <v>99</v>
      </c>
      <c r="F985" t="s">
        <v>4625</v>
      </c>
      <c r="G985" t="s">
        <v>4625</v>
      </c>
      <c r="H985">
        <f t="shared" si="18"/>
        <v>9</v>
      </c>
      <c r="M985" s="1">
        <v>1.11783994361757E-3</v>
      </c>
      <c r="N985">
        <v>1148.6201171875</v>
      </c>
      <c r="O985">
        <v>575.31730000000005</v>
      </c>
      <c r="P985">
        <v>1148.61901855469</v>
      </c>
      <c r="Q985">
        <v>575.31677246093705</v>
      </c>
      <c r="R985">
        <v>2</v>
      </c>
      <c r="S985">
        <v>1</v>
      </c>
      <c r="T985">
        <v>13</v>
      </c>
      <c r="U985">
        <v>26.856829999999899</v>
      </c>
      <c r="V985">
        <v>437601.2</v>
      </c>
    </row>
    <row r="986" spans="1:22" x14ac:dyDescent="0.25">
      <c r="A986" t="s">
        <v>333</v>
      </c>
      <c r="B986" t="s">
        <v>334</v>
      </c>
      <c r="C986">
        <v>150</v>
      </c>
      <c r="D986">
        <v>99</v>
      </c>
      <c r="E986">
        <v>99</v>
      </c>
      <c r="F986" t="s">
        <v>3885</v>
      </c>
      <c r="G986" t="s">
        <v>3885</v>
      </c>
      <c r="H986">
        <f t="shared" si="18"/>
        <v>18</v>
      </c>
      <c r="M986" s="1">
        <v>-2.1069999784231099E-3</v>
      </c>
      <c r="N986">
        <v>1023.56921386719</v>
      </c>
      <c r="O986">
        <v>512.79190000000006</v>
      </c>
      <c r="P986">
        <v>1023.5712890625</v>
      </c>
      <c r="Q986">
        <v>512.79290771484295</v>
      </c>
      <c r="R986">
        <v>2</v>
      </c>
      <c r="S986">
        <v>1</v>
      </c>
      <c r="T986">
        <v>11</v>
      </c>
      <c r="U986">
        <v>19.2215799999999</v>
      </c>
      <c r="V986">
        <v>423962.6</v>
      </c>
    </row>
    <row r="987" spans="1:22" x14ac:dyDescent="0.25">
      <c r="A987" t="s">
        <v>3326</v>
      </c>
      <c r="B987" t="s">
        <v>3327</v>
      </c>
      <c r="C987">
        <v>21</v>
      </c>
      <c r="D987">
        <v>99</v>
      </c>
      <c r="E987">
        <v>99</v>
      </c>
      <c r="F987" t="s">
        <v>3328</v>
      </c>
      <c r="G987" t="s">
        <v>3328</v>
      </c>
      <c r="H987">
        <f t="shared" si="18"/>
        <v>14</v>
      </c>
      <c r="M987" s="1">
        <v>-3.73842008411884E-3</v>
      </c>
      <c r="N987">
        <v>1051.57373046875</v>
      </c>
      <c r="O987">
        <v>526.79409999999905</v>
      </c>
      <c r="P987">
        <v>1051.57739257813</v>
      </c>
      <c r="Q987">
        <v>526.79602050781205</v>
      </c>
      <c r="R987">
        <v>2</v>
      </c>
      <c r="S987">
        <v>3</v>
      </c>
      <c r="T987">
        <v>13</v>
      </c>
      <c r="U987">
        <v>19.53473</v>
      </c>
      <c r="V987">
        <v>2661643</v>
      </c>
    </row>
    <row r="988" spans="1:22" x14ac:dyDescent="0.25">
      <c r="A988" t="s">
        <v>2636</v>
      </c>
      <c r="B988" t="s">
        <v>2637</v>
      </c>
      <c r="C988">
        <v>140</v>
      </c>
      <c r="D988">
        <v>98.9</v>
      </c>
      <c r="E988">
        <v>98.85</v>
      </c>
      <c r="F988" t="s">
        <v>2638</v>
      </c>
      <c r="G988" t="s">
        <v>2638</v>
      </c>
      <c r="H988">
        <f t="shared" si="18"/>
        <v>16</v>
      </c>
      <c r="M988" s="1">
        <v>6.8914201110601304E-3</v>
      </c>
      <c r="N988">
        <v>1491.79370117188</v>
      </c>
      <c r="O988">
        <v>746.90409999999895</v>
      </c>
      <c r="P988">
        <v>1491.78674316406</v>
      </c>
      <c r="Q988">
        <v>746.90069580078102</v>
      </c>
      <c r="R988">
        <v>2</v>
      </c>
      <c r="S988">
        <v>2</v>
      </c>
      <c r="T988">
        <v>10</v>
      </c>
      <c r="U988">
        <v>31.407800000000002</v>
      </c>
      <c r="V988">
        <v>179184.3</v>
      </c>
    </row>
    <row r="989" spans="1:22" x14ac:dyDescent="0.25">
      <c r="A989" t="s">
        <v>4594</v>
      </c>
      <c r="B989" t="s">
        <v>4595</v>
      </c>
      <c r="C989">
        <v>267</v>
      </c>
      <c r="D989">
        <v>99</v>
      </c>
      <c r="E989">
        <v>99</v>
      </c>
      <c r="F989" t="s">
        <v>4596</v>
      </c>
      <c r="G989" t="s">
        <v>4596</v>
      </c>
      <c r="H989">
        <f t="shared" si="18"/>
        <v>17</v>
      </c>
      <c r="M989" s="1">
        <v>1.29682002589106E-2</v>
      </c>
      <c r="N989">
        <v>2450.14404296875</v>
      </c>
      <c r="O989">
        <v>817.72190000000001</v>
      </c>
      <c r="P989">
        <v>2450.130859375</v>
      </c>
      <c r="Q989">
        <v>817.71759033203102</v>
      </c>
      <c r="R989">
        <v>3</v>
      </c>
      <c r="S989">
        <v>2</v>
      </c>
      <c r="T989">
        <v>14</v>
      </c>
      <c r="U989">
        <v>36.860799999999898</v>
      </c>
      <c r="V989">
        <v>278115.09999999899</v>
      </c>
    </row>
    <row r="990" spans="1:22" x14ac:dyDescent="0.25">
      <c r="A990" t="s">
        <v>4594</v>
      </c>
      <c r="B990" t="s">
        <v>4595</v>
      </c>
      <c r="C990">
        <v>267</v>
      </c>
      <c r="D990">
        <v>98.6</v>
      </c>
      <c r="E990">
        <v>98.55</v>
      </c>
      <c r="F990" t="s">
        <v>4597</v>
      </c>
      <c r="G990" t="s">
        <v>4597</v>
      </c>
      <c r="H990">
        <f t="shared" si="18"/>
        <v>18</v>
      </c>
      <c r="L990" t="s">
        <v>1182</v>
      </c>
      <c r="M990" s="1">
        <v>-2.02252995222807E-2</v>
      </c>
      <c r="N990">
        <v>1210.62902832031</v>
      </c>
      <c r="O990">
        <v>606.32180000000005</v>
      </c>
      <c r="P990">
        <v>1210.64916992188</v>
      </c>
      <c r="Q990">
        <v>606.33190917968705</v>
      </c>
      <c r="R990">
        <v>2</v>
      </c>
      <c r="S990">
        <v>1</v>
      </c>
      <c r="T990">
        <v>11</v>
      </c>
      <c r="U990">
        <v>22.269600000000001</v>
      </c>
      <c r="V990">
        <v>8544303</v>
      </c>
    </row>
    <row r="991" spans="1:22" x14ac:dyDescent="0.25">
      <c r="A991" t="s">
        <v>1702</v>
      </c>
      <c r="B991" t="s">
        <v>1703</v>
      </c>
      <c r="C991">
        <v>46</v>
      </c>
      <c r="D991">
        <v>97.4</v>
      </c>
      <c r="E991">
        <v>97.43</v>
      </c>
      <c r="F991" t="s">
        <v>1704</v>
      </c>
      <c r="G991" t="s">
        <v>1704</v>
      </c>
      <c r="H991">
        <f t="shared" si="18"/>
        <v>8</v>
      </c>
      <c r="M991">
        <v>-3.0000000000000001E-6</v>
      </c>
      <c r="N991">
        <v>1198.62341308594</v>
      </c>
      <c r="O991">
        <v>600.31899999999905</v>
      </c>
      <c r="P991">
        <v>1198.62341308594</v>
      </c>
      <c r="Q991">
        <v>600.31896972656205</v>
      </c>
      <c r="R991">
        <v>2</v>
      </c>
      <c r="S991">
        <v>2</v>
      </c>
      <c r="T991">
        <v>12</v>
      </c>
      <c r="U991">
        <v>24.7865199999999</v>
      </c>
      <c r="V991">
        <v>1602695</v>
      </c>
    </row>
    <row r="992" spans="1:22" x14ac:dyDescent="0.25">
      <c r="A992" t="s">
        <v>2621</v>
      </c>
      <c r="B992" t="s">
        <v>2622</v>
      </c>
      <c r="C992">
        <v>39</v>
      </c>
      <c r="D992">
        <v>98.6</v>
      </c>
      <c r="E992">
        <v>98.61</v>
      </c>
      <c r="F992" t="s">
        <v>2623</v>
      </c>
      <c r="G992" t="s">
        <v>2623</v>
      </c>
      <c r="H992">
        <f t="shared" si="18"/>
        <v>9</v>
      </c>
      <c r="M992" s="1">
        <v>5.1253000274300601E-3</v>
      </c>
      <c r="N992">
        <v>1954.11633300781</v>
      </c>
      <c r="O992">
        <v>652.37940000000003</v>
      </c>
      <c r="P992">
        <v>1954.11120605469</v>
      </c>
      <c r="Q992">
        <v>652.377685546875</v>
      </c>
      <c r="R992">
        <v>3</v>
      </c>
      <c r="S992">
        <v>2</v>
      </c>
      <c r="T992">
        <v>13</v>
      </c>
      <c r="U992">
        <v>36.34825</v>
      </c>
      <c r="V992">
        <v>144696</v>
      </c>
    </row>
    <row r="993" spans="1:22" x14ac:dyDescent="0.25">
      <c r="A993" t="s">
        <v>2046</v>
      </c>
      <c r="B993" t="s">
        <v>2047</v>
      </c>
      <c r="C993">
        <v>378</v>
      </c>
      <c r="D993">
        <v>98.5</v>
      </c>
      <c r="E993">
        <v>98.54</v>
      </c>
      <c r="F993" t="s">
        <v>2048</v>
      </c>
      <c r="G993" t="s">
        <v>2048</v>
      </c>
      <c r="H993">
        <f t="shared" si="18"/>
        <v>9</v>
      </c>
      <c r="M993" s="1">
        <v>6.5048702526837501E-4</v>
      </c>
      <c r="N993">
        <v>1111.60327148438</v>
      </c>
      <c r="O993">
        <v>556.80889999999897</v>
      </c>
      <c r="P993">
        <v>1111.6025390625</v>
      </c>
      <c r="Q993">
        <v>556.80859375</v>
      </c>
      <c r="R993">
        <v>2</v>
      </c>
      <c r="S993">
        <v>2</v>
      </c>
      <c r="T993">
        <v>10</v>
      </c>
      <c r="U993">
        <v>23.398230000000002</v>
      </c>
      <c r="V993">
        <v>369311.6</v>
      </c>
    </row>
    <row r="994" spans="1:22" x14ac:dyDescent="0.25">
      <c r="A994" t="s">
        <v>2118</v>
      </c>
      <c r="B994" t="s">
        <v>2119</v>
      </c>
      <c r="C994">
        <v>271</v>
      </c>
      <c r="D994">
        <v>99</v>
      </c>
      <c r="E994">
        <v>99</v>
      </c>
      <c r="F994" t="s">
        <v>2120</v>
      </c>
      <c r="G994" t="s">
        <v>2120</v>
      </c>
      <c r="H994">
        <f t="shared" si="18"/>
        <v>14</v>
      </c>
      <c r="M994" s="1">
        <v>3.8762099575251302E-3</v>
      </c>
      <c r="N994">
        <v>1120.52282714844</v>
      </c>
      <c r="O994">
        <v>561.26869999999894</v>
      </c>
      <c r="P994">
        <v>1120.51892089844</v>
      </c>
      <c r="Q994">
        <v>561.26672363281205</v>
      </c>
      <c r="R994">
        <v>2</v>
      </c>
      <c r="S994">
        <v>2</v>
      </c>
      <c r="T994">
        <v>9</v>
      </c>
      <c r="U994">
        <v>26.494980000000002</v>
      </c>
      <c r="V994">
        <v>350012.2</v>
      </c>
    </row>
    <row r="995" spans="1:22" x14ac:dyDescent="0.25">
      <c r="A995" t="s">
        <v>2118</v>
      </c>
      <c r="B995" t="s">
        <v>2119</v>
      </c>
      <c r="C995">
        <v>715</v>
      </c>
      <c r="D995">
        <v>97.7</v>
      </c>
      <c r="E995">
        <v>97.66</v>
      </c>
      <c r="F995" t="s">
        <v>2121</v>
      </c>
      <c r="G995" t="s">
        <v>2121</v>
      </c>
      <c r="H995">
        <f t="shared" si="18"/>
        <v>15</v>
      </c>
      <c r="M995" s="1">
        <v>1.36701995506883E-2</v>
      </c>
      <c r="N995">
        <v>1690.92919921875</v>
      </c>
      <c r="O995">
        <v>564.65030000000002</v>
      </c>
      <c r="P995">
        <v>1690.91552734375</v>
      </c>
      <c r="Q995">
        <v>564.645751953125</v>
      </c>
      <c r="R995">
        <v>3</v>
      </c>
      <c r="S995">
        <v>1</v>
      </c>
      <c r="T995">
        <v>9</v>
      </c>
      <c r="U995">
        <v>39.317419999999899</v>
      </c>
      <c r="V995">
        <v>92215.13</v>
      </c>
    </row>
    <row r="996" spans="1:22" x14ac:dyDescent="0.25">
      <c r="A996" t="s">
        <v>2118</v>
      </c>
      <c r="B996" t="s">
        <v>2119</v>
      </c>
      <c r="C996">
        <v>33</v>
      </c>
      <c r="D996">
        <v>99</v>
      </c>
      <c r="E996">
        <v>99</v>
      </c>
      <c r="F996" t="s">
        <v>2122</v>
      </c>
      <c r="G996" t="s">
        <v>2122</v>
      </c>
      <c r="H996">
        <f t="shared" si="18"/>
        <v>13</v>
      </c>
      <c r="M996" s="1">
        <v>4.4134198687970604E-3</v>
      </c>
      <c r="N996">
        <v>992.67907714843705</v>
      </c>
      <c r="O996">
        <v>497.34679999999901</v>
      </c>
      <c r="P996">
        <v>992.67462158203102</v>
      </c>
      <c r="Q996">
        <v>497.34460449218801</v>
      </c>
      <c r="R996">
        <v>2</v>
      </c>
      <c r="S996">
        <v>4</v>
      </c>
      <c r="T996">
        <v>11</v>
      </c>
      <c r="U996">
        <v>53.475630000000002</v>
      </c>
      <c r="V996">
        <v>996851.3</v>
      </c>
    </row>
    <row r="997" spans="1:22" x14ac:dyDescent="0.25">
      <c r="A997" t="s">
        <v>2118</v>
      </c>
      <c r="B997" t="s">
        <v>2119</v>
      </c>
      <c r="C997">
        <v>123</v>
      </c>
      <c r="D997">
        <v>99</v>
      </c>
      <c r="E997">
        <v>99</v>
      </c>
      <c r="F997" t="s">
        <v>71</v>
      </c>
      <c r="G997" t="s">
        <v>71</v>
      </c>
      <c r="H997">
        <f t="shared" si="18"/>
        <v>9</v>
      </c>
      <c r="M997">
        <v>7.149E-3</v>
      </c>
      <c r="N997">
        <v>1567.84301757813</v>
      </c>
      <c r="O997">
        <v>784.92880000000002</v>
      </c>
      <c r="P997">
        <v>1567.83581542969</v>
      </c>
      <c r="Q997">
        <v>784.92517089843705</v>
      </c>
      <c r="R997">
        <v>2</v>
      </c>
      <c r="S997">
        <v>1</v>
      </c>
      <c r="T997">
        <v>12</v>
      </c>
      <c r="U997">
        <v>47.417279999999899</v>
      </c>
      <c r="V997">
        <v>117359.9</v>
      </c>
    </row>
    <row r="998" spans="1:22" x14ac:dyDescent="0.25">
      <c r="A998" t="s">
        <v>962</v>
      </c>
      <c r="B998" t="s">
        <v>963</v>
      </c>
      <c r="C998">
        <v>151</v>
      </c>
      <c r="D998">
        <v>99</v>
      </c>
      <c r="E998">
        <v>99</v>
      </c>
      <c r="F998" t="s">
        <v>964</v>
      </c>
      <c r="G998" t="s">
        <v>964</v>
      </c>
      <c r="H998">
        <f t="shared" si="18"/>
        <v>9</v>
      </c>
      <c r="M998" s="1">
        <v>-1.03735001175664E-4</v>
      </c>
      <c r="N998">
        <v>1324.75024414063</v>
      </c>
      <c r="O998">
        <v>663.38239999999905</v>
      </c>
      <c r="P998">
        <v>1324.75036621094</v>
      </c>
      <c r="Q998">
        <v>663.38244628906205</v>
      </c>
      <c r="R998">
        <v>2</v>
      </c>
      <c r="S998">
        <v>2</v>
      </c>
      <c r="T998">
        <v>10</v>
      </c>
      <c r="U998">
        <v>33.810699999999898</v>
      </c>
      <c r="V998">
        <v>243140.5</v>
      </c>
    </row>
    <row r="999" spans="1:22" x14ac:dyDescent="0.25">
      <c r="A999" t="s">
        <v>1064</v>
      </c>
      <c r="B999" t="s">
        <v>1065</v>
      </c>
      <c r="C999">
        <v>54</v>
      </c>
      <c r="D999">
        <v>99</v>
      </c>
      <c r="E999">
        <v>99</v>
      </c>
      <c r="F999" t="s">
        <v>1066</v>
      </c>
      <c r="G999" t="s">
        <v>1066</v>
      </c>
      <c r="H999">
        <f t="shared" si="18"/>
        <v>16</v>
      </c>
      <c r="M999" s="1">
        <v>2.4358299560844798E-3</v>
      </c>
      <c r="N999">
        <v>984.59924316406205</v>
      </c>
      <c r="O999">
        <v>493.30689999999902</v>
      </c>
      <c r="P999">
        <v>984.59680175781205</v>
      </c>
      <c r="Q999">
        <v>493.3056640625</v>
      </c>
      <c r="R999">
        <v>2</v>
      </c>
      <c r="S999">
        <v>2</v>
      </c>
      <c r="T999">
        <v>10</v>
      </c>
      <c r="U999">
        <v>53.314300000000003</v>
      </c>
      <c r="V999">
        <v>139200.4</v>
      </c>
    </row>
    <row r="1000" spans="1:22" x14ac:dyDescent="0.25">
      <c r="A1000" t="s">
        <v>1064</v>
      </c>
      <c r="B1000" t="s">
        <v>1065</v>
      </c>
      <c r="C1000">
        <v>240</v>
      </c>
      <c r="D1000">
        <v>99</v>
      </c>
      <c r="E1000">
        <v>99</v>
      </c>
      <c r="F1000" t="s">
        <v>1067</v>
      </c>
      <c r="G1000" t="s">
        <v>1067</v>
      </c>
      <c r="H1000">
        <f t="shared" si="18"/>
        <v>18</v>
      </c>
      <c r="M1000" s="1">
        <v>-1.67939998209475E-3</v>
      </c>
      <c r="N1000">
        <v>2256.01000976563</v>
      </c>
      <c r="O1000">
        <v>753.01059999999904</v>
      </c>
      <c r="P1000">
        <v>2256.01171875</v>
      </c>
      <c r="Q1000">
        <v>753.01116943359295</v>
      </c>
      <c r="R1000">
        <v>3</v>
      </c>
      <c r="S1000">
        <v>1</v>
      </c>
      <c r="T1000">
        <v>10</v>
      </c>
      <c r="U1000">
        <v>39.030169999999899</v>
      </c>
      <c r="V1000">
        <v>723027.1</v>
      </c>
    </row>
    <row r="1001" spans="1:22" x14ac:dyDescent="0.25">
      <c r="A1001" t="s">
        <v>1064</v>
      </c>
      <c r="B1001" t="s">
        <v>1065</v>
      </c>
      <c r="C1001">
        <v>241</v>
      </c>
      <c r="D1001">
        <v>99</v>
      </c>
      <c r="E1001">
        <v>99</v>
      </c>
      <c r="F1001" t="s">
        <v>1068</v>
      </c>
      <c r="G1001" t="s">
        <v>1068</v>
      </c>
      <c r="H1001">
        <f t="shared" si="18"/>
        <v>17</v>
      </c>
      <c r="M1001" s="1">
        <v>8.4373904392123205E-3</v>
      </c>
      <c r="N1001">
        <v>1868.92407226563</v>
      </c>
      <c r="O1001">
        <v>935.46929999999895</v>
      </c>
      <c r="P1001">
        <v>1868.91564941406</v>
      </c>
      <c r="Q1001">
        <v>935.465087890625</v>
      </c>
      <c r="R1001">
        <v>2</v>
      </c>
      <c r="S1001">
        <v>1</v>
      </c>
      <c r="T1001">
        <v>10</v>
      </c>
      <c r="U1001">
        <v>45.276249999999898</v>
      </c>
      <c r="V1001">
        <v>153576.6</v>
      </c>
    </row>
    <row r="1002" spans="1:22" x14ac:dyDescent="0.25">
      <c r="A1002" t="s">
        <v>1064</v>
      </c>
      <c r="B1002" t="s">
        <v>1065</v>
      </c>
      <c r="C1002">
        <v>53</v>
      </c>
      <c r="D1002">
        <v>99</v>
      </c>
      <c r="E1002">
        <v>99</v>
      </c>
      <c r="F1002" t="s">
        <v>1069</v>
      </c>
      <c r="G1002" t="s">
        <v>1069</v>
      </c>
      <c r="H1002">
        <f t="shared" si="18"/>
        <v>17</v>
      </c>
      <c r="M1002" s="1">
        <v>6.8103801459074003E-3</v>
      </c>
      <c r="N1002">
        <v>1743.88012695313</v>
      </c>
      <c r="O1002">
        <v>872.94730000000004</v>
      </c>
      <c r="P1002">
        <v>1743.87329101563</v>
      </c>
      <c r="Q1002">
        <v>872.94390869140602</v>
      </c>
      <c r="R1002">
        <v>2</v>
      </c>
      <c r="S1002">
        <v>1</v>
      </c>
      <c r="T1002">
        <v>9</v>
      </c>
      <c r="U1002">
        <v>54.973500000000001</v>
      </c>
      <c r="V1002">
        <v>80857.59</v>
      </c>
    </row>
    <row r="1003" spans="1:22" x14ac:dyDescent="0.25">
      <c r="A1003" t="s">
        <v>1064</v>
      </c>
      <c r="B1003" t="s">
        <v>1065</v>
      </c>
      <c r="C1003">
        <v>522</v>
      </c>
      <c r="D1003">
        <v>99</v>
      </c>
      <c r="E1003">
        <v>99</v>
      </c>
      <c r="F1003" t="s">
        <v>1070</v>
      </c>
      <c r="G1003" t="s">
        <v>1070</v>
      </c>
      <c r="H1003">
        <f t="shared" si="18"/>
        <v>16</v>
      </c>
      <c r="M1003" s="1">
        <v>6.0929600149393004E-3</v>
      </c>
      <c r="N1003">
        <v>1735.81140136719</v>
      </c>
      <c r="O1003">
        <v>579.61109999999906</v>
      </c>
      <c r="P1003">
        <v>1735.80529785156</v>
      </c>
      <c r="Q1003">
        <v>579.60906982421795</v>
      </c>
      <c r="R1003">
        <v>3</v>
      </c>
      <c r="S1003">
        <v>1</v>
      </c>
      <c r="T1003">
        <v>15</v>
      </c>
      <c r="U1003">
        <v>32.589799999999897</v>
      </c>
      <c r="V1003">
        <v>2221014</v>
      </c>
    </row>
    <row r="1004" spans="1:22" x14ac:dyDescent="0.25">
      <c r="A1004" t="s">
        <v>1064</v>
      </c>
      <c r="B1004" t="s">
        <v>1065</v>
      </c>
      <c r="C1004">
        <v>241</v>
      </c>
      <c r="D1004">
        <v>99</v>
      </c>
      <c r="E1004">
        <v>99</v>
      </c>
      <c r="F1004" t="s">
        <v>1068</v>
      </c>
      <c r="G1004" t="s">
        <v>1068</v>
      </c>
      <c r="H1004">
        <f t="shared" si="18"/>
        <v>17</v>
      </c>
      <c r="L1004" t="s">
        <v>133</v>
      </c>
      <c r="M1004" s="1">
        <v>1.7641700105741601E-3</v>
      </c>
      <c r="N1004">
        <v>1774.62170410156</v>
      </c>
      <c r="O1004">
        <v>888.31809999999905</v>
      </c>
      <c r="P1004">
        <v>1774.61987304688</v>
      </c>
      <c r="Q1004">
        <v>888.31726074218705</v>
      </c>
      <c r="R1004">
        <v>2</v>
      </c>
      <c r="S1004">
        <v>1</v>
      </c>
      <c r="T1004">
        <v>13</v>
      </c>
      <c r="U1004">
        <v>40.523739999999897</v>
      </c>
      <c r="V1004">
        <v>615106.1</v>
      </c>
    </row>
    <row r="1005" spans="1:22" x14ac:dyDescent="0.25">
      <c r="A1005" t="s">
        <v>1064</v>
      </c>
      <c r="B1005" t="s">
        <v>1065</v>
      </c>
      <c r="C1005">
        <v>53</v>
      </c>
      <c r="D1005">
        <v>99</v>
      </c>
      <c r="E1005">
        <v>99</v>
      </c>
      <c r="F1005" t="s">
        <v>1069</v>
      </c>
      <c r="G1005" t="s">
        <v>1069</v>
      </c>
      <c r="H1005">
        <f t="shared" si="18"/>
        <v>17</v>
      </c>
      <c r="L1005" t="s">
        <v>87</v>
      </c>
      <c r="M1005" s="1">
        <v>-5.0036800093948702E-3</v>
      </c>
      <c r="N1005">
        <v>1155.60205078125</v>
      </c>
      <c r="O1005">
        <v>578.80830000000003</v>
      </c>
      <c r="P1005">
        <v>1155.60705566406</v>
      </c>
      <c r="Q1005">
        <v>578.810791015625</v>
      </c>
      <c r="R1005">
        <v>2</v>
      </c>
      <c r="S1005">
        <v>2</v>
      </c>
      <c r="T1005">
        <v>12</v>
      </c>
      <c r="U1005">
        <v>18.38458</v>
      </c>
      <c r="V1005">
        <v>1295133</v>
      </c>
    </row>
    <row r="1006" spans="1:22" x14ac:dyDescent="0.25">
      <c r="A1006" t="s">
        <v>1064</v>
      </c>
      <c r="B1006" t="s">
        <v>1065</v>
      </c>
      <c r="C1006">
        <v>522</v>
      </c>
      <c r="D1006">
        <v>99</v>
      </c>
      <c r="E1006">
        <v>99</v>
      </c>
      <c r="F1006" t="s">
        <v>1070</v>
      </c>
      <c r="G1006" t="s">
        <v>1070</v>
      </c>
      <c r="H1006">
        <f t="shared" si="18"/>
        <v>16</v>
      </c>
      <c r="L1006" t="s">
        <v>1071</v>
      </c>
      <c r="M1006">
        <v>5.3399999999999997E-4</v>
      </c>
      <c r="N1006">
        <v>1223.60144042969</v>
      </c>
      <c r="O1006">
        <v>612.80799999999897</v>
      </c>
      <c r="P1006">
        <v>1223.60083007813</v>
      </c>
      <c r="Q1006">
        <v>612.80773925781205</v>
      </c>
      <c r="R1006">
        <v>2</v>
      </c>
      <c r="S1006">
        <v>1</v>
      </c>
      <c r="T1006">
        <v>13</v>
      </c>
      <c r="U1006">
        <v>27.106850000000001</v>
      </c>
      <c r="V1006">
        <v>1235997</v>
      </c>
    </row>
    <row r="1007" spans="1:22" x14ac:dyDescent="0.25">
      <c r="A1007" t="s">
        <v>26</v>
      </c>
      <c r="B1007" t="s">
        <v>27</v>
      </c>
      <c r="C1007">
        <v>1381</v>
      </c>
      <c r="D1007">
        <v>98.8</v>
      </c>
      <c r="E1007">
        <v>98.84</v>
      </c>
      <c r="F1007" t="s">
        <v>508</v>
      </c>
      <c r="G1007" t="s">
        <v>508</v>
      </c>
      <c r="H1007">
        <f t="shared" si="18"/>
        <v>9</v>
      </c>
      <c r="M1007" s="1">
        <v>1.48515999317169E-2</v>
      </c>
      <c r="N1007">
        <v>1008.50250244141</v>
      </c>
      <c r="O1007">
        <v>505.25850000000003</v>
      </c>
      <c r="P1007">
        <v>1008.48760986328</v>
      </c>
      <c r="Q1007">
        <v>505.25109863281301</v>
      </c>
      <c r="R1007">
        <v>2</v>
      </c>
      <c r="S1007">
        <v>2</v>
      </c>
      <c r="T1007">
        <v>10</v>
      </c>
      <c r="U1007">
        <v>30.814820000000001</v>
      </c>
      <c r="V1007">
        <v>2639582</v>
      </c>
    </row>
    <row r="1008" spans="1:22" x14ac:dyDescent="0.25">
      <c r="A1008" t="s">
        <v>4061</v>
      </c>
      <c r="B1008" t="s">
        <v>4062</v>
      </c>
      <c r="C1008">
        <v>145</v>
      </c>
      <c r="D1008">
        <v>97.5</v>
      </c>
      <c r="E1008">
        <v>97.54</v>
      </c>
      <c r="F1008" t="s">
        <v>4063</v>
      </c>
      <c r="G1008" t="s">
        <v>4063</v>
      </c>
      <c r="H1008">
        <f t="shared" si="18"/>
        <v>9</v>
      </c>
      <c r="M1008" s="1">
        <v>-2.3749698884785201E-3</v>
      </c>
      <c r="N1008">
        <v>1731.88806152344</v>
      </c>
      <c r="O1008">
        <v>578.30330000000004</v>
      </c>
      <c r="P1008">
        <v>1731.89038085938</v>
      </c>
      <c r="Q1008">
        <v>578.30407714843705</v>
      </c>
      <c r="R1008">
        <v>3</v>
      </c>
      <c r="S1008">
        <v>1</v>
      </c>
      <c r="T1008">
        <v>11</v>
      </c>
      <c r="U1008">
        <v>29.408300000000001</v>
      </c>
      <c r="V1008">
        <v>485564.7</v>
      </c>
    </row>
    <row r="1009" spans="1:22" x14ac:dyDescent="0.25">
      <c r="A1009" t="s">
        <v>4552</v>
      </c>
      <c r="B1009" t="s">
        <v>4553</v>
      </c>
      <c r="C1009">
        <v>574</v>
      </c>
      <c r="D1009">
        <v>98.5</v>
      </c>
      <c r="E1009">
        <v>98.52</v>
      </c>
      <c r="F1009" t="s">
        <v>4554</v>
      </c>
      <c r="G1009" t="s">
        <v>4554</v>
      </c>
      <c r="H1009">
        <f t="shared" si="18"/>
        <v>9</v>
      </c>
      <c r="M1009">
        <v>-2.2130000000000001E-3</v>
      </c>
      <c r="N1009">
        <v>1353.66552734375</v>
      </c>
      <c r="O1009">
        <v>677.84</v>
      </c>
      <c r="P1009">
        <v>1353.66772460938</v>
      </c>
      <c r="Q1009">
        <v>677.84112548828102</v>
      </c>
      <c r="R1009">
        <v>2</v>
      </c>
      <c r="S1009">
        <v>1</v>
      </c>
      <c r="T1009">
        <v>14</v>
      </c>
      <c r="U1009">
        <v>29.785920000000001</v>
      </c>
      <c r="V1009">
        <v>310363.09999999899</v>
      </c>
    </row>
    <row r="1010" spans="1:22" x14ac:dyDescent="0.25">
      <c r="A1010" t="s">
        <v>4552</v>
      </c>
      <c r="B1010" t="s">
        <v>4553</v>
      </c>
      <c r="C1010">
        <v>176</v>
      </c>
      <c r="D1010">
        <v>99</v>
      </c>
      <c r="E1010">
        <v>99</v>
      </c>
      <c r="F1010" t="s">
        <v>401</v>
      </c>
      <c r="G1010" t="s">
        <v>401</v>
      </c>
      <c r="H1010">
        <f t="shared" si="18"/>
        <v>9</v>
      </c>
      <c r="M1010" s="1">
        <v>-2.1387599408626601E-2</v>
      </c>
      <c r="N1010">
        <v>1176.63293457031</v>
      </c>
      <c r="O1010">
        <v>589.32370000000003</v>
      </c>
      <c r="P1010">
        <v>1176.654296875</v>
      </c>
      <c r="Q1010">
        <v>589.33441162109295</v>
      </c>
      <c r="R1010">
        <v>2</v>
      </c>
      <c r="S1010">
        <v>2</v>
      </c>
      <c r="T1010">
        <v>8</v>
      </c>
      <c r="U1010">
        <v>44.258420000000001</v>
      </c>
      <c r="V1010">
        <v>122538.4</v>
      </c>
    </row>
    <row r="1011" spans="1:22" x14ac:dyDescent="0.25">
      <c r="A1011" t="s">
        <v>3732</v>
      </c>
      <c r="B1011" t="s">
        <v>3733</v>
      </c>
      <c r="C1011">
        <v>141</v>
      </c>
      <c r="D1011">
        <v>99</v>
      </c>
      <c r="E1011">
        <v>99</v>
      </c>
      <c r="F1011" t="s">
        <v>3734</v>
      </c>
      <c r="G1011" t="s">
        <v>3734</v>
      </c>
      <c r="H1011">
        <f t="shared" si="18"/>
        <v>17</v>
      </c>
      <c r="M1011">
        <v>9.1500000000000001E-3</v>
      </c>
      <c r="N1011">
        <v>1771.79272460938</v>
      </c>
      <c r="O1011">
        <v>886.90359999999896</v>
      </c>
      <c r="P1011">
        <v>1771.78356933594</v>
      </c>
      <c r="Q1011">
        <v>886.89904785156205</v>
      </c>
      <c r="R1011">
        <v>2</v>
      </c>
      <c r="S1011">
        <v>1</v>
      </c>
      <c r="T1011">
        <v>8</v>
      </c>
      <c r="U1011">
        <v>44.00562</v>
      </c>
      <c r="V1011">
        <v>135036.4</v>
      </c>
    </row>
    <row r="1012" spans="1:22" x14ac:dyDescent="0.25">
      <c r="A1012" t="s">
        <v>3854</v>
      </c>
      <c r="B1012" t="s">
        <v>3855</v>
      </c>
      <c r="C1012">
        <v>1186</v>
      </c>
      <c r="D1012">
        <v>97.4</v>
      </c>
      <c r="E1012">
        <v>97.42</v>
      </c>
      <c r="F1012" t="s">
        <v>3856</v>
      </c>
      <c r="G1012" t="s">
        <v>3856</v>
      </c>
      <c r="H1012">
        <f t="shared" si="18"/>
        <v>10</v>
      </c>
      <c r="M1012" s="1">
        <v>2.6817200705409102E-3</v>
      </c>
      <c r="N1012">
        <v>1051.53002929688</v>
      </c>
      <c r="O1012">
        <v>526.77229999999895</v>
      </c>
      <c r="P1012">
        <v>1051.52734375</v>
      </c>
      <c r="Q1012">
        <v>526.77093505859295</v>
      </c>
      <c r="R1012">
        <v>2</v>
      </c>
      <c r="S1012">
        <v>1</v>
      </c>
      <c r="T1012">
        <v>10</v>
      </c>
      <c r="U1012">
        <v>43.535800000000002</v>
      </c>
      <c r="V1012">
        <v>2534531</v>
      </c>
    </row>
    <row r="1013" spans="1:22" x14ac:dyDescent="0.25">
      <c r="A1013" t="s">
        <v>3262</v>
      </c>
      <c r="B1013" t="s">
        <v>3263</v>
      </c>
      <c r="C1013">
        <v>129</v>
      </c>
      <c r="D1013">
        <v>99</v>
      </c>
      <c r="E1013">
        <v>99</v>
      </c>
      <c r="F1013" t="s">
        <v>3264</v>
      </c>
      <c r="G1013" t="s">
        <v>3264</v>
      </c>
      <c r="H1013">
        <f t="shared" si="18"/>
        <v>17</v>
      </c>
      <c r="M1013" s="1">
        <v>-1.6269600018858901E-3</v>
      </c>
      <c r="N1013">
        <v>941.5390625</v>
      </c>
      <c r="O1013">
        <v>471.77679999999901</v>
      </c>
      <c r="P1013">
        <v>941.54064941406205</v>
      </c>
      <c r="Q1013">
        <v>471.77761840820301</v>
      </c>
      <c r="R1013">
        <v>2</v>
      </c>
      <c r="S1013">
        <v>3</v>
      </c>
      <c r="T1013">
        <v>11</v>
      </c>
      <c r="U1013">
        <v>20.751270000000002</v>
      </c>
      <c r="V1013">
        <v>724104.4</v>
      </c>
    </row>
    <row r="1014" spans="1:22" x14ac:dyDescent="0.25">
      <c r="A1014" t="s">
        <v>3262</v>
      </c>
      <c r="B1014" t="s">
        <v>3263</v>
      </c>
      <c r="C1014">
        <v>123</v>
      </c>
      <c r="D1014">
        <v>99</v>
      </c>
      <c r="E1014">
        <v>99</v>
      </c>
      <c r="F1014" t="s">
        <v>3265</v>
      </c>
      <c r="G1014" t="s">
        <v>3265</v>
      </c>
      <c r="H1014">
        <f t="shared" si="18"/>
        <v>13</v>
      </c>
      <c r="M1014" s="1">
        <v>2.4650099221617001E-3</v>
      </c>
      <c r="N1014">
        <v>999.56726074218705</v>
      </c>
      <c r="O1014">
        <v>500.79090000000002</v>
      </c>
      <c r="P1014">
        <v>999.56475830078102</v>
      </c>
      <c r="Q1014">
        <v>500.78967285156301</v>
      </c>
      <c r="R1014">
        <v>2</v>
      </c>
      <c r="S1014">
        <v>1</v>
      </c>
      <c r="T1014">
        <v>11</v>
      </c>
      <c r="U1014">
        <v>28.213619999999899</v>
      </c>
      <c r="V1014">
        <v>2044344</v>
      </c>
    </row>
    <row r="1015" spans="1:22" x14ac:dyDescent="0.25">
      <c r="A1015" t="s">
        <v>3262</v>
      </c>
      <c r="B1015" t="s">
        <v>3263</v>
      </c>
      <c r="C1015">
        <v>167</v>
      </c>
      <c r="D1015">
        <v>99</v>
      </c>
      <c r="E1015">
        <v>99</v>
      </c>
      <c r="F1015" t="s">
        <v>3266</v>
      </c>
      <c r="G1015" t="s">
        <v>3266</v>
      </c>
      <c r="H1015">
        <f t="shared" si="18"/>
        <v>15</v>
      </c>
      <c r="M1015" s="1">
        <v>1.18712999392301E-3</v>
      </c>
      <c r="N1015">
        <v>1058.62487792969</v>
      </c>
      <c r="O1015">
        <v>530.31970000000001</v>
      </c>
      <c r="P1015">
        <v>1058.62365722656</v>
      </c>
      <c r="Q1015">
        <v>530.319091796875</v>
      </c>
      <c r="R1015">
        <v>2</v>
      </c>
      <c r="S1015">
        <v>1</v>
      </c>
      <c r="T1015">
        <v>13</v>
      </c>
      <c r="U1015">
        <v>29.817350000000001</v>
      </c>
      <c r="V1015">
        <v>15693280</v>
      </c>
    </row>
    <row r="1016" spans="1:22" x14ac:dyDescent="0.25">
      <c r="A1016" t="s">
        <v>4460</v>
      </c>
      <c r="B1016" t="s">
        <v>4461</v>
      </c>
      <c r="C1016">
        <v>283</v>
      </c>
      <c r="D1016">
        <v>99</v>
      </c>
      <c r="E1016">
        <v>99</v>
      </c>
      <c r="F1016" t="s">
        <v>4462</v>
      </c>
      <c r="G1016" t="s">
        <v>4462</v>
      </c>
      <c r="H1016">
        <f t="shared" si="18"/>
        <v>18</v>
      </c>
      <c r="M1016" s="1">
        <v>-7.9642804339528101E-3</v>
      </c>
      <c r="N1016">
        <v>1119.552734375</v>
      </c>
      <c r="O1016">
        <v>1120.56</v>
      </c>
      <c r="P1016">
        <v>1119.56079101563</v>
      </c>
      <c r="Q1016">
        <v>1120.56799316406</v>
      </c>
      <c r="R1016">
        <v>1</v>
      </c>
      <c r="S1016">
        <v>8</v>
      </c>
      <c r="T1016">
        <v>10</v>
      </c>
      <c r="U1016">
        <v>21.58982</v>
      </c>
      <c r="V1016">
        <v>9956957</v>
      </c>
    </row>
    <row r="1017" spans="1:22" x14ac:dyDescent="0.25">
      <c r="A1017" t="s">
        <v>4460</v>
      </c>
      <c r="B1017" t="s">
        <v>4461</v>
      </c>
      <c r="C1017">
        <v>290</v>
      </c>
      <c r="D1017">
        <v>98.2</v>
      </c>
      <c r="E1017">
        <v>98.18</v>
      </c>
      <c r="F1017" t="s">
        <v>4463</v>
      </c>
      <c r="G1017" t="s">
        <v>4463</v>
      </c>
      <c r="H1017">
        <f t="shared" si="18"/>
        <v>14</v>
      </c>
      <c r="M1017" s="1">
        <v>4.61714016273618E-3</v>
      </c>
      <c r="N1017">
        <v>964.48468017578102</v>
      </c>
      <c r="O1017">
        <v>483.24959999999902</v>
      </c>
      <c r="P1017">
        <v>964.48004150390602</v>
      </c>
      <c r="Q1017">
        <v>483.24728393554602</v>
      </c>
      <c r="R1017">
        <v>2</v>
      </c>
      <c r="S1017">
        <v>1</v>
      </c>
      <c r="T1017">
        <v>10</v>
      </c>
      <c r="U1017">
        <v>34.63353</v>
      </c>
      <c r="V1017">
        <v>179636.7</v>
      </c>
    </row>
    <row r="1018" spans="1:22" x14ac:dyDescent="0.25">
      <c r="A1018" t="s">
        <v>4460</v>
      </c>
      <c r="B1018" t="s">
        <v>4461</v>
      </c>
      <c r="C1018">
        <v>290</v>
      </c>
      <c r="D1018">
        <v>99</v>
      </c>
      <c r="E1018">
        <v>99</v>
      </c>
      <c r="F1018" t="s">
        <v>4464</v>
      </c>
      <c r="G1018" t="s">
        <v>4464</v>
      </c>
      <c r="H1018">
        <f t="shared" si="18"/>
        <v>15</v>
      </c>
      <c r="M1018" s="1">
        <v>3.24996002018451E-3</v>
      </c>
      <c r="N1018">
        <v>1107.60693359375</v>
      </c>
      <c r="O1018">
        <v>554.8107</v>
      </c>
      <c r="P1018">
        <v>1107.60363769531</v>
      </c>
      <c r="Q1018">
        <v>554.80908203125</v>
      </c>
      <c r="R1018">
        <v>2</v>
      </c>
      <c r="S1018">
        <v>3</v>
      </c>
      <c r="T1018">
        <v>12</v>
      </c>
      <c r="U1018">
        <v>28.062930000000001</v>
      </c>
      <c r="V1018">
        <v>12032800</v>
      </c>
    </row>
    <row r="1019" spans="1:22" x14ac:dyDescent="0.25">
      <c r="A1019" t="s">
        <v>3556</v>
      </c>
      <c r="B1019" t="s">
        <v>3557</v>
      </c>
      <c r="C1019">
        <v>409</v>
      </c>
      <c r="D1019">
        <v>99</v>
      </c>
      <c r="E1019">
        <v>99</v>
      </c>
      <c r="F1019" t="s">
        <v>3558</v>
      </c>
      <c r="G1019" t="s">
        <v>3558</v>
      </c>
      <c r="H1019">
        <f t="shared" si="18"/>
        <v>14</v>
      </c>
      <c r="M1019" s="1">
        <v>-2.5150799192488098E-3</v>
      </c>
      <c r="N1019">
        <v>1175.58447265625</v>
      </c>
      <c r="O1019">
        <v>588.79949999999894</v>
      </c>
      <c r="P1019">
        <v>1175.5869140625</v>
      </c>
      <c r="Q1019">
        <v>588.80078125</v>
      </c>
      <c r="R1019">
        <v>2</v>
      </c>
      <c r="S1019">
        <v>2</v>
      </c>
      <c r="T1019">
        <v>13</v>
      </c>
      <c r="U1019">
        <v>22.434899999999899</v>
      </c>
      <c r="V1019">
        <v>1731122</v>
      </c>
    </row>
    <row r="1020" spans="1:22" x14ac:dyDescent="0.25">
      <c r="A1020" t="s">
        <v>3556</v>
      </c>
      <c r="B1020" t="s">
        <v>3557</v>
      </c>
      <c r="C1020">
        <v>122</v>
      </c>
      <c r="D1020">
        <v>99</v>
      </c>
      <c r="E1020">
        <v>98.99</v>
      </c>
      <c r="F1020" t="s">
        <v>3559</v>
      </c>
      <c r="G1020" t="s">
        <v>3559</v>
      </c>
      <c r="H1020">
        <f t="shared" si="18"/>
        <v>17</v>
      </c>
      <c r="M1020" s="1">
        <v>-1.01193005684763E-3</v>
      </c>
      <c r="N1020">
        <v>936.49066162109295</v>
      </c>
      <c r="O1020">
        <v>469.25259999999901</v>
      </c>
      <c r="P1020">
        <v>936.49163818359295</v>
      </c>
      <c r="Q1020">
        <v>469.25311279296801</v>
      </c>
      <c r="R1020">
        <v>2</v>
      </c>
      <c r="S1020">
        <v>1</v>
      </c>
      <c r="T1020">
        <v>9</v>
      </c>
      <c r="U1020">
        <v>36.437579999999897</v>
      </c>
      <c r="V1020">
        <v>196541.7</v>
      </c>
    </row>
    <row r="1021" spans="1:22" x14ac:dyDescent="0.25">
      <c r="A1021" t="s">
        <v>3556</v>
      </c>
      <c r="B1021" t="s">
        <v>3557</v>
      </c>
      <c r="C1021">
        <v>123</v>
      </c>
      <c r="D1021">
        <v>97.3</v>
      </c>
      <c r="E1021">
        <v>97.34</v>
      </c>
      <c r="F1021" t="s">
        <v>3560</v>
      </c>
      <c r="G1021" t="s">
        <v>3560</v>
      </c>
      <c r="H1021">
        <f t="shared" si="18"/>
        <v>15</v>
      </c>
      <c r="M1021" s="1">
        <v>2.8315999079495599E-3</v>
      </c>
      <c r="N1021">
        <v>1723.94970703125</v>
      </c>
      <c r="O1021">
        <v>862.98209999999904</v>
      </c>
      <c r="P1021">
        <v>1723.94689941406</v>
      </c>
      <c r="Q1021">
        <v>862.980712890625</v>
      </c>
      <c r="R1021">
        <v>2</v>
      </c>
      <c r="S1021">
        <v>1</v>
      </c>
      <c r="T1021">
        <v>16</v>
      </c>
      <c r="U1021">
        <v>47.969720000000002</v>
      </c>
      <c r="V1021">
        <v>599955.9</v>
      </c>
    </row>
    <row r="1022" spans="1:22" x14ac:dyDescent="0.25">
      <c r="A1022" t="s">
        <v>3556</v>
      </c>
      <c r="B1022" t="s">
        <v>3557</v>
      </c>
      <c r="C1022">
        <v>122</v>
      </c>
      <c r="D1022">
        <v>97.8</v>
      </c>
      <c r="E1022">
        <v>97.79</v>
      </c>
      <c r="F1022" t="s">
        <v>3561</v>
      </c>
      <c r="G1022" t="s">
        <v>3561</v>
      </c>
      <c r="H1022">
        <f t="shared" si="18"/>
        <v>16</v>
      </c>
      <c r="M1022" s="1">
        <v>4.59926016628741E-3</v>
      </c>
      <c r="N1022">
        <v>1529.87243652344</v>
      </c>
      <c r="O1022">
        <v>765.94349999999895</v>
      </c>
      <c r="P1022">
        <v>1529.86779785156</v>
      </c>
      <c r="Q1022">
        <v>765.941162109375</v>
      </c>
      <c r="R1022">
        <v>2</v>
      </c>
      <c r="S1022">
        <v>1</v>
      </c>
      <c r="T1022">
        <v>16</v>
      </c>
      <c r="U1022">
        <v>33.801130000000001</v>
      </c>
      <c r="V1022">
        <v>240943</v>
      </c>
    </row>
    <row r="1023" spans="1:22" x14ac:dyDescent="0.25">
      <c r="A1023" t="s">
        <v>539</v>
      </c>
      <c r="B1023" t="s">
        <v>540</v>
      </c>
      <c r="C1023">
        <v>245</v>
      </c>
      <c r="D1023">
        <v>97.3</v>
      </c>
      <c r="E1023">
        <v>97.25</v>
      </c>
      <c r="F1023" t="s">
        <v>1606</v>
      </c>
      <c r="G1023" t="s">
        <v>1606</v>
      </c>
      <c r="H1023">
        <f t="shared" si="18"/>
        <v>12</v>
      </c>
      <c r="M1023" s="1">
        <v>1.41533999703825E-3</v>
      </c>
      <c r="N1023">
        <v>960.52545166015602</v>
      </c>
      <c r="O1023">
        <v>481.27</v>
      </c>
      <c r="P1023">
        <v>960.52398681640602</v>
      </c>
      <c r="Q1023">
        <v>481.269287109375</v>
      </c>
      <c r="R1023">
        <v>2</v>
      </c>
      <c r="S1023">
        <v>1</v>
      </c>
      <c r="T1023">
        <v>9</v>
      </c>
      <c r="U1023">
        <v>37.695480000000003</v>
      </c>
      <c r="V1023">
        <v>103630</v>
      </c>
    </row>
    <row r="1024" spans="1:22" x14ac:dyDescent="0.25">
      <c r="A1024" t="s">
        <v>539</v>
      </c>
      <c r="B1024" t="s">
        <v>540</v>
      </c>
      <c r="C1024">
        <v>245</v>
      </c>
      <c r="D1024">
        <v>99</v>
      </c>
      <c r="E1024">
        <v>99</v>
      </c>
      <c r="F1024" t="s">
        <v>538</v>
      </c>
      <c r="G1024" t="s">
        <v>538</v>
      </c>
      <c r="H1024">
        <f t="shared" si="18"/>
        <v>13</v>
      </c>
      <c r="M1024" s="1">
        <v>1.93370995111763E-3</v>
      </c>
      <c r="N1024">
        <v>980.57867431640602</v>
      </c>
      <c r="O1024">
        <v>491.29660000000001</v>
      </c>
      <c r="P1024">
        <v>980.57672119140602</v>
      </c>
      <c r="Q1024">
        <v>491.29562377929602</v>
      </c>
      <c r="R1024">
        <v>2</v>
      </c>
      <c r="S1024">
        <v>1</v>
      </c>
      <c r="T1024">
        <v>12</v>
      </c>
      <c r="U1024">
        <v>28.463429999999899</v>
      </c>
      <c r="V1024">
        <v>1133462</v>
      </c>
    </row>
    <row r="1025" spans="1:22" x14ac:dyDescent="0.25">
      <c r="A1025" t="s">
        <v>539</v>
      </c>
      <c r="B1025" t="s">
        <v>540</v>
      </c>
      <c r="C1025">
        <v>245</v>
      </c>
      <c r="D1025">
        <v>97</v>
      </c>
      <c r="E1025">
        <v>96.95</v>
      </c>
      <c r="F1025" t="s">
        <v>1606</v>
      </c>
      <c r="G1025" t="s">
        <v>1606</v>
      </c>
      <c r="H1025">
        <f t="shared" si="18"/>
        <v>12</v>
      </c>
      <c r="L1025" t="s">
        <v>541</v>
      </c>
      <c r="M1025">
        <v>2.6356999999999998E-2</v>
      </c>
      <c r="N1025">
        <v>2030.92541503906</v>
      </c>
      <c r="O1025">
        <v>1016.47</v>
      </c>
      <c r="P1025">
        <v>2030.89904785156</v>
      </c>
      <c r="Q1025">
        <v>1016.45678710938</v>
      </c>
      <c r="R1025">
        <v>2</v>
      </c>
      <c r="S1025">
        <v>1</v>
      </c>
      <c r="T1025">
        <v>8</v>
      </c>
      <c r="U1025">
        <v>48.637619999999899</v>
      </c>
      <c r="V1025">
        <v>54738.34</v>
      </c>
    </row>
    <row r="1026" spans="1:22" x14ac:dyDescent="0.25">
      <c r="A1026" t="s">
        <v>539</v>
      </c>
      <c r="B1026" t="s">
        <v>540</v>
      </c>
      <c r="C1026">
        <v>245</v>
      </c>
      <c r="D1026">
        <v>99</v>
      </c>
      <c r="E1026">
        <v>99</v>
      </c>
      <c r="F1026" t="s">
        <v>538</v>
      </c>
      <c r="G1026" t="s">
        <v>538</v>
      </c>
      <c r="H1026">
        <f t="shared" si="18"/>
        <v>13</v>
      </c>
      <c r="L1026" t="s">
        <v>541</v>
      </c>
      <c r="M1026" s="1">
        <v>3.66173014044762E-2</v>
      </c>
      <c r="N1026">
        <v>1908.06823730469</v>
      </c>
      <c r="O1026">
        <v>637.03</v>
      </c>
      <c r="P1026">
        <v>1908.03161621094</v>
      </c>
      <c r="Q1026">
        <v>637.017822265625</v>
      </c>
      <c r="R1026">
        <v>3</v>
      </c>
      <c r="S1026">
        <v>1</v>
      </c>
      <c r="T1026">
        <v>12</v>
      </c>
      <c r="U1026">
        <v>43.012149999999899</v>
      </c>
      <c r="V1026">
        <v>116684.3</v>
      </c>
    </row>
    <row r="1027" spans="1:22" x14ac:dyDescent="0.25">
      <c r="A1027" t="s">
        <v>3632</v>
      </c>
      <c r="B1027" t="s">
        <v>3633</v>
      </c>
      <c r="C1027">
        <v>900</v>
      </c>
      <c r="D1027">
        <v>99</v>
      </c>
      <c r="E1027">
        <v>99</v>
      </c>
      <c r="F1027" t="s">
        <v>3634</v>
      </c>
      <c r="G1027" t="s">
        <v>3634</v>
      </c>
      <c r="H1027">
        <f t="shared" ref="H1027:H1090" si="19">LEN(G1027)</f>
        <v>9</v>
      </c>
      <c r="M1027" s="1">
        <v>2.04488006420434E-3</v>
      </c>
      <c r="N1027">
        <v>1202.55883789063</v>
      </c>
      <c r="O1027">
        <v>602.2867</v>
      </c>
      <c r="P1027">
        <v>1202.55676269531</v>
      </c>
      <c r="Q1027">
        <v>602.28564453125</v>
      </c>
      <c r="R1027">
        <v>2</v>
      </c>
      <c r="S1027">
        <v>1</v>
      </c>
      <c r="T1027">
        <v>9</v>
      </c>
      <c r="U1027">
        <v>28.0247999999999</v>
      </c>
      <c r="V1027">
        <v>134630.20000000001</v>
      </c>
    </row>
    <row r="1028" spans="1:22" x14ac:dyDescent="0.25">
      <c r="A1028" t="s">
        <v>3984</v>
      </c>
      <c r="B1028" t="s">
        <v>3985</v>
      </c>
      <c r="C1028">
        <v>1</v>
      </c>
      <c r="D1028">
        <v>99</v>
      </c>
      <c r="E1028">
        <v>99</v>
      </c>
      <c r="F1028" t="s">
        <v>3986</v>
      </c>
      <c r="G1028" t="s">
        <v>3986</v>
      </c>
      <c r="H1028">
        <f t="shared" si="19"/>
        <v>15</v>
      </c>
      <c r="L1028" t="s">
        <v>227</v>
      </c>
      <c r="M1028">
        <v>-4.1479999999999998E-3</v>
      </c>
      <c r="N1028">
        <v>1450.658203125</v>
      </c>
      <c r="O1028">
        <v>484.56</v>
      </c>
      <c r="P1028">
        <v>1450.66235351563</v>
      </c>
      <c r="Q1028">
        <v>484.56137084960801</v>
      </c>
      <c r="R1028">
        <v>3</v>
      </c>
      <c r="S1028">
        <v>1</v>
      </c>
      <c r="T1028">
        <v>12</v>
      </c>
      <c r="U1028">
        <v>25.220970000000001</v>
      </c>
      <c r="V1028">
        <v>616221.69999999902</v>
      </c>
    </row>
    <row r="1029" spans="1:22" x14ac:dyDescent="0.25">
      <c r="A1029" t="s">
        <v>3635</v>
      </c>
      <c r="B1029" t="s">
        <v>3636</v>
      </c>
      <c r="C1029">
        <v>310</v>
      </c>
      <c r="D1029">
        <v>99</v>
      </c>
      <c r="E1029">
        <v>99</v>
      </c>
      <c r="F1029" t="s">
        <v>3637</v>
      </c>
      <c r="G1029" t="s">
        <v>3637</v>
      </c>
      <c r="H1029">
        <f t="shared" si="19"/>
        <v>17</v>
      </c>
      <c r="M1029" s="1">
        <v>4.8186201602220501E-3</v>
      </c>
      <c r="N1029">
        <v>1615.86181640625</v>
      </c>
      <c r="O1029">
        <v>808.93820000000005</v>
      </c>
      <c r="P1029">
        <v>1615.85693359375</v>
      </c>
      <c r="Q1029">
        <v>808.935791015625</v>
      </c>
      <c r="R1029">
        <v>2</v>
      </c>
      <c r="S1029">
        <v>1</v>
      </c>
      <c r="T1029">
        <v>9</v>
      </c>
      <c r="U1029">
        <v>51.789900000000003</v>
      </c>
      <c r="V1029">
        <v>44995.35</v>
      </c>
    </row>
    <row r="1030" spans="1:22" x14ac:dyDescent="0.25">
      <c r="A1030" t="s">
        <v>3635</v>
      </c>
      <c r="B1030" t="s">
        <v>3636</v>
      </c>
      <c r="C1030">
        <v>194</v>
      </c>
      <c r="D1030">
        <v>99</v>
      </c>
      <c r="E1030">
        <v>99</v>
      </c>
      <c r="F1030" t="s">
        <v>3638</v>
      </c>
      <c r="G1030" t="s">
        <v>3638</v>
      </c>
      <c r="H1030">
        <f t="shared" si="19"/>
        <v>13</v>
      </c>
      <c r="M1030" s="1">
        <v>1.0581900365650701E-2</v>
      </c>
      <c r="N1030">
        <v>1778.93090820313</v>
      </c>
      <c r="O1030">
        <v>890.47270000000003</v>
      </c>
      <c r="P1030">
        <v>1778.92028808594</v>
      </c>
      <c r="Q1030">
        <v>890.46740722656205</v>
      </c>
      <c r="R1030">
        <v>2</v>
      </c>
      <c r="S1030">
        <v>1</v>
      </c>
      <c r="T1030">
        <v>9</v>
      </c>
      <c r="U1030">
        <v>54.355849999999897</v>
      </c>
      <c r="V1030">
        <v>42110.74</v>
      </c>
    </row>
    <row r="1031" spans="1:22" x14ac:dyDescent="0.25">
      <c r="A1031" t="s">
        <v>3852</v>
      </c>
      <c r="B1031" t="s">
        <v>3853</v>
      </c>
      <c r="C1031">
        <v>28</v>
      </c>
      <c r="D1031">
        <v>98.6</v>
      </c>
      <c r="E1031">
        <v>98.63</v>
      </c>
      <c r="F1031" t="s">
        <v>439</v>
      </c>
      <c r="G1031" t="s">
        <v>439</v>
      </c>
      <c r="H1031">
        <f t="shared" si="19"/>
        <v>15</v>
      </c>
      <c r="M1031" s="1">
        <v>5.5244900286197602E-3</v>
      </c>
      <c r="N1031">
        <v>1700.90405273438</v>
      </c>
      <c r="O1031">
        <v>851.45929999999896</v>
      </c>
      <c r="P1031">
        <v>1700.89855957031</v>
      </c>
      <c r="Q1031">
        <v>851.45654296875</v>
      </c>
      <c r="R1031">
        <v>2</v>
      </c>
      <c r="S1031">
        <v>2</v>
      </c>
      <c r="T1031">
        <v>7</v>
      </c>
      <c r="U1031">
        <v>53.35698</v>
      </c>
      <c r="V1031">
        <v>55771.24</v>
      </c>
    </row>
    <row r="1032" spans="1:22" x14ac:dyDescent="0.25">
      <c r="A1032" t="s">
        <v>1925</v>
      </c>
      <c r="B1032" t="s">
        <v>1926</v>
      </c>
      <c r="C1032">
        <v>295</v>
      </c>
      <c r="D1032">
        <v>99</v>
      </c>
      <c r="E1032">
        <v>99</v>
      </c>
      <c r="F1032" t="s">
        <v>1927</v>
      </c>
      <c r="G1032" t="s">
        <v>1927</v>
      </c>
      <c r="H1032">
        <f t="shared" si="19"/>
        <v>16</v>
      </c>
      <c r="M1032">
        <v>9.2560000000000003E-3</v>
      </c>
      <c r="N1032">
        <v>1516.84545898438</v>
      </c>
      <c r="O1032">
        <v>759.43</v>
      </c>
      <c r="P1032">
        <v>1516.83618164063</v>
      </c>
      <c r="Q1032">
        <v>759.42535400390602</v>
      </c>
      <c r="R1032">
        <v>2</v>
      </c>
      <c r="S1032">
        <v>1</v>
      </c>
      <c r="T1032">
        <v>9</v>
      </c>
      <c r="U1032">
        <v>30.34835</v>
      </c>
      <c r="V1032">
        <v>38599.699999999903</v>
      </c>
    </row>
    <row r="1033" spans="1:22" x14ac:dyDescent="0.25">
      <c r="A1033" t="s">
        <v>1925</v>
      </c>
      <c r="B1033" t="s">
        <v>1926</v>
      </c>
      <c r="C1033">
        <v>295</v>
      </c>
      <c r="D1033">
        <v>99</v>
      </c>
      <c r="E1033">
        <v>99</v>
      </c>
      <c r="F1033" t="s">
        <v>1927</v>
      </c>
      <c r="G1033" t="s">
        <v>1927</v>
      </c>
      <c r="H1033">
        <f t="shared" si="19"/>
        <v>16</v>
      </c>
      <c r="L1033" t="s">
        <v>253</v>
      </c>
      <c r="M1033" s="1">
        <v>7.0205697556957603E-4</v>
      </c>
      <c r="N1033">
        <v>1393.77990722656</v>
      </c>
      <c r="O1033">
        <v>697.8972</v>
      </c>
      <c r="P1033">
        <v>1393.77917480469</v>
      </c>
      <c r="Q1033">
        <v>697.89685058593705</v>
      </c>
      <c r="R1033">
        <v>2</v>
      </c>
      <c r="S1033">
        <v>1</v>
      </c>
      <c r="T1033">
        <v>10</v>
      </c>
      <c r="U1033">
        <v>55.27655</v>
      </c>
      <c r="V1033">
        <v>171001.4</v>
      </c>
    </row>
    <row r="1034" spans="1:22" x14ac:dyDescent="0.25">
      <c r="A1034" t="s">
        <v>1137</v>
      </c>
      <c r="B1034" t="s">
        <v>1138</v>
      </c>
      <c r="C1034">
        <v>423</v>
      </c>
      <c r="D1034">
        <v>99</v>
      </c>
      <c r="E1034">
        <v>99</v>
      </c>
      <c r="F1034" t="s">
        <v>1139</v>
      </c>
      <c r="G1034" t="s">
        <v>1139</v>
      </c>
      <c r="H1034">
        <f t="shared" si="19"/>
        <v>18</v>
      </c>
      <c r="L1034" t="s">
        <v>390</v>
      </c>
      <c r="M1034" s="1">
        <v>2.5803700555115799E-3</v>
      </c>
      <c r="N1034">
        <v>1491.74963378906</v>
      </c>
      <c r="O1034">
        <v>746.88210000000004</v>
      </c>
      <c r="P1034">
        <v>1491.7470703125</v>
      </c>
      <c r="Q1034">
        <v>746.88079833984295</v>
      </c>
      <c r="R1034">
        <v>2</v>
      </c>
      <c r="S1034">
        <v>3</v>
      </c>
      <c r="T1034">
        <v>14</v>
      </c>
      <c r="U1034">
        <v>43.862780000000001</v>
      </c>
      <c r="V1034">
        <v>405970</v>
      </c>
    </row>
    <row r="1035" spans="1:22" x14ac:dyDescent="0.25">
      <c r="A1035" t="s">
        <v>1137</v>
      </c>
      <c r="B1035" t="s">
        <v>1138</v>
      </c>
      <c r="C1035">
        <v>198</v>
      </c>
      <c r="D1035">
        <v>99</v>
      </c>
      <c r="E1035">
        <v>99</v>
      </c>
      <c r="F1035" t="s">
        <v>1140</v>
      </c>
      <c r="G1035" t="s">
        <v>1140</v>
      </c>
      <c r="H1035">
        <f t="shared" si="19"/>
        <v>15</v>
      </c>
      <c r="L1035" t="s">
        <v>1141</v>
      </c>
      <c r="M1035" s="1">
        <v>-8.8131899246945901E-4</v>
      </c>
      <c r="N1035">
        <v>1880.94799804688</v>
      </c>
      <c r="O1035">
        <v>627.98990000000003</v>
      </c>
      <c r="P1035">
        <v>1880.94885253906</v>
      </c>
      <c r="Q1035">
        <v>627.990234375</v>
      </c>
      <c r="R1035">
        <v>3</v>
      </c>
      <c r="S1035">
        <v>1</v>
      </c>
      <c r="T1035">
        <v>14</v>
      </c>
      <c r="U1035">
        <v>36.400469999999899</v>
      </c>
      <c r="V1035">
        <v>366074.2</v>
      </c>
    </row>
    <row r="1036" spans="1:22" x14ac:dyDescent="0.25">
      <c r="A1036" t="s">
        <v>1137</v>
      </c>
      <c r="B1036" t="s">
        <v>1138</v>
      </c>
      <c r="C1036">
        <v>198</v>
      </c>
      <c r="D1036">
        <v>99</v>
      </c>
      <c r="E1036">
        <v>99</v>
      </c>
      <c r="F1036" t="s">
        <v>1142</v>
      </c>
      <c r="G1036" t="s">
        <v>1142</v>
      </c>
      <c r="H1036">
        <f t="shared" si="19"/>
        <v>16</v>
      </c>
      <c r="L1036" t="s">
        <v>1141</v>
      </c>
      <c r="M1036" s="1">
        <v>4.8763398081064103E-3</v>
      </c>
      <c r="N1036">
        <v>1277.5283203125</v>
      </c>
      <c r="O1036">
        <v>639.77139999999895</v>
      </c>
      <c r="P1036">
        <v>1277.5234375</v>
      </c>
      <c r="Q1036">
        <v>639.76898193359295</v>
      </c>
      <c r="R1036">
        <v>2</v>
      </c>
      <c r="S1036">
        <v>1</v>
      </c>
      <c r="T1036">
        <v>9</v>
      </c>
      <c r="U1036">
        <v>28.084630000000001</v>
      </c>
      <c r="V1036">
        <v>411123.3</v>
      </c>
    </row>
    <row r="1037" spans="1:22" x14ac:dyDescent="0.25">
      <c r="A1037" t="s">
        <v>3323</v>
      </c>
      <c r="B1037" t="s">
        <v>3324</v>
      </c>
      <c r="C1037">
        <v>272</v>
      </c>
      <c r="D1037">
        <v>99</v>
      </c>
      <c r="E1037">
        <v>99</v>
      </c>
      <c r="F1037" t="s">
        <v>3325</v>
      </c>
      <c r="G1037" t="s">
        <v>3325</v>
      </c>
      <c r="H1037">
        <f t="shared" si="19"/>
        <v>15</v>
      </c>
      <c r="M1037" s="1">
        <v>2.36631999723613E-3</v>
      </c>
      <c r="N1037">
        <v>1665.8134765625</v>
      </c>
      <c r="O1037">
        <v>833.91399999999896</v>
      </c>
      <c r="P1037">
        <v>1665.81103515625</v>
      </c>
      <c r="Q1037">
        <v>833.912841796875</v>
      </c>
      <c r="R1037">
        <v>2</v>
      </c>
      <c r="S1037">
        <v>2</v>
      </c>
      <c r="T1037">
        <v>11</v>
      </c>
      <c r="U1037">
        <v>25.4171499999999</v>
      </c>
      <c r="V1037">
        <v>212145</v>
      </c>
    </row>
    <row r="1038" spans="1:22" x14ac:dyDescent="0.25">
      <c r="A1038" t="s">
        <v>4646</v>
      </c>
      <c r="B1038" t="s">
        <v>4647</v>
      </c>
      <c r="C1038">
        <v>751</v>
      </c>
      <c r="D1038">
        <v>98.7</v>
      </c>
      <c r="E1038">
        <v>98.69</v>
      </c>
      <c r="F1038" t="s">
        <v>4648</v>
      </c>
      <c r="G1038" t="s">
        <v>4648</v>
      </c>
      <c r="H1038">
        <f t="shared" si="19"/>
        <v>10</v>
      </c>
      <c r="M1038" s="1">
        <v>4.0965401567518702E-3</v>
      </c>
      <c r="N1038">
        <v>2062.05249023438</v>
      </c>
      <c r="O1038">
        <v>688.35810000000004</v>
      </c>
      <c r="P1038">
        <v>2062.04833984375</v>
      </c>
      <c r="Q1038">
        <v>688.35675048828102</v>
      </c>
      <c r="R1038">
        <v>3</v>
      </c>
      <c r="S1038">
        <v>1</v>
      </c>
      <c r="T1038">
        <v>10</v>
      </c>
      <c r="U1038">
        <v>24.410820000000001</v>
      </c>
      <c r="V1038">
        <v>298392.8</v>
      </c>
    </row>
    <row r="1039" spans="1:22" x14ac:dyDescent="0.25">
      <c r="A1039" t="s">
        <v>873</v>
      </c>
      <c r="B1039" t="s">
        <v>874</v>
      </c>
      <c r="C1039">
        <v>1290</v>
      </c>
      <c r="D1039">
        <v>99</v>
      </c>
      <c r="E1039">
        <v>99</v>
      </c>
      <c r="F1039" t="s">
        <v>875</v>
      </c>
      <c r="G1039" t="s">
        <v>875</v>
      </c>
      <c r="H1039">
        <f t="shared" si="19"/>
        <v>13</v>
      </c>
      <c r="M1039" s="1">
        <v>8.7552201002836106E-3</v>
      </c>
      <c r="N1039">
        <v>1841.97631835938</v>
      </c>
      <c r="O1039">
        <v>614.99940000000004</v>
      </c>
      <c r="P1039">
        <v>1841.96752929688</v>
      </c>
      <c r="Q1039">
        <v>614.99645996093705</v>
      </c>
      <c r="R1039">
        <v>3</v>
      </c>
      <c r="S1039">
        <v>2</v>
      </c>
      <c r="T1039">
        <v>9</v>
      </c>
      <c r="U1039">
        <v>47.11148</v>
      </c>
      <c r="V1039">
        <v>106980.1</v>
      </c>
    </row>
    <row r="1040" spans="1:22" x14ac:dyDescent="0.25">
      <c r="A1040" t="s">
        <v>873</v>
      </c>
      <c r="B1040" t="s">
        <v>874</v>
      </c>
      <c r="C1040">
        <v>1018</v>
      </c>
      <c r="D1040">
        <v>99</v>
      </c>
      <c r="E1040">
        <v>99</v>
      </c>
      <c r="F1040" t="s">
        <v>876</v>
      </c>
      <c r="G1040" t="s">
        <v>876</v>
      </c>
      <c r="H1040">
        <f t="shared" si="19"/>
        <v>13</v>
      </c>
      <c r="M1040" s="1">
        <v>-1.88972000032663E-2</v>
      </c>
      <c r="N1040">
        <v>1295.6181640625</v>
      </c>
      <c r="O1040">
        <v>432.88</v>
      </c>
      <c r="P1040">
        <v>1295.63708496094</v>
      </c>
      <c r="Q1040">
        <v>432.88629150390602</v>
      </c>
      <c r="R1040">
        <v>3</v>
      </c>
      <c r="S1040">
        <v>1</v>
      </c>
      <c r="T1040">
        <v>10</v>
      </c>
      <c r="U1040">
        <v>19.5746299999999</v>
      </c>
      <c r="V1040">
        <v>255295.1</v>
      </c>
    </row>
    <row r="1041" spans="1:22" x14ac:dyDescent="0.25">
      <c r="A1041" t="s">
        <v>873</v>
      </c>
      <c r="B1041" t="s">
        <v>874</v>
      </c>
      <c r="C1041">
        <v>1289</v>
      </c>
      <c r="D1041">
        <v>99</v>
      </c>
      <c r="E1041">
        <v>99</v>
      </c>
      <c r="F1041" t="s">
        <v>877</v>
      </c>
      <c r="G1041" t="s">
        <v>877</v>
      </c>
      <c r="H1041">
        <f t="shared" si="19"/>
        <v>14</v>
      </c>
      <c r="M1041" s="1">
        <v>1.81497994344682E-3</v>
      </c>
      <c r="N1041">
        <v>2540.27905273438</v>
      </c>
      <c r="O1041">
        <v>636.077</v>
      </c>
      <c r="P1041">
        <v>2540.27709960938</v>
      </c>
      <c r="Q1041">
        <v>636.07659912109295</v>
      </c>
      <c r="R1041">
        <v>4</v>
      </c>
      <c r="S1041">
        <v>1</v>
      </c>
      <c r="T1041">
        <v>9</v>
      </c>
      <c r="U1041">
        <v>32.332349999999899</v>
      </c>
      <c r="V1041">
        <v>177948.2</v>
      </c>
    </row>
    <row r="1042" spans="1:22" x14ac:dyDescent="0.25">
      <c r="A1042" t="s">
        <v>873</v>
      </c>
      <c r="B1042" t="s">
        <v>874</v>
      </c>
      <c r="C1042">
        <v>33</v>
      </c>
      <c r="D1042">
        <v>99</v>
      </c>
      <c r="E1042">
        <v>99</v>
      </c>
      <c r="F1042" t="s">
        <v>878</v>
      </c>
      <c r="G1042" t="s">
        <v>878</v>
      </c>
      <c r="H1042">
        <f t="shared" si="19"/>
        <v>13</v>
      </c>
      <c r="M1042">
        <v>1.3082999999999999E-2</v>
      </c>
      <c r="N1042">
        <v>1859.96203613281</v>
      </c>
      <c r="O1042">
        <v>620.99459999999897</v>
      </c>
      <c r="P1042">
        <v>1859.94897460938</v>
      </c>
      <c r="Q1042">
        <v>620.99029541015602</v>
      </c>
      <c r="R1042">
        <v>3</v>
      </c>
      <c r="S1042">
        <v>1</v>
      </c>
      <c r="T1042">
        <v>9</v>
      </c>
      <c r="U1042">
        <v>42.163849999999897</v>
      </c>
      <c r="V1042">
        <v>121607.6</v>
      </c>
    </row>
    <row r="1043" spans="1:22" x14ac:dyDescent="0.25">
      <c r="A1043" t="s">
        <v>1948</v>
      </c>
      <c r="B1043" t="s">
        <v>1949</v>
      </c>
      <c r="C1043">
        <v>197</v>
      </c>
      <c r="D1043">
        <v>99</v>
      </c>
      <c r="E1043">
        <v>99</v>
      </c>
      <c r="F1043" t="s">
        <v>1950</v>
      </c>
      <c r="G1043" t="s">
        <v>1950</v>
      </c>
      <c r="H1043">
        <f t="shared" si="19"/>
        <v>9</v>
      </c>
      <c r="M1043" s="1">
        <v>6.56274985522031E-3</v>
      </c>
      <c r="N1043">
        <v>2577.298828125</v>
      </c>
      <c r="O1043">
        <v>860.1069</v>
      </c>
      <c r="P1043">
        <v>2577.29223632813</v>
      </c>
      <c r="Q1043">
        <v>860.10467529296795</v>
      </c>
      <c r="R1043">
        <v>3</v>
      </c>
      <c r="S1043">
        <v>1</v>
      </c>
      <c r="T1043">
        <v>8</v>
      </c>
      <c r="U1043">
        <v>49.573079999999898</v>
      </c>
      <c r="V1043">
        <v>162326.399999999</v>
      </c>
    </row>
    <row r="1044" spans="1:22" x14ac:dyDescent="0.25">
      <c r="A1044" t="s">
        <v>3562</v>
      </c>
      <c r="B1044" t="s">
        <v>3563</v>
      </c>
      <c r="C1044">
        <v>804</v>
      </c>
      <c r="D1044">
        <v>99</v>
      </c>
      <c r="E1044">
        <v>99</v>
      </c>
      <c r="F1044" t="s">
        <v>288</v>
      </c>
      <c r="G1044" t="s">
        <v>288</v>
      </c>
      <c r="H1044">
        <f t="shared" si="19"/>
        <v>9</v>
      </c>
      <c r="M1044" s="1">
        <v>6.9707599468529103E-3</v>
      </c>
      <c r="N1044">
        <v>1384.75329589844</v>
      </c>
      <c r="O1044">
        <v>693.38390000000004</v>
      </c>
      <c r="P1044">
        <v>1384.74633789063</v>
      </c>
      <c r="Q1044">
        <v>693.38043212890602</v>
      </c>
      <c r="R1044">
        <v>2</v>
      </c>
      <c r="S1044">
        <v>1</v>
      </c>
      <c r="T1044">
        <v>10</v>
      </c>
      <c r="U1044">
        <v>43.130130000000001</v>
      </c>
      <c r="V1044">
        <v>81518.990000000005</v>
      </c>
    </row>
    <row r="1045" spans="1:22" x14ac:dyDescent="0.25">
      <c r="A1045" t="s">
        <v>3562</v>
      </c>
      <c r="B1045" t="s">
        <v>3563</v>
      </c>
      <c r="C1045">
        <v>221</v>
      </c>
      <c r="D1045">
        <v>98.6</v>
      </c>
      <c r="E1045">
        <v>98.62</v>
      </c>
      <c r="F1045" t="s">
        <v>3564</v>
      </c>
      <c r="G1045" t="s">
        <v>3564</v>
      </c>
      <c r="H1045">
        <f t="shared" si="19"/>
        <v>9</v>
      </c>
      <c r="L1045" t="s">
        <v>377</v>
      </c>
      <c r="M1045" s="1">
        <v>5.42652001604438E-3</v>
      </c>
      <c r="N1045">
        <v>1304.62243652344</v>
      </c>
      <c r="O1045">
        <v>653.31849999999895</v>
      </c>
      <c r="P1045">
        <v>1304.61694335938</v>
      </c>
      <c r="Q1045">
        <v>653.31579589843705</v>
      </c>
      <c r="R1045">
        <v>2</v>
      </c>
      <c r="S1045">
        <v>1</v>
      </c>
      <c r="T1045">
        <v>9</v>
      </c>
      <c r="U1045">
        <v>30.84863</v>
      </c>
      <c r="V1045">
        <v>140785.70000000001</v>
      </c>
    </row>
    <row r="1046" spans="1:22" x14ac:dyDescent="0.25">
      <c r="A1046" t="s">
        <v>4629</v>
      </c>
      <c r="B1046" t="s">
        <v>4630</v>
      </c>
      <c r="C1046">
        <v>1092</v>
      </c>
      <c r="D1046">
        <v>98.8</v>
      </c>
      <c r="E1046">
        <v>98.79</v>
      </c>
      <c r="F1046" t="s">
        <v>4631</v>
      </c>
      <c r="G1046" t="s">
        <v>4631</v>
      </c>
      <c r="H1046">
        <f t="shared" si="19"/>
        <v>10</v>
      </c>
      <c r="M1046" s="1">
        <v>5.8291400782764001E-3</v>
      </c>
      <c r="N1046">
        <v>1990.96545410156</v>
      </c>
      <c r="O1046">
        <v>996.49</v>
      </c>
      <c r="P1046">
        <v>1990.95959472656</v>
      </c>
      <c r="Q1046">
        <v>996.487060546875</v>
      </c>
      <c r="R1046">
        <v>2</v>
      </c>
      <c r="S1046">
        <v>1</v>
      </c>
      <c r="T1046">
        <v>9</v>
      </c>
      <c r="U1046">
        <v>43.146479999999897</v>
      </c>
      <c r="V1046">
        <v>225028.6</v>
      </c>
    </row>
    <row r="1047" spans="1:22" x14ac:dyDescent="0.25">
      <c r="A1047" t="s">
        <v>24</v>
      </c>
      <c r="B1047" t="s">
        <v>25</v>
      </c>
      <c r="C1047">
        <v>152</v>
      </c>
      <c r="D1047">
        <v>98.6</v>
      </c>
      <c r="E1047">
        <v>98.56</v>
      </c>
      <c r="F1047" t="s">
        <v>934</v>
      </c>
      <c r="G1047" t="s">
        <v>934</v>
      </c>
      <c r="H1047">
        <f t="shared" si="19"/>
        <v>8</v>
      </c>
      <c r="M1047" s="1">
        <v>8.9362496510147892E-3</v>
      </c>
      <c r="N1047">
        <v>1527.87097167969</v>
      </c>
      <c r="O1047">
        <v>510.29759999999902</v>
      </c>
      <c r="P1047">
        <v>1527.86206054688</v>
      </c>
      <c r="Q1047">
        <v>510.29461669921801</v>
      </c>
      <c r="R1047">
        <v>3</v>
      </c>
      <c r="S1047">
        <v>1</v>
      </c>
      <c r="T1047">
        <v>11</v>
      </c>
      <c r="U1047">
        <v>31.4744999999999</v>
      </c>
      <c r="V1047">
        <v>219304.8</v>
      </c>
    </row>
    <row r="1048" spans="1:22" x14ac:dyDescent="0.25">
      <c r="A1048" t="s">
        <v>3545</v>
      </c>
      <c r="B1048" t="s">
        <v>3546</v>
      </c>
      <c r="C1048">
        <v>167</v>
      </c>
      <c r="D1048">
        <v>99</v>
      </c>
      <c r="E1048">
        <v>99</v>
      </c>
      <c r="F1048" t="s">
        <v>3547</v>
      </c>
      <c r="G1048" t="s">
        <v>3547</v>
      </c>
      <c r="H1048">
        <f t="shared" si="19"/>
        <v>9</v>
      </c>
      <c r="M1048" s="1">
        <v>2.2993899881839801E-2</v>
      </c>
      <c r="N1048">
        <v>3248.78466796875</v>
      </c>
      <c r="O1048">
        <v>813.20339999999896</v>
      </c>
      <c r="P1048">
        <v>3248.76171875</v>
      </c>
      <c r="Q1048">
        <v>813.19769287109295</v>
      </c>
      <c r="R1048">
        <v>4</v>
      </c>
      <c r="S1048">
        <v>2</v>
      </c>
      <c r="T1048">
        <v>19</v>
      </c>
      <c r="U1048">
        <v>38.81427</v>
      </c>
      <c r="V1048">
        <v>2239604</v>
      </c>
    </row>
    <row r="1049" spans="1:22" x14ac:dyDescent="0.25">
      <c r="A1049" t="s">
        <v>1459</v>
      </c>
      <c r="B1049" t="s">
        <v>1460</v>
      </c>
      <c r="C1049">
        <v>820</v>
      </c>
      <c r="D1049">
        <v>99</v>
      </c>
      <c r="E1049">
        <v>99</v>
      </c>
      <c r="F1049" t="s">
        <v>1461</v>
      </c>
      <c r="G1049" t="s">
        <v>1461</v>
      </c>
      <c r="H1049">
        <f t="shared" si="19"/>
        <v>18</v>
      </c>
      <c r="M1049" s="1">
        <v>6.3737099990248602E-3</v>
      </c>
      <c r="N1049">
        <v>1659.63488769531</v>
      </c>
      <c r="O1049">
        <v>830.82470000000001</v>
      </c>
      <c r="P1049">
        <v>1659.62854003906</v>
      </c>
      <c r="Q1049">
        <v>830.821533203125</v>
      </c>
      <c r="R1049">
        <v>2</v>
      </c>
      <c r="S1049">
        <v>1</v>
      </c>
      <c r="T1049">
        <v>12</v>
      </c>
      <c r="U1049">
        <v>28.806270000000001</v>
      </c>
      <c r="V1049">
        <v>177330.1</v>
      </c>
    </row>
    <row r="1050" spans="1:22" x14ac:dyDescent="0.25">
      <c r="A1050" t="s">
        <v>1459</v>
      </c>
      <c r="B1050" t="s">
        <v>1460</v>
      </c>
      <c r="C1050">
        <v>820</v>
      </c>
      <c r="D1050">
        <v>99</v>
      </c>
      <c r="E1050">
        <v>99</v>
      </c>
      <c r="F1050" t="s">
        <v>1462</v>
      </c>
      <c r="G1050" t="s">
        <v>1462</v>
      </c>
      <c r="H1050">
        <f t="shared" si="19"/>
        <v>19</v>
      </c>
      <c r="M1050" s="1">
        <v>5.3646899759769301E-3</v>
      </c>
      <c r="N1050">
        <v>1446.71569824219</v>
      </c>
      <c r="O1050">
        <v>724.36509999999896</v>
      </c>
      <c r="P1050">
        <v>1446.71032714844</v>
      </c>
      <c r="Q1050">
        <v>724.36242675781205</v>
      </c>
      <c r="R1050">
        <v>2</v>
      </c>
      <c r="S1050">
        <v>1</v>
      </c>
      <c r="T1050">
        <v>13</v>
      </c>
      <c r="U1050">
        <v>43.743580000000001</v>
      </c>
      <c r="V1050">
        <v>134200</v>
      </c>
    </row>
    <row r="1051" spans="1:22" x14ac:dyDescent="0.25">
      <c r="A1051" t="s">
        <v>1459</v>
      </c>
      <c r="B1051" t="s">
        <v>1460</v>
      </c>
      <c r="C1051">
        <v>819</v>
      </c>
      <c r="D1051">
        <v>98.5</v>
      </c>
      <c r="E1051">
        <v>98.53</v>
      </c>
      <c r="F1051" t="s">
        <v>1463</v>
      </c>
      <c r="G1051" t="s">
        <v>1463</v>
      </c>
      <c r="H1051">
        <f t="shared" si="19"/>
        <v>16</v>
      </c>
      <c r="M1051" s="1">
        <v>1.0197999887168401E-2</v>
      </c>
      <c r="N1051">
        <v>1697.86865234375</v>
      </c>
      <c r="O1051">
        <v>849.94159999999897</v>
      </c>
      <c r="P1051">
        <v>1697.8583984375</v>
      </c>
      <c r="Q1051">
        <v>849.93646240234295</v>
      </c>
      <c r="R1051">
        <v>2</v>
      </c>
      <c r="S1051">
        <v>1</v>
      </c>
      <c r="T1051">
        <v>9</v>
      </c>
      <c r="U1051">
        <v>47.073520000000002</v>
      </c>
      <c r="V1051">
        <v>28820.36</v>
      </c>
    </row>
    <row r="1052" spans="1:22" x14ac:dyDescent="0.25">
      <c r="A1052" t="s">
        <v>1459</v>
      </c>
      <c r="B1052" t="s">
        <v>1460</v>
      </c>
      <c r="C1052">
        <v>819</v>
      </c>
      <c r="D1052">
        <v>99</v>
      </c>
      <c r="E1052">
        <v>99</v>
      </c>
      <c r="F1052" t="s">
        <v>1464</v>
      </c>
      <c r="G1052" t="s">
        <v>1464</v>
      </c>
      <c r="H1052">
        <f t="shared" si="19"/>
        <v>17</v>
      </c>
      <c r="M1052" s="1">
        <v>2.16723000630736E-3</v>
      </c>
      <c r="N1052">
        <v>1501.72570800781</v>
      </c>
      <c r="O1052">
        <v>751.87009999999896</v>
      </c>
      <c r="P1052">
        <v>1501.72351074219</v>
      </c>
      <c r="Q1052">
        <v>751.86901855468705</v>
      </c>
      <c r="R1052">
        <v>2</v>
      </c>
      <c r="S1052">
        <v>1</v>
      </c>
      <c r="T1052">
        <v>9</v>
      </c>
      <c r="U1052">
        <v>42.627949999999899</v>
      </c>
      <c r="V1052">
        <v>56969.48</v>
      </c>
    </row>
    <row r="1053" spans="1:22" x14ac:dyDescent="0.25">
      <c r="A1053" t="s">
        <v>1459</v>
      </c>
      <c r="B1053" t="s">
        <v>1460</v>
      </c>
      <c r="C1053">
        <v>819</v>
      </c>
      <c r="D1053">
        <v>99</v>
      </c>
      <c r="E1053">
        <v>99</v>
      </c>
      <c r="F1053" t="s">
        <v>1465</v>
      </c>
      <c r="G1053" t="s">
        <v>1465</v>
      </c>
      <c r="H1053">
        <f t="shared" si="19"/>
        <v>19</v>
      </c>
      <c r="M1053" s="1">
        <v>6.7672301083803203E-3</v>
      </c>
      <c r="N1053">
        <v>1058.49230957031</v>
      </c>
      <c r="O1053">
        <v>530.25340000000006</v>
      </c>
      <c r="P1053">
        <v>1058.48547363281</v>
      </c>
      <c r="Q1053">
        <v>530.25006103515602</v>
      </c>
      <c r="R1053">
        <v>2</v>
      </c>
      <c r="S1053">
        <v>3</v>
      </c>
      <c r="T1053">
        <v>10</v>
      </c>
      <c r="U1053">
        <v>41.431959999999897</v>
      </c>
      <c r="V1053">
        <v>135691.70000000001</v>
      </c>
    </row>
    <row r="1054" spans="1:22" x14ac:dyDescent="0.25">
      <c r="A1054" t="s">
        <v>1459</v>
      </c>
      <c r="B1054" t="s">
        <v>1460</v>
      </c>
      <c r="C1054">
        <v>819</v>
      </c>
      <c r="D1054">
        <v>99</v>
      </c>
      <c r="E1054">
        <v>99</v>
      </c>
      <c r="F1054" t="s">
        <v>1466</v>
      </c>
      <c r="G1054" t="s">
        <v>1466</v>
      </c>
      <c r="H1054">
        <f t="shared" si="19"/>
        <v>20</v>
      </c>
      <c r="M1054" s="1">
        <v>6.8188700824976002E-3</v>
      </c>
      <c r="N1054">
        <v>1572.66821289063</v>
      </c>
      <c r="O1054">
        <v>787.34140000000002</v>
      </c>
      <c r="P1054">
        <v>1572.66137695313</v>
      </c>
      <c r="Q1054">
        <v>787.33795166015602</v>
      </c>
      <c r="R1054">
        <v>2</v>
      </c>
      <c r="S1054">
        <v>1</v>
      </c>
      <c r="T1054">
        <v>9</v>
      </c>
      <c r="U1054">
        <v>56.089280000000002</v>
      </c>
      <c r="V1054">
        <v>124836</v>
      </c>
    </row>
    <row r="1055" spans="1:22" x14ac:dyDescent="0.25">
      <c r="A1055" t="s">
        <v>1459</v>
      </c>
      <c r="B1055" t="s">
        <v>1460</v>
      </c>
      <c r="C1055">
        <v>819</v>
      </c>
      <c r="D1055">
        <v>99</v>
      </c>
      <c r="E1055">
        <v>99</v>
      </c>
      <c r="F1055" t="s">
        <v>1467</v>
      </c>
      <c r="G1055" t="s">
        <v>1467</v>
      </c>
      <c r="H1055">
        <f t="shared" si="19"/>
        <v>23</v>
      </c>
      <c r="M1055" s="1">
        <v>-1.5567500377073799E-3</v>
      </c>
      <c r="N1055">
        <v>1877.92565917969</v>
      </c>
      <c r="O1055">
        <v>626.98249999999905</v>
      </c>
      <c r="P1055">
        <v>1877.92712402344</v>
      </c>
      <c r="Q1055">
        <v>626.98303222656205</v>
      </c>
      <c r="R1055">
        <v>3</v>
      </c>
      <c r="S1055">
        <v>1</v>
      </c>
      <c r="T1055">
        <v>16</v>
      </c>
      <c r="U1055">
        <v>36.757770000000001</v>
      </c>
      <c r="V1055">
        <v>431207.7</v>
      </c>
    </row>
    <row r="1056" spans="1:22" x14ac:dyDescent="0.25">
      <c r="A1056" t="s">
        <v>1459</v>
      </c>
      <c r="B1056" t="s">
        <v>1460</v>
      </c>
      <c r="C1056">
        <v>819</v>
      </c>
      <c r="D1056">
        <v>99</v>
      </c>
      <c r="E1056">
        <v>99</v>
      </c>
      <c r="F1056" t="s">
        <v>1467</v>
      </c>
      <c r="G1056" t="s">
        <v>1467</v>
      </c>
      <c r="H1056">
        <f t="shared" si="19"/>
        <v>23</v>
      </c>
      <c r="L1056" t="s">
        <v>1468</v>
      </c>
      <c r="M1056" s="1">
        <v>8.0312695354223303E-3</v>
      </c>
      <c r="N1056">
        <v>1234.63952636719</v>
      </c>
      <c r="O1056">
        <v>618.327</v>
      </c>
      <c r="P1056">
        <v>1234.63146972656</v>
      </c>
      <c r="Q1056">
        <v>618.322998046875</v>
      </c>
      <c r="R1056">
        <v>2</v>
      </c>
      <c r="S1056">
        <v>4</v>
      </c>
      <c r="T1056">
        <v>8</v>
      </c>
      <c r="U1056">
        <v>24.3474299999999</v>
      </c>
      <c r="V1056">
        <v>187179.4</v>
      </c>
    </row>
    <row r="1057" spans="1:22" x14ac:dyDescent="0.25">
      <c r="A1057" t="s">
        <v>1459</v>
      </c>
      <c r="B1057" t="s">
        <v>1460</v>
      </c>
      <c r="C1057">
        <v>819</v>
      </c>
      <c r="D1057">
        <v>99</v>
      </c>
      <c r="E1057">
        <v>99</v>
      </c>
      <c r="F1057" t="s">
        <v>1469</v>
      </c>
      <c r="G1057" t="s">
        <v>1469</v>
      </c>
      <c r="H1057">
        <f t="shared" si="19"/>
        <v>24</v>
      </c>
      <c r="L1057" t="s">
        <v>1470</v>
      </c>
      <c r="M1057" s="1">
        <v>1.37637997977436E-3</v>
      </c>
      <c r="N1057">
        <v>1082.54443359375</v>
      </c>
      <c r="O1057">
        <v>542.27949999999896</v>
      </c>
      <c r="P1057">
        <v>1082.54309082031</v>
      </c>
      <c r="Q1057">
        <v>542.27880859375</v>
      </c>
      <c r="R1057">
        <v>2</v>
      </c>
      <c r="S1057">
        <v>2</v>
      </c>
      <c r="T1057">
        <v>11</v>
      </c>
      <c r="U1057">
        <v>36.647669999999898</v>
      </c>
      <c r="V1057">
        <v>7775010</v>
      </c>
    </row>
    <row r="1058" spans="1:22" x14ac:dyDescent="0.25">
      <c r="A1058" t="s">
        <v>2063</v>
      </c>
      <c r="B1058" t="s">
        <v>2064</v>
      </c>
      <c r="C1058">
        <v>473</v>
      </c>
      <c r="D1058">
        <v>98.4</v>
      </c>
      <c r="E1058">
        <v>98.41</v>
      </c>
      <c r="F1058" t="s">
        <v>2065</v>
      </c>
      <c r="G1058" t="s">
        <v>2065</v>
      </c>
      <c r="H1058">
        <f t="shared" si="19"/>
        <v>9</v>
      </c>
      <c r="M1058" s="1">
        <v>1.55457004439086E-3</v>
      </c>
      <c r="N1058">
        <v>1896.15356445313</v>
      </c>
      <c r="O1058">
        <v>633.05849999999896</v>
      </c>
      <c r="P1058">
        <v>1896.15197753906</v>
      </c>
      <c r="Q1058">
        <v>633.05798339843705</v>
      </c>
      <c r="R1058">
        <v>3</v>
      </c>
      <c r="S1058">
        <v>3</v>
      </c>
      <c r="T1058">
        <v>12</v>
      </c>
      <c r="U1058">
        <v>27.751580000000001</v>
      </c>
      <c r="V1058">
        <v>517928.4</v>
      </c>
    </row>
    <row r="1059" spans="1:22" x14ac:dyDescent="0.25">
      <c r="A1059" t="s">
        <v>2821</v>
      </c>
      <c r="B1059" t="s">
        <v>2822</v>
      </c>
      <c r="C1059">
        <v>282</v>
      </c>
      <c r="D1059">
        <v>99</v>
      </c>
      <c r="E1059">
        <v>99</v>
      </c>
      <c r="F1059" t="s">
        <v>2823</v>
      </c>
      <c r="G1059" t="s">
        <v>2823</v>
      </c>
      <c r="H1059">
        <f t="shared" si="19"/>
        <v>13</v>
      </c>
      <c r="M1059" s="1">
        <v>5.6441901251673603E-3</v>
      </c>
      <c r="N1059">
        <v>1568.90954589844</v>
      </c>
      <c r="O1059">
        <v>523.97709999999904</v>
      </c>
      <c r="P1059">
        <v>1568.90380859375</v>
      </c>
      <c r="Q1059">
        <v>523.97521972656205</v>
      </c>
      <c r="R1059">
        <v>3</v>
      </c>
      <c r="S1059">
        <v>1</v>
      </c>
      <c r="T1059">
        <v>13</v>
      </c>
      <c r="U1059">
        <v>40.240430000000003</v>
      </c>
      <c r="V1059">
        <v>198926</v>
      </c>
    </row>
    <row r="1060" spans="1:22" x14ac:dyDescent="0.25">
      <c r="A1060" t="s">
        <v>2821</v>
      </c>
      <c r="B1060" t="s">
        <v>2822</v>
      </c>
      <c r="C1060">
        <v>173</v>
      </c>
      <c r="D1060">
        <v>98.9</v>
      </c>
      <c r="E1060">
        <v>98.86</v>
      </c>
      <c r="F1060" t="s">
        <v>2824</v>
      </c>
      <c r="G1060" t="s">
        <v>2824</v>
      </c>
      <c r="H1060">
        <f t="shared" si="19"/>
        <v>14</v>
      </c>
      <c r="M1060" s="1">
        <v>4.9628298729658101E-3</v>
      </c>
      <c r="N1060">
        <v>1957.88024902344</v>
      </c>
      <c r="O1060">
        <v>979.94740000000002</v>
      </c>
      <c r="P1060">
        <v>1957.87524414063</v>
      </c>
      <c r="Q1060">
        <v>979.94488525390602</v>
      </c>
      <c r="R1060">
        <v>2</v>
      </c>
      <c r="S1060">
        <v>1</v>
      </c>
      <c r="T1060">
        <v>10</v>
      </c>
      <c r="U1060">
        <v>54.775350000000003</v>
      </c>
      <c r="V1060">
        <v>111966.399999999</v>
      </c>
    </row>
    <row r="1061" spans="1:22" x14ac:dyDescent="0.25">
      <c r="A1061" t="s">
        <v>1503</v>
      </c>
      <c r="B1061" t="s">
        <v>1504</v>
      </c>
      <c r="C1061">
        <v>145</v>
      </c>
      <c r="D1061">
        <v>99</v>
      </c>
      <c r="E1061">
        <v>99</v>
      </c>
      <c r="F1061" t="s">
        <v>1505</v>
      </c>
      <c r="G1061" t="s">
        <v>1505</v>
      </c>
      <c r="H1061">
        <f t="shared" si="19"/>
        <v>9</v>
      </c>
      <c r="M1061" s="1">
        <v>-2.4607700761407601E-3</v>
      </c>
      <c r="N1061">
        <v>1837.85119628906</v>
      </c>
      <c r="O1061">
        <v>613.62429999999904</v>
      </c>
      <c r="P1061">
        <v>1837.85363769531</v>
      </c>
      <c r="Q1061">
        <v>613.62512207031205</v>
      </c>
      <c r="R1061">
        <v>3</v>
      </c>
      <c r="S1061">
        <v>1</v>
      </c>
      <c r="T1061">
        <v>10</v>
      </c>
      <c r="U1061">
        <v>38.246690000000001</v>
      </c>
      <c r="V1061">
        <v>168970.6</v>
      </c>
    </row>
    <row r="1062" spans="1:22" x14ac:dyDescent="0.25">
      <c r="A1062" t="s">
        <v>544</v>
      </c>
      <c r="B1062" t="s">
        <v>545</v>
      </c>
      <c r="C1062">
        <v>4</v>
      </c>
      <c r="D1062">
        <v>99</v>
      </c>
      <c r="E1062">
        <v>99</v>
      </c>
      <c r="F1062" t="s">
        <v>546</v>
      </c>
      <c r="G1062" t="s">
        <v>546</v>
      </c>
      <c r="H1062">
        <f t="shared" si="19"/>
        <v>12</v>
      </c>
      <c r="M1062" s="1">
        <v>3.33609990775585E-3</v>
      </c>
      <c r="N1062">
        <v>1642.79846191406</v>
      </c>
      <c r="O1062">
        <v>822.40650000000005</v>
      </c>
      <c r="P1062">
        <v>1642.79504394531</v>
      </c>
      <c r="Q1062">
        <v>822.40484619140602</v>
      </c>
      <c r="R1062">
        <v>2</v>
      </c>
      <c r="S1062">
        <v>1</v>
      </c>
      <c r="T1062">
        <v>10</v>
      </c>
      <c r="U1062">
        <v>39.767530000000001</v>
      </c>
      <c r="V1062">
        <v>173337</v>
      </c>
    </row>
    <row r="1063" spans="1:22" x14ac:dyDescent="0.25">
      <c r="A1063" t="s">
        <v>544</v>
      </c>
      <c r="B1063" t="s">
        <v>545</v>
      </c>
      <c r="C1063">
        <v>164</v>
      </c>
      <c r="D1063">
        <v>97.6</v>
      </c>
      <c r="E1063">
        <v>97.62</v>
      </c>
      <c r="F1063" t="s">
        <v>1533</v>
      </c>
      <c r="G1063" t="s">
        <v>1533</v>
      </c>
      <c r="H1063">
        <f t="shared" si="19"/>
        <v>11</v>
      </c>
      <c r="M1063" s="1">
        <v>5.5300798267126101E-3</v>
      </c>
      <c r="N1063">
        <v>1876.94616699219</v>
      </c>
      <c r="O1063">
        <v>626.65599999999904</v>
      </c>
      <c r="P1063">
        <v>1876.94067382813</v>
      </c>
      <c r="Q1063">
        <v>626.65417480468705</v>
      </c>
      <c r="R1063">
        <v>3</v>
      </c>
      <c r="S1063">
        <v>2</v>
      </c>
      <c r="T1063">
        <v>10</v>
      </c>
      <c r="U1063">
        <v>33.9102999999999</v>
      </c>
      <c r="V1063">
        <v>217909.5</v>
      </c>
    </row>
    <row r="1064" spans="1:22" x14ac:dyDescent="0.25">
      <c r="A1064" t="s">
        <v>1563</v>
      </c>
      <c r="B1064" t="s">
        <v>1564</v>
      </c>
      <c r="C1064">
        <v>5</v>
      </c>
      <c r="D1064">
        <v>99</v>
      </c>
      <c r="E1064">
        <v>99</v>
      </c>
      <c r="F1064" t="s">
        <v>1565</v>
      </c>
      <c r="G1064" t="s">
        <v>1565</v>
      </c>
      <c r="H1064">
        <f t="shared" si="19"/>
        <v>19</v>
      </c>
      <c r="M1064" s="1">
        <v>-5.3035099990665904E-3</v>
      </c>
      <c r="N1064">
        <v>1461.71594238281</v>
      </c>
      <c r="O1064">
        <v>488.24590000000001</v>
      </c>
      <c r="P1064">
        <v>1461.72119140625</v>
      </c>
      <c r="Q1064">
        <v>488.24768066406301</v>
      </c>
      <c r="R1064">
        <v>3</v>
      </c>
      <c r="S1064">
        <v>1</v>
      </c>
      <c r="T1064">
        <v>10</v>
      </c>
      <c r="U1064">
        <v>22.287130000000001</v>
      </c>
      <c r="V1064">
        <v>270860.2</v>
      </c>
    </row>
    <row r="1065" spans="1:22" x14ac:dyDescent="0.25">
      <c r="A1065" t="s">
        <v>1563</v>
      </c>
      <c r="B1065" t="s">
        <v>1564</v>
      </c>
      <c r="C1065">
        <v>103</v>
      </c>
      <c r="D1065">
        <v>97.8</v>
      </c>
      <c r="E1065">
        <v>97.76</v>
      </c>
      <c r="F1065" t="s">
        <v>1566</v>
      </c>
      <c r="G1065" t="s">
        <v>1566</v>
      </c>
      <c r="H1065">
        <f t="shared" si="19"/>
        <v>12</v>
      </c>
      <c r="M1065" s="1">
        <v>3.2995599322020899E-3</v>
      </c>
      <c r="N1065">
        <v>1902.07202148438</v>
      </c>
      <c r="O1065">
        <v>952.04330000000004</v>
      </c>
      <c r="P1065">
        <v>1902.06872558594</v>
      </c>
      <c r="Q1065">
        <v>952.04162597656205</v>
      </c>
      <c r="R1065">
        <v>2</v>
      </c>
      <c r="S1065">
        <v>2</v>
      </c>
      <c r="T1065">
        <v>14</v>
      </c>
      <c r="U1065">
        <v>33.093879999999899</v>
      </c>
      <c r="V1065">
        <v>568373.9</v>
      </c>
    </row>
    <row r="1066" spans="1:22" x14ac:dyDescent="0.25">
      <c r="A1066" t="s">
        <v>1563</v>
      </c>
      <c r="B1066" t="s">
        <v>1564</v>
      </c>
      <c r="C1066">
        <v>2</v>
      </c>
      <c r="D1066">
        <v>98.8</v>
      </c>
      <c r="E1066">
        <v>98.81</v>
      </c>
      <c r="F1066" t="s">
        <v>1567</v>
      </c>
      <c r="G1066" t="s">
        <v>1567</v>
      </c>
      <c r="H1066">
        <f t="shared" si="19"/>
        <v>17</v>
      </c>
      <c r="L1066" t="s">
        <v>1568</v>
      </c>
      <c r="M1066" s="1">
        <v>-3.31879989244044E-3</v>
      </c>
      <c r="N1066">
        <v>1933.08984375</v>
      </c>
      <c r="O1066">
        <v>967.55219999999895</v>
      </c>
      <c r="P1066">
        <v>1933.09313964844</v>
      </c>
      <c r="Q1066">
        <v>967.55383300781205</v>
      </c>
      <c r="R1066">
        <v>2</v>
      </c>
      <c r="S1066">
        <v>1</v>
      </c>
      <c r="T1066">
        <v>10</v>
      </c>
      <c r="U1066">
        <v>19.713719999999899</v>
      </c>
      <c r="V1066">
        <v>195194</v>
      </c>
    </row>
    <row r="1067" spans="1:22" x14ac:dyDescent="0.25">
      <c r="A1067" t="s">
        <v>2639</v>
      </c>
      <c r="B1067" t="s">
        <v>2640</v>
      </c>
      <c r="C1067">
        <v>372</v>
      </c>
      <c r="D1067">
        <v>97.8</v>
      </c>
      <c r="E1067">
        <v>97.82</v>
      </c>
      <c r="F1067" t="s">
        <v>2641</v>
      </c>
      <c r="G1067" t="s">
        <v>2641</v>
      </c>
      <c r="H1067">
        <f t="shared" si="19"/>
        <v>22</v>
      </c>
      <c r="M1067" s="1">
        <v>3.3103800378739699E-3</v>
      </c>
      <c r="N1067">
        <v>1289.72644042969</v>
      </c>
      <c r="O1067">
        <v>645.87049999999897</v>
      </c>
      <c r="P1067">
        <v>1289.72314453125</v>
      </c>
      <c r="Q1067">
        <v>645.86883544921795</v>
      </c>
      <c r="R1067">
        <v>2</v>
      </c>
      <c r="S1067">
        <v>2</v>
      </c>
      <c r="T1067">
        <v>9</v>
      </c>
      <c r="U1067">
        <v>49.740870000000001</v>
      </c>
      <c r="V1067">
        <v>122947.3</v>
      </c>
    </row>
    <row r="1068" spans="1:22" x14ac:dyDescent="0.25">
      <c r="A1068" t="s">
        <v>3498</v>
      </c>
      <c r="B1068" t="s">
        <v>3499</v>
      </c>
      <c r="C1068">
        <v>269</v>
      </c>
      <c r="D1068">
        <v>98.5</v>
      </c>
      <c r="E1068">
        <v>98.5</v>
      </c>
      <c r="F1068" t="s">
        <v>3500</v>
      </c>
      <c r="G1068" t="s">
        <v>3500</v>
      </c>
      <c r="H1068">
        <f t="shared" si="19"/>
        <v>10</v>
      </c>
      <c r="L1068" t="s">
        <v>87</v>
      </c>
      <c r="M1068" s="1">
        <v>1.4616999775171301E-2</v>
      </c>
      <c r="N1068">
        <v>2309.14331054688</v>
      </c>
      <c r="O1068">
        <v>1155.579</v>
      </c>
      <c r="P1068">
        <v>2309.12890625</v>
      </c>
      <c r="Q1068">
        <v>1155.57165527344</v>
      </c>
      <c r="R1068">
        <v>2</v>
      </c>
      <c r="S1068">
        <v>1</v>
      </c>
      <c r="T1068">
        <v>9</v>
      </c>
      <c r="U1068">
        <v>41.418399999999899</v>
      </c>
      <c r="V1068">
        <v>73732.210000000006</v>
      </c>
    </row>
    <row r="1069" spans="1:22" x14ac:dyDescent="0.25">
      <c r="A1069" t="s">
        <v>2889</v>
      </c>
      <c r="B1069" t="s">
        <v>2890</v>
      </c>
      <c r="C1069">
        <v>141</v>
      </c>
      <c r="D1069">
        <v>99</v>
      </c>
      <c r="E1069">
        <v>99</v>
      </c>
      <c r="F1069" t="s">
        <v>2891</v>
      </c>
      <c r="G1069" t="s">
        <v>2891</v>
      </c>
      <c r="H1069">
        <f t="shared" si="19"/>
        <v>9</v>
      </c>
      <c r="M1069" s="1">
        <v>-7.77466979343444E-4</v>
      </c>
      <c r="N1069">
        <v>1522.69323730469</v>
      </c>
      <c r="O1069">
        <v>762.35389999999904</v>
      </c>
      <c r="P1069">
        <v>1522.69396972656</v>
      </c>
      <c r="Q1069">
        <v>762.354248046875</v>
      </c>
      <c r="R1069">
        <v>2</v>
      </c>
      <c r="S1069">
        <v>1</v>
      </c>
      <c r="T1069">
        <v>14</v>
      </c>
      <c r="U1069">
        <v>47.049729999999897</v>
      </c>
      <c r="V1069">
        <v>379168</v>
      </c>
    </row>
    <row r="1070" spans="1:22" x14ac:dyDescent="0.25">
      <c r="A1070" t="s">
        <v>1203</v>
      </c>
      <c r="B1070" t="s">
        <v>1204</v>
      </c>
      <c r="C1070">
        <v>155</v>
      </c>
      <c r="D1070">
        <v>98.9</v>
      </c>
      <c r="E1070">
        <v>98.89</v>
      </c>
      <c r="F1070" t="s">
        <v>1205</v>
      </c>
      <c r="G1070" t="s">
        <v>1205</v>
      </c>
      <c r="H1070">
        <f t="shared" si="19"/>
        <v>9</v>
      </c>
      <c r="M1070" s="1">
        <v>-5.3795799612998902E-3</v>
      </c>
      <c r="N1070">
        <v>1643.89416503906</v>
      </c>
      <c r="O1070">
        <v>548.97199999999896</v>
      </c>
      <c r="P1070">
        <v>1643.89953613281</v>
      </c>
      <c r="Q1070">
        <v>548.97375488281205</v>
      </c>
      <c r="R1070">
        <v>3</v>
      </c>
      <c r="S1070">
        <v>1</v>
      </c>
      <c r="T1070">
        <v>11</v>
      </c>
      <c r="U1070">
        <v>22.0799699999999</v>
      </c>
      <c r="V1070">
        <v>343775.4</v>
      </c>
    </row>
    <row r="1071" spans="1:22" x14ac:dyDescent="0.25">
      <c r="A1071" t="s">
        <v>2895</v>
      </c>
      <c r="B1071" t="s">
        <v>2896</v>
      </c>
      <c r="C1071">
        <v>814</v>
      </c>
      <c r="D1071">
        <v>99</v>
      </c>
      <c r="E1071">
        <v>99</v>
      </c>
      <c r="F1071" t="s">
        <v>2897</v>
      </c>
      <c r="G1071" t="s">
        <v>2897</v>
      </c>
      <c r="H1071">
        <f t="shared" si="19"/>
        <v>17</v>
      </c>
      <c r="L1071" t="s">
        <v>397</v>
      </c>
      <c r="M1071" s="1">
        <v>-1.46065000444651E-2</v>
      </c>
      <c r="N1071">
        <v>1913.80676269531</v>
      </c>
      <c r="O1071">
        <v>638.94290000000001</v>
      </c>
      <c r="P1071">
        <v>1913.82141113281</v>
      </c>
      <c r="Q1071">
        <v>638.94775390625</v>
      </c>
      <c r="R1071">
        <v>3</v>
      </c>
      <c r="S1071">
        <v>1</v>
      </c>
      <c r="T1071">
        <v>10</v>
      </c>
      <c r="U1071">
        <v>46.654069999999898</v>
      </c>
      <c r="V1071">
        <v>118634.3</v>
      </c>
    </row>
    <row r="1072" spans="1:22" x14ac:dyDescent="0.25">
      <c r="A1072" t="s">
        <v>2039</v>
      </c>
      <c r="B1072" t="s">
        <v>2040</v>
      </c>
      <c r="C1072">
        <v>104</v>
      </c>
      <c r="D1072">
        <v>98.7</v>
      </c>
      <c r="E1072">
        <v>98.71</v>
      </c>
      <c r="F1072" t="s">
        <v>2041</v>
      </c>
      <c r="G1072" t="s">
        <v>2041</v>
      </c>
      <c r="H1072">
        <f t="shared" si="19"/>
        <v>17</v>
      </c>
      <c r="M1072" s="1">
        <v>1.0445900261402101E-2</v>
      </c>
      <c r="N1072">
        <v>1660.92529296875</v>
      </c>
      <c r="O1072">
        <v>831.46990000000005</v>
      </c>
      <c r="P1072">
        <v>1660.91479492188</v>
      </c>
      <c r="Q1072">
        <v>831.46466064453102</v>
      </c>
      <c r="R1072">
        <v>2</v>
      </c>
      <c r="S1072">
        <v>1</v>
      </c>
      <c r="T1072">
        <v>12</v>
      </c>
      <c r="U1072">
        <v>34.347349999999899</v>
      </c>
      <c r="V1072">
        <v>176285.5</v>
      </c>
    </row>
    <row r="1073" spans="1:22" x14ac:dyDescent="0.25">
      <c r="A1073" t="s">
        <v>2039</v>
      </c>
      <c r="B1073" t="s">
        <v>2040</v>
      </c>
      <c r="C1073">
        <v>293</v>
      </c>
      <c r="D1073">
        <v>99</v>
      </c>
      <c r="E1073">
        <v>99</v>
      </c>
      <c r="F1073" t="s">
        <v>2042</v>
      </c>
      <c r="G1073" t="s">
        <v>2042</v>
      </c>
      <c r="H1073">
        <f t="shared" si="19"/>
        <v>15</v>
      </c>
      <c r="M1073" s="1">
        <v>1.0155399795621601E-3</v>
      </c>
      <c r="N1073">
        <v>1218.57385253906</v>
      </c>
      <c r="O1073">
        <v>610.29420000000005</v>
      </c>
      <c r="P1073">
        <v>1218.57275390625</v>
      </c>
      <c r="Q1073">
        <v>610.293701171875</v>
      </c>
      <c r="R1073">
        <v>2</v>
      </c>
      <c r="S1073">
        <v>1</v>
      </c>
      <c r="T1073">
        <v>15</v>
      </c>
      <c r="U1073">
        <v>28.991430000000001</v>
      </c>
      <c r="V1073">
        <v>265006.2</v>
      </c>
    </row>
    <row r="1074" spans="1:22" x14ac:dyDescent="0.25">
      <c r="A1074" t="s">
        <v>2836</v>
      </c>
      <c r="B1074" t="s">
        <v>2837</v>
      </c>
      <c r="C1074">
        <v>10</v>
      </c>
      <c r="D1074">
        <v>99</v>
      </c>
      <c r="E1074">
        <v>99</v>
      </c>
      <c r="F1074" t="s">
        <v>211</v>
      </c>
      <c r="G1074" t="s">
        <v>211</v>
      </c>
      <c r="H1074">
        <f t="shared" si="19"/>
        <v>9</v>
      </c>
      <c r="M1074">
        <v>7.1300000000000001E-3</v>
      </c>
      <c r="N1074">
        <v>1946.99084472656</v>
      </c>
      <c r="O1074">
        <v>974.5027</v>
      </c>
      <c r="P1074">
        <v>1946.98364257813</v>
      </c>
      <c r="Q1074">
        <v>974.49914550781205</v>
      </c>
      <c r="R1074">
        <v>2</v>
      </c>
      <c r="S1074">
        <v>3</v>
      </c>
      <c r="T1074">
        <v>19</v>
      </c>
      <c r="U1074">
        <v>56.79251</v>
      </c>
      <c r="V1074">
        <v>130528.5</v>
      </c>
    </row>
    <row r="1075" spans="1:22" x14ac:dyDescent="0.25">
      <c r="A1075" t="s">
        <v>3548</v>
      </c>
      <c r="B1075" t="s">
        <v>3549</v>
      </c>
      <c r="C1075">
        <v>19</v>
      </c>
      <c r="D1075">
        <v>99</v>
      </c>
      <c r="E1075">
        <v>98.99</v>
      </c>
      <c r="F1075" t="s">
        <v>3550</v>
      </c>
      <c r="G1075" t="s">
        <v>3550</v>
      </c>
      <c r="H1075">
        <f t="shared" si="19"/>
        <v>13</v>
      </c>
      <c r="L1075" t="s">
        <v>295</v>
      </c>
      <c r="M1075" s="1">
        <v>1.83545995969325E-3</v>
      </c>
      <c r="N1075">
        <v>1025.55981445313</v>
      </c>
      <c r="O1075">
        <v>513.78719999999896</v>
      </c>
      <c r="P1075">
        <v>1025.55798339844</v>
      </c>
      <c r="Q1075">
        <v>513.78625488281205</v>
      </c>
      <c r="R1075">
        <v>2</v>
      </c>
      <c r="S1075">
        <v>1</v>
      </c>
      <c r="T1075">
        <v>12</v>
      </c>
      <c r="U1075">
        <v>25.811530000000001</v>
      </c>
      <c r="V1075">
        <v>252027.2</v>
      </c>
    </row>
    <row r="1076" spans="1:22" x14ac:dyDescent="0.25">
      <c r="A1076" t="s">
        <v>3548</v>
      </c>
      <c r="B1076" t="s">
        <v>3549</v>
      </c>
      <c r="C1076">
        <v>19</v>
      </c>
      <c r="D1076">
        <v>99</v>
      </c>
      <c r="E1076">
        <v>99</v>
      </c>
      <c r="F1076" t="s">
        <v>3551</v>
      </c>
      <c r="G1076" t="s">
        <v>3551</v>
      </c>
      <c r="H1076">
        <f t="shared" si="19"/>
        <v>15</v>
      </c>
      <c r="L1076" t="s">
        <v>295</v>
      </c>
      <c r="M1076" s="1">
        <v>4.5210099779069302E-3</v>
      </c>
      <c r="N1076">
        <v>1025.5625</v>
      </c>
      <c r="O1076">
        <v>513.7885</v>
      </c>
      <c r="P1076">
        <v>1025.55798339844</v>
      </c>
      <c r="Q1076">
        <v>513.78625488281205</v>
      </c>
      <c r="R1076">
        <v>2</v>
      </c>
      <c r="S1076">
        <v>1</v>
      </c>
      <c r="T1076">
        <v>12</v>
      </c>
      <c r="U1076">
        <v>25.75957</v>
      </c>
      <c r="V1076">
        <v>260808.6</v>
      </c>
    </row>
    <row r="1077" spans="1:22" x14ac:dyDescent="0.25">
      <c r="A1077" t="s">
        <v>3548</v>
      </c>
      <c r="B1077" t="s">
        <v>3549</v>
      </c>
      <c r="C1077">
        <v>19</v>
      </c>
      <c r="D1077">
        <v>99</v>
      </c>
      <c r="E1077">
        <v>99</v>
      </c>
      <c r="F1077" t="s">
        <v>3552</v>
      </c>
      <c r="G1077" t="s">
        <v>3552</v>
      </c>
      <c r="H1077">
        <f t="shared" si="19"/>
        <v>16</v>
      </c>
      <c r="L1077" t="s">
        <v>295</v>
      </c>
      <c r="M1077" s="1">
        <v>2.2825500927865501E-3</v>
      </c>
      <c r="N1077">
        <v>1502.6806640625</v>
      </c>
      <c r="O1077">
        <v>752.34760000000006</v>
      </c>
      <c r="P1077">
        <v>1502.67834472656</v>
      </c>
      <c r="Q1077">
        <v>752.346435546875</v>
      </c>
      <c r="R1077">
        <v>2</v>
      </c>
      <c r="S1077">
        <v>1</v>
      </c>
      <c r="T1077">
        <v>12</v>
      </c>
      <c r="U1077">
        <v>26.031469999999899</v>
      </c>
      <c r="V1077">
        <v>277325.2</v>
      </c>
    </row>
    <row r="1078" spans="1:22" x14ac:dyDescent="0.25">
      <c r="A1078" t="s">
        <v>4226</v>
      </c>
      <c r="B1078" t="s">
        <v>4227</v>
      </c>
      <c r="C1078">
        <v>956</v>
      </c>
      <c r="D1078">
        <v>99</v>
      </c>
      <c r="E1078">
        <v>99</v>
      </c>
      <c r="F1078" t="s">
        <v>4228</v>
      </c>
      <c r="G1078" t="s">
        <v>4228</v>
      </c>
      <c r="H1078">
        <f t="shared" si="19"/>
        <v>9</v>
      </c>
      <c r="M1078" s="1">
        <v>2.62453989125787E-3</v>
      </c>
      <c r="N1078">
        <v>1240.60021972656</v>
      </c>
      <c r="O1078">
        <v>621.30740000000003</v>
      </c>
      <c r="P1078">
        <v>1240.59753417969</v>
      </c>
      <c r="Q1078">
        <v>621.30603027343705</v>
      </c>
      <c r="R1078">
        <v>2</v>
      </c>
      <c r="S1078">
        <v>1</v>
      </c>
      <c r="T1078">
        <v>10</v>
      </c>
      <c r="U1078">
        <v>44.140419999999899</v>
      </c>
      <c r="V1078">
        <v>95835.53</v>
      </c>
    </row>
    <row r="1079" spans="1:22" x14ac:dyDescent="0.25">
      <c r="A1079" t="s">
        <v>938</v>
      </c>
      <c r="B1079" t="s">
        <v>939</v>
      </c>
      <c r="C1079">
        <v>59</v>
      </c>
      <c r="D1079">
        <v>99</v>
      </c>
      <c r="E1079">
        <v>99</v>
      </c>
      <c r="F1079" t="s">
        <v>940</v>
      </c>
      <c r="G1079" t="s">
        <v>940</v>
      </c>
      <c r="H1079">
        <f t="shared" si="19"/>
        <v>15</v>
      </c>
      <c r="M1079" s="1">
        <v>2.8419198933988801E-3</v>
      </c>
      <c r="N1079">
        <v>2214.0654296875</v>
      </c>
      <c r="O1079">
        <v>1108.04</v>
      </c>
      <c r="P1079">
        <v>2214.06274414063</v>
      </c>
      <c r="Q1079">
        <v>1108.03857421875</v>
      </c>
      <c r="R1079">
        <v>2</v>
      </c>
      <c r="S1079">
        <v>3</v>
      </c>
      <c r="T1079">
        <v>11</v>
      </c>
      <c r="U1079">
        <v>52.918930000000003</v>
      </c>
      <c r="V1079">
        <v>134775.1</v>
      </c>
    </row>
    <row r="1080" spans="1:22" x14ac:dyDescent="0.25">
      <c r="A1080" t="s">
        <v>1960</v>
      </c>
      <c r="B1080" t="s">
        <v>1961</v>
      </c>
      <c r="C1080">
        <v>537</v>
      </c>
      <c r="D1080">
        <v>99</v>
      </c>
      <c r="E1080">
        <v>99</v>
      </c>
      <c r="F1080" t="s">
        <v>1962</v>
      </c>
      <c r="G1080" t="s">
        <v>1962</v>
      </c>
      <c r="H1080">
        <f t="shared" si="19"/>
        <v>15</v>
      </c>
      <c r="L1080" t="s">
        <v>295</v>
      </c>
      <c r="M1080">
        <v>5.8190000000000004E-3</v>
      </c>
      <c r="N1080">
        <v>1377.66906738281</v>
      </c>
      <c r="O1080">
        <v>689.84180000000003</v>
      </c>
      <c r="P1080">
        <v>1377.66320800781</v>
      </c>
      <c r="Q1080">
        <v>689.8388671875</v>
      </c>
      <c r="R1080">
        <v>2</v>
      </c>
      <c r="S1080">
        <v>2</v>
      </c>
      <c r="T1080">
        <v>9</v>
      </c>
      <c r="U1080">
        <v>50.697270000000003</v>
      </c>
      <c r="V1080">
        <v>103603.4</v>
      </c>
    </row>
    <row r="1081" spans="1:22" x14ac:dyDescent="0.25">
      <c r="A1081" t="s">
        <v>1960</v>
      </c>
      <c r="B1081" t="s">
        <v>1961</v>
      </c>
      <c r="C1081">
        <v>537</v>
      </c>
      <c r="D1081">
        <v>99</v>
      </c>
      <c r="E1081">
        <v>99</v>
      </c>
      <c r="F1081" t="s">
        <v>1962</v>
      </c>
      <c r="G1081" t="s">
        <v>1962</v>
      </c>
      <c r="H1081">
        <f t="shared" si="19"/>
        <v>15</v>
      </c>
      <c r="L1081" t="s">
        <v>1963</v>
      </c>
      <c r="M1081" s="1">
        <v>5.3569301962852504E-3</v>
      </c>
      <c r="N1081">
        <v>1031.42248535156</v>
      </c>
      <c r="O1081">
        <v>516.71849999999904</v>
      </c>
      <c r="P1081">
        <v>1031.41711425781</v>
      </c>
      <c r="Q1081">
        <v>516.7158203125</v>
      </c>
      <c r="R1081">
        <v>2</v>
      </c>
      <c r="S1081">
        <v>1</v>
      </c>
      <c r="T1081">
        <v>11</v>
      </c>
      <c r="U1081">
        <v>37.280520000000003</v>
      </c>
      <c r="V1081">
        <v>973071.1</v>
      </c>
    </row>
    <row r="1082" spans="1:22" x14ac:dyDescent="0.25">
      <c r="A1082" t="s">
        <v>879</v>
      </c>
      <c r="B1082" t="s">
        <v>880</v>
      </c>
      <c r="C1082">
        <v>523</v>
      </c>
      <c r="D1082">
        <v>99</v>
      </c>
      <c r="E1082">
        <v>99</v>
      </c>
      <c r="F1082" t="s">
        <v>881</v>
      </c>
      <c r="G1082" t="s">
        <v>881</v>
      </c>
      <c r="H1082">
        <f t="shared" si="19"/>
        <v>14</v>
      </c>
      <c r="L1082" t="s">
        <v>295</v>
      </c>
      <c r="M1082">
        <v>-7.7000000000000001E-5</v>
      </c>
      <c r="N1082">
        <v>2260.22827148438</v>
      </c>
      <c r="O1082">
        <v>754.41669999999897</v>
      </c>
      <c r="P1082">
        <v>2260.22827148438</v>
      </c>
      <c r="Q1082">
        <v>754.41668701171795</v>
      </c>
      <c r="R1082">
        <v>3</v>
      </c>
      <c r="S1082">
        <v>1</v>
      </c>
      <c r="T1082">
        <v>12</v>
      </c>
      <c r="U1082">
        <v>33.499780000000001</v>
      </c>
      <c r="V1082">
        <v>201871.1</v>
      </c>
    </row>
    <row r="1083" spans="1:22" x14ac:dyDescent="0.25">
      <c r="A1083" t="s">
        <v>879</v>
      </c>
      <c r="B1083" t="s">
        <v>880</v>
      </c>
      <c r="C1083">
        <v>523</v>
      </c>
      <c r="D1083">
        <v>99</v>
      </c>
      <c r="E1083">
        <v>99</v>
      </c>
      <c r="F1083" t="s">
        <v>882</v>
      </c>
      <c r="G1083" t="s">
        <v>882</v>
      </c>
      <c r="H1083">
        <f t="shared" si="19"/>
        <v>15</v>
      </c>
      <c r="L1083" t="s">
        <v>295</v>
      </c>
      <c r="M1083" s="1">
        <v>4.8298197798430902E-3</v>
      </c>
      <c r="N1083">
        <v>1961.04528808594</v>
      </c>
      <c r="O1083">
        <v>981.5299</v>
      </c>
      <c r="P1083">
        <v>1961.04040527344</v>
      </c>
      <c r="Q1083">
        <v>981.52746582031205</v>
      </c>
      <c r="R1083">
        <v>2</v>
      </c>
      <c r="S1083">
        <v>4</v>
      </c>
      <c r="T1083">
        <v>22</v>
      </c>
      <c r="U1083">
        <v>45.164700000000003</v>
      </c>
      <c r="V1083">
        <v>676269.3</v>
      </c>
    </row>
    <row r="1084" spans="1:22" x14ac:dyDescent="0.25">
      <c r="A1084" t="s">
        <v>3415</v>
      </c>
      <c r="B1084" t="s">
        <v>3416</v>
      </c>
      <c r="C1084">
        <v>20</v>
      </c>
      <c r="D1084">
        <v>98.3</v>
      </c>
      <c r="E1084">
        <v>98.26</v>
      </c>
      <c r="F1084" t="s">
        <v>3417</v>
      </c>
      <c r="G1084" t="s">
        <v>3417</v>
      </c>
      <c r="H1084">
        <f t="shared" si="19"/>
        <v>9</v>
      </c>
      <c r="M1084" s="1">
        <v>3.5672499798238199E-3</v>
      </c>
      <c r="N1084">
        <v>1823.95654296875</v>
      </c>
      <c r="O1084">
        <v>608.99279999999897</v>
      </c>
      <c r="P1084">
        <v>1823.95300292969</v>
      </c>
      <c r="Q1084">
        <v>608.99163818359295</v>
      </c>
      <c r="R1084">
        <v>3</v>
      </c>
      <c r="S1084">
        <v>2</v>
      </c>
      <c r="T1084">
        <v>13</v>
      </c>
      <c r="U1084">
        <v>34.426430000000003</v>
      </c>
      <c r="V1084">
        <v>384573.4</v>
      </c>
    </row>
    <row r="1085" spans="1:22" x14ac:dyDescent="0.25">
      <c r="A1085" t="s">
        <v>4204</v>
      </c>
      <c r="B1085" t="s">
        <v>4205</v>
      </c>
      <c r="C1085">
        <v>340</v>
      </c>
      <c r="D1085">
        <v>99</v>
      </c>
      <c r="E1085">
        <v>99</v>
      </c>
      <c r="F1085" t="s">
        <v>4206</v>
      </c>
      <c r="G1085" t="s">
        <v>4206</v>
      </c>
      <c r="H1085">
        <f t="shared" si="19"/>
        <v>9</v>
      </c>
      <c r="M1085" s="1">
        <v>1.42486998811364E-2</v>
      </c>
      <c r="N1085">
        <v>1773.82470703125</v>
      </c>
      <c r="O1085">
        <v>887.91959999999904</v>
      </c>
      <c r="P1085">
        <v>1773.81042480469</v>
      </c>
      <c r="Q1085">
        <v>887.91247558593705</v>
      </c>
      <c r="R1085">
        <v>2</v>
      </c>
      <c r="S1085">
        <v>1</v>
      </c>
      <c r="T1085">
        <v>8</v>
      </c>
      <c r="U1085">
        <v>39.3021999999999</v>
      </c>
      <c r="V1085">
        <v>30131.58</v>
      </c>
    </row>
    <row r="1086" spans="1:22" x14ac:dyDescent="0.25">
      <c r="A1086" t="s">
        <v>2073</v>
      </c>
      <c r="B1086" t="s">
        <v>2074</v>
      </c>
      <c r="C1086">
        <v>59</v>
      </c>
      <c r="D1086">
        <v>98.9</v>
      </c>
      <c r="E1086">
        <v>98.93</v>
      </c>
      <c r="F1086" t="s">
        <v>2075</v>
      </c>
      <c r="G1086" t="s">
        <v>2075</v>
      </c>
      <c r="H1086">
        <f t="shared" si="19"/>
        <v>15</v>
      </c>
      <c r="M1086">
        <v>6.6610000000000003E-3</v>
      </c>
      <c r="N1086">
        <v>1545.77551269531</v>
      </c>
      <c r="O1086">
        <v>773.89499999999896</v>
      </c>
      <c r="P1086">
        <v>1545.76879882813</v>
      </c>
      <c r="Q1086">
        <v>773.89166259765602</v>
      </c>
      <c r="R1086">
        <v>2</v>
      </c>
      <c r="S1086">
        <v>2</v>
      </c>
      <c r="T1086">
        <v>11</v>
      </c>
      <c r="U1086">
        <v>41.090620000000001</v>
      </c>
      <c r="V1086">
        <v>112478.5</v>
      </c>
    </row>
    <row r="1087" spans="1:22" x14ac:dyDescent="0.25">
      <c r="A1087" t="s">
        <v>2073</v>
      </c>
      <c r="B1087" t="s">
        <v>2074</v>
      </c>
      <c r="C1087">
        <v>59</v>
      </c>
      <c r="D1087">
        <v>99</v>
      </c>
      <c r="E1087">
        <v>99</v>
      </c>
      <c r="F1087" t="s">
        <v>2075</v>
      </c>
      <c r="G1087" t="s">
        <v>2075</v>
      </c>
      <c r="H1087">
        <f t="shared" si="19"/>
        <v>15</v>
      </c>
      <c r="L1087" t="s">
        <v>253</v>
      </c>
      <c r="M1087" s="1">
        <v>-1.53325004503131E-2</v>
      </c>
      <c r="N1087">
        <v>1175.57165527344</v>
      </c>
      <c r="O1087">
        <v>588.79309999999896</v>
      </c>
      <c r="P1087">
        <v>1175.5869140625</v>
      </c>
      <c r="Q1087">
        <v>588.80078125</v>
      </c>
      <c r="R1087">
        <v>2</v>
      </c>
      <c r="S1087">
        <v>1</v>
      </c>
      <c r="T1087">
        <v>9</v>
      </c>
      <c r="U1087">
        <v>21.1950299999999</v>
      </c>
      <c r="V1087">
        <v>143329</v>
      </c>
    </row>
    <row r="1088" spans="1:22" x14ac:dyDescent="0.25">
      <c r="A1088" t="s">
        <v>3698</v>
      </c>
      <c r="B1088" t="s">
        <v>3699</v>
      </c>
      <c r="C1088">
        <v>724</v>
      </c>
      <c r="D1088">
        <v>98.6</v>
      </c>
      <c r="E1088">
        <v>98.57</v>
      </c>
      <c r="F1088" t="s">
        <v>3700</v>
      </c>
      <c r="G1088" t="s">
        <v>3700</v>
      </c>
      <c r="H1088">
        <f t="shared" si="19"/>
        <v>9</v>
      </c>
      <c r="M1088" s="1">
        <v>-2.5008500088006301E-3</v>
      </c>
      <c r="N1088">
        <v>1707.96069335938</v>
      </c>
      <c r="O1088">
        <v>854.98760000000004</v>
      </c>
      <c r="P1088">
        <v>1707.96313476563</v>
      </c>
      <c r="Q1088">
        <v>854.98883056640602</v>
      </c>
      <c r="R1088">
        <v>2</v>
      </c>
      <c r="S1088">
        <v>1</v>
      </c>
      <c r="T1088">
        <v>8</v>
      </c>
      <c r="U1088">
        <v>41.266680000000001</v>
      </c>
      <c r="V1088">
        <v>82749.97</v>
      </c>
    </row>
    <row r="1089" spans="1:22" x14ac:dyDescent="0.25">
      <c r="A1089" t="s">
        <v>3698</v>
      </c>
      <c r="B1089" t="s">
        <v>3699</v>
      </c>
      <c r="C1089">
        <v>2150</v>
      </c>
      <c r="D1089">
        <v>96.9</v>
      </c>
      <c r="E1089">
        <v>96.91</v>
      </c>
      <c r="F1089" t="s">
        <v>3701</v>
      </c>
      <c r="G1089" t="s">
        <v>3701</v>
      </c>
      <c r="H1089">
        <f t="shared" si="19"/>
        <v>9</v>
      </c>
      <c r="M1089" s="1">
        <v>9.9090300500392792E-3</v>
      </c>
      <c r="N1089">
        <v>1879.94152832031</v>
      </c>
      <c r="O1089">
        <v>940.97799999999904</v>
      </c>
      <c r="P1089">
        <v>1879.931640625</v>
      </c>
      <c r="Q1089">
        <v>940.97308349609295</v>
      </c>
      <c r="R1089">
        <v>2</v>
      </c>
      <c r="S1089">
        <v>1</v>
      </c>
      <c r="T1089">
        <v>9</v>
      </c>
      <c r="U1089">
        <v>45.672069999999898</v>
      </c>
      <c r="V1089">
        <v>38613.85</v>
      </c>
    </row>
    <row r="1090" spans="1:22" x14ac:dyDescent="0.25">
      <c r="A1090" t="s">
        <v>4445</v>
      </c>
      <c r="B1090" t="s">
        <v>4446</v>
      </c>
      <c r="C1090">
        <v>508</v>
      </c>
      <c r="D1090">
        <v>99</v>
      </c>
      <c r="E1090">
        <v>99</v>
      </c>
      <c r="F1090" t="s">
        <v>4447</v>
      </c>
      <c r="G1090" t="s">
        <v>4447</v>
      </c>
      <c r="H1090">
        <f t="shared" si="19"/>
        <v>9</v>
      </c>
      <c r="M1090" s="1">
        <v>1.30238002166152E-2</v>
      </c>
      <c r="N1090">
        <v>1928.86328125</v>
      </c>
      <c r="O1090">
        <v>965.43889999999897</v>
      </c>
      <c r="P1090">
        <v>1928.85021972656</v>
      </c>
      <c r="Q1090">
        <v>965.432373046875</v>
      </c>
      <c r="R1090">
        <v>2</v>
      </c>
      <c r="S1090">
        <v>1</v>
      </c>
      <c r="T1090">
        <v>8</v>
      </c>
      <c r="U1090">
        <v>55.651269999999897</v>
      </c>
      <c r="V1090">
        <v>107700.3</v>
      </c>
    </row>
    <row r="1091" spans="1:22" x14ac:dyDescent="0.25">
      <c r="A1091" t="s">
        <v>849</v>
      </c>
      <c r="B1091" t="s">
        <v>850</v>
      </c>
      <c r="C1091">
        <v>92</v>
      </c>
      <c r="D1091">
        <v>99</v>
      </c>
      <c r="E1091">
        <v>99</v>
      </c>
      <c r="F1091" t="s">
        <v>851</v>
      </c>
      <c r="G1091" t="s">
        <v>851</v>
      </c>
      <c r="H1091">
        <f t="shared" ref="H1091:H1154" si="20">LEN(G1091)</f>
        <v>9</v>
      </c>
      <c r="M1091" s="1">
        <v>8.3724996075034107E-3</v>
      </c>
      <c r="N1091">
        <v>1428.66052246094</v>
      </c>
      <c r="O1091">
        <v>715.33749999999895</v>
      </c>
      <c r="P1091">
        <v>1428.65209960938</v>
      </c>
      <c r="Q1091">
        <v>715.33331298828102</v>
      </c>
      <c r="R1091">
        <v>2</v>
      </c>
      <c r="S1091">
        <v>1</v>
      </c>
      <c r="T1091">
        <v>8</v>
      </c>
      <c r="U1091">
        <v>46.645919999999897</v>
      </c>
      <c r="V1091">
        <v>38956.519999999902</v>
      </c>
    </row>
    <row r="1092" spans="1:22" x14ac:dyDescent="0.25">
      <c r="A1092" t="s">
        <v>2982</v>
      </c>
      <c r="B1092" t="s">
        <v>2983</v>
      </c>
      <c r="C1092">
        <v>100</v>
      </c>
      <c r="D1092">
        <v>98.3</v>
      </c>
      <c r="E1092">
        <v>98.32</v>
      </c>
      <c r="F1092" t="s">
        <v>2984</v>
      </c>
      <c r="G1092" t="s">
        <v>2984</v>
      </c>
      <c r="H1092">
        <f t="shared" si="20"/>
        <v>9</v>
      </c>
      <c r="L1092" t="s">
        <v>295</v>
      </c>
      <c r="M1092" s="1">
        <v>3.8479399518109901E-4</v>
      </c>
      <c r="N1092">
        <v>1037.49682617188</v>
      </c>
      <c r="O1092">
        <v>519.75570000000005</v>
      </c>
      <c r="P1092">
        <v>1037.49645996094</v>
      </c>
      <c r="Q1092">
        <v>519.75549316406205</v>
      </c>
      <c r="R1092">
        <v>2</v>
      </c>
      <c r="S1092">
        <v>2</v>
      </c>
      <c r="T1092">
        <v>12</v>
      </c>
      <c r="U1092">
        <v>26.2713199999999</v>
      </c>
      <c r="V1092">
        <v>5474620</v>
      </c>
    </row>
    <row r="1093" spans="1:22" x14ac:dyDescent="0.25">
      <c r="A1093" t="s">
        <v>4505</v>
      </c>
      <c r="B1093" t="s">
        <v>4506</v>
      </c>
      <c r="C1093">
        <v>117</v>
      </c>
      <c r="D1093">
        <v>99</v>
      </c>
      <c r="E1093">
        <v>99</v>
      </c>
      <c r="F1093" t="s">
        <v>393</v>
      </c>
      <c r="G1093" t="s">
        <v>393</v>
      </c>
      <c r="H1093">
        <f t="shared" si="20"/>
        <v>9</v>
      </c>
      <c r="M1093" s="1">
        <v>4.6909698285162301E-3</v>
      </c>
      <c r="N1093">
        <v>1913.86901855469</v>
      </c>
      <c r="O1093">
        <v>957.94179999999903</v>
      </c>
      <c r="P1093">
        <v>1913.8642578125</v>
      </c>
      <c r="Q1093">
        <v>957.939453125</v>
      </c>
      <c r="R1093">
        <v>2</v>
      </c>
      <c r="S1093">
        <v>1</v>
      </c>
      <c r="T1093">
        <v>11</v>
      </c>
      <c r="U1093">
        <v>44.08652</v>
      </c>
      <c r="V1093">
        <v>201176</v>
      </c>
    </row>
    <row r="1094" spans="1:22" x14ac:dyDescent="0.25">
      <c r="A1094" t="s">
        <v>4634</v>
      </c>
      <c r="B1094" t="s">
        <v>4635</v>
      </c>
      <c r="C1094">
        <v>756</v>
      </c>
      <c r="D1094">
        <v>97.1</v>
      </c>
      <c r="E1094">
        <v>97.09</v>
      </c>
      <c r="F1094" t="s">
        <v>4636</v>
      </c>
      <c r="G1094" t="s">
        <v>4636</v>
      </c>
      <c r="H1094">
        <f t="shared" si="20"/>
        <v>9</v>
      </c>
      <c r="M1094" s="1">
        <v>8.9056201977655302E-4</v>
      </c>
      <c r="N1094">
        <v>1899.93493652344</v>
      </c>
      <c r="O1094">
        <v>475.99099999999902</v>
      </c>
      <c r="P1094">
        <v>1899.93395996094</v>
      </c>
      <c r="Q1094">
        <v>475.99078369140602</v>
      </c>
      <c r="R1094">
        <v>4</v>
      </c>
      <c r="S1094">
        <v>1</v>
      </c>
      <c r="T1094">
        <v>12</v>
      </c>
      <c r="U1094">
        <v>22.097380000000001</v>
      </c>
      <c r="V1094">
        <v>588205.4</v>
      </c>
    </row>
    <row r="1095" spans="1:22" x14ac:dyDescent="0.25">
      <c r="A1095" t="s">
        <v>2076</v>
      </c>
      <c r="B1095" t="s">
        <v>2077</v>
      </c>
      <c r="C1095">
        <v>230</v>
      </c>
      <c r="D1095">
        <v>98.1</v>
      </c>
      <c r="E1095">
        <v>98.1</v>
      </c>
      <c r="F1095" t="s">
        <v>2078</v>
      </c>
      <c r="G1095" t="s">
        <v>2078</v>
      </c>
      <c r="H1095">
        <f t="shared" si="20"/>
        <v>9</v>
      </c>
      <c r="M1095" s="1">
        <v>7.0857801474630703E-3</v>
      </c>
      <c r="N1095">
        <v>1705.78662109375</v>
      </c>
      <c r="O1095">
        <v>853.90060000000005</v>
      </c>
      <c r="P1095">
        <v>1705.77954101563</v>
      </c>
      <c r="Q1095">
        <v>853.89703369140602</v>
      </c>
      <c r="R1095">
        <v>2</v>
      </c>
      <c r="S1095">
        <v>1</v>
      </c>
      <c r="T1095">
        <v>9</v>
      </c>
      <c r="U1095">
        <v>56.646850000000001</v>
      </c>
      <c r="V1095">
        <v>62133.56</v>
      </c>
    </row>
    <row r="1096" spans="1:22" x14ac:dyDescent="0.25">
      <c r="A1096" t="s">
        <v>572</v>
      </c>
      <c r="B1096" t="s">
        <v>573</v>
      </c>
      <c r="C1096">
        <v>207</v>
      </c>
      <c r="D1096">
        <v>99</v>
      </c>
      <c r="E1096">
        <v>99</v>
      </c>
      <c r="F1096" t="s">
        <v>574</v>
      </c>
      <c r="G1096" t="s">
        <v>574</v>
      </c>
      <c r="H1096">
        <f t="shared" si="20"/>
        <v>9</v>
      </c>
      <c r="M1096" s="1">
        <v>1.16061996668577E-2</v>
      </c>
      <c r="N1096">
        <v>1892.83605957031</v>
      </c>
      <c r="O1096">
        <v>947.42529999999897</v>
      </c>
      <c r="P1096">
        <v>1892.82446289063</v>
      </c>
      <c r="Q1096">
        <v>947.41949462890602</v>
      </c>
      <c r="R1096">
        <v>2</v>
      </c>
      <c r="S1096">
        <v>1</v>
      </c>
      <c r="T1096">
        <v>16</v>
      </c>
      <c r="U1096">
        <v>55.478630000000003</v>
      </c>
      <c r="V1096">
        <v>155404.799999999</v>
      </c>
    </row>
    <row r="1097" spans="1:22" x14ac:dyDescent="0.25">
      <c r="A1097" t="s">
        <v>572</v>
      </c>
      <c r="B1097" t="s">
        <v>573</v>
      </c>
      <c r="C1097">
        <v>120</v>
      </c>
      <c r="D1097">
        <v>98.8</v>
      </c>
      <c r="E1097">
        <v>98.78</v>
      </c>
      <c r="F1097" t="s">
        <v>4194</v>
      </c>
      <c r="G1097" t="s">
        <v>4194</v>
      </c>
      <c r="H1097">
        <f t="shared" si="20"/>
        <v>9</v>
      </c>
      <c r="M1097" s="1">
        <v>4.22895979136229E-3</v>
      </c>
      <c r="N1097">
        <v>2398.15966796875</v>
      </c>
      <c r="O1097">
        <v>800.39380000000006</v>
      </c>
      <c r="P1097">
        <v>2398.1552734375</v>
      </c>
      <c r="Q1097">
        <v>800.39239501953102</v>
      </c>
      <c r="R1097">
        <v>3</v>
      </c>
      <c r="S1097">
        <v>1</v>
      </c>
      <c r="T1097">
        <v>10</v>
      </c>
      <c r="U1097">
        <v>56.059269999999898</v>
      </c>
      <c r="V1097">
        <v>92676.26</v>
      </c>
    </row>
    <row r="1098" spans="1:22" x14ac:dyDescent="0.25">
      <c r="A1098" t="s">
        <v>572</v>
      </c>
      <c r="B1098" t="s">
        <v>573</v>
      </c>
      <c r="C1098">
        <v>207</v>
      </c>
      <c r="D1098">
        <v>99</v>
      </c>
      <c r="E1098">
        <v>99</v>
      </c>
      <c r="F1098" t="s">
        <v>574</v>
      </c>
      <c r="G1098" t="s">
        <v>574</v>
      </c>
      <c r="H1098">
        <f t="shared" si="20"/>
        <v>9</v>
      </c>
      <c r="L1098" t="s">
        <v>47</v>
      </c>
      <c r="M1098" s="1">
        <v>2.3282499983906701E-2</v>
      </c>
      <c r="N1098">
        <v>1740.98547363281</v>
      </c>
      <c r="O1098">
        <v>871.5</v>
      </c>
      <c r="P1098">
        <v>1740.96215820313</v>
      </c>
      <c r="Q1098">
        <v>871.48834228515602</v>
      </c>
      <c r="R1098">
        <v>2</v>
      </c>
      <c r="S1098">
        <v>1</v>
      </c>
      <c r="T1098">
        <v>12</v>
      </c>
      <c r="U1098">
        <v>21.101030000000002</v>
      </c>
      <c r="V1098">
        <v>117239.4</v>
      </c>
    </row>
    <row r="1099" spans="1:22" x14ac:dyDescent="0.25">
      <c r="A1099" t="s">
        <v>2318</v>
      </c>
      <c r="B1099" t="s">
        <v>2319</v>
      </c>
      <c r="C1099">
        <v>83</v>
      </c>
      <c r="D1099">
        <v>99</v>
      </c>
      <c r="E1099">
        <v>99</v>
      </c>
      <c r="F1099" t="s">
        <v>2320</v>
      </c>
      <c r="G1099" t="s">
        <v>2320</v>
      </c>
      <c r="H1099">
        <f t="shared" si="20"/>
        <v>17</v>
      </c>
      <c r="M1099" s="1">
        <v>7.1462201885878901E-3</v>
      </c>
      <c r="N1099">
        <v>1666.66662597656</v>
      </c>
      <c r="O1099">
        <v>834.34059999999897</v>
      </c>
      <c r="P1099">
        <v>1666.65942382813</v>
      </c>
      <c r="Q1099">
        <v>834.33697509765602</v>
      </c>
      <c r="R1099">
        <v>2</v>
      </c>
      <c r="S1099">
        <v>1</v>
      </c>
      <c r="T1099">
        <v>8</v>
      </c>
      <c r="U1099">
        <v>32.963929999999898</v>
      </c>
      <c r="V1099">
        <v>83918.7</v>
      </c>
    </row>
    <row r="1100" spans="1:22" x14ac:dyDescent="0.25">
      <c r="A1100" t="s">
        <v>2318</v>
      </c>
      <c r="B1100" t="s">
        <v>2319</v>
      </c>
      <c r="C1100">
        <v>82</v>
      </c>
      <c r="D1100">
        <v>99</v>
      </c>
      <c r="E1100">
        <v>99</v>
      </c>
      <c r="F1100" t="s">
        <v>2321</v>
      </c>
      <c r="G1100" t="s">
        <v>2321</v>
      </c>
      <c r="H1100">
        <f t="shared" si="20"/>
        <v>18</v>
      </c>
      <c r="M1100" s="1">
        <v>1.01044997572899E-2</v>
      </c>
      <c r="N1100">
        <v>1990.95849609375</v>
      </c>
      <c r="O1100">
        <v>996.48649999999895</v>
      </c>
      <c r="P1100">
        <v>1990.94836425781</v>
      </c>
      <c r="Q1100">
        <v>996.4814453125</v>
      </c>
      <c r="R1100">
        <v>2</v>
      </c>
      <c r="S1100">
        <v>1</v>
      </c>
      <c r="T1100">
        <v>9</v>
      </c>
      <c r="U1100">
        <v>52.559150000000002</v>
      </c>
      <c r="V1100">
        <v>92405.38</v>
      </c>
    </row>
    <row r="1101" spans="1:22" x14ac:dyDescent="0.25">
      <c r="A1101" t="s">
        <v>2318</v>
      </c>
      <c r="B1101" t="s">
        <v>2319</v>
      </c>
      <c r="C1101">
        <v>82</v>
      </c>
      <c r="D1101">
        <v>99</v>
      </c>
      <c r="E1101">
        <v>98.95</v>
      </c>
      <c r="F1101" t="s">
        <v>2322</v>
      </c>
      <c r="G1101" t="s">
        <v>2322</v>
      </c>
      <c r="H1101">
        <f t="shared" si="20"/>
        <v>21</v>
      </c>
      <c r="M1101" s="1">
        <v>5.6052999570965802E-3</v>
      </c>
      <c r="N1101">
        <v>1687.63305664063</v>
      </c>
      <c r="O1101">
        <v>844.82380000000001</v>
      </c>
      <c r="P1101">
        <v>1687.62744140625</v>
      </c>
      <c r="Q1101">
        <v>844.82098388671795</v>
      </c>
      <c r="R1101">
        <v>2</v>
      </c>
      <c r="S1101">
        <v>1</v>
      </c>
      <c r="T1101">
        <v>9</v>
      </c>
      <c r="U1101">
        <v>34.867939999999898</v>
      </c>
      <c r="V1101">
        <v>166900.1</v>
      </c>
    </row>
    <row r="1102" spans="1:22" x14ac:dyDescent="0.25">
      <c r="A1102" t="s">
        <v>3770</v>
      </c>
      <c r="B1102" t="s">
        <v>3771</v>
      </c>
      <c r="C1102">
        <v>281</v>
      </c>
      <c r="D1102">
        <v>99</v>
      </c>
      <c r="E1102">
        <v>99</v>
      </c>
      <c r="F1102" t="s">
        <v>3772</v>
      </c>
      <c r="G1102" t="s">
        <v>3772</v>
      </c>
      <c r="H1102">
        <f t="shared" si="20"/>
        <v>9</v>
      </c>
      <c r="M1102" s="1">
        <v>-7.2238902794197202E-4</v>
      </c>
      <c r="N1102">
        <v>1546.83813476563</v>
      </c>
      <c r="O1102">
        <v>516.62</v>
      </c>
      <c r="P1102">
        <v>1546.8388671875</v>
      </c>
      <c r="Q1102">
        <v>516.62023925781205</v>
      </c>
      <c r="R1102">
        <v>3</v>
      </c>
      <c r="S1102">
        <v>1</v>
      </c>
      <c r="T1102">
        <v>13</v>
      </c>
      <c r="U1102">
        <v>32.942169999999898</v>
      </c>
      <c r="V1102">
        <v>397363.8</v>
      </c>
    </row>
    <row r="1103" spans="1:22" x14ac:dyDescent="0.25">
      <c r="A1103" t="s">
        <v>658</v>
      </c>
      <c r="B1103" t="s">
        <v>659</v>
      </c>
      <c r="C1103">
        <v>5</v>
      </c>
      <c r="D1103">
        <v>98.8</v>
      </c>
      <c r="E1103">
        <v>98.82</v>
      </c>
      <c r="F1103" t="s">
        <v>660</v>
      </c>
      <c r="G1103" t="s">
        <v>660</v>
      </c>
      <c r="H1103">
        <f t="shared" si="20"/>
        <v>9</v>
      </c>
      <c r="M1103" s="1">
        <v>1.30776001606136E-3</v>
      </c>
      <c r="N1103">
        <v>1830.927734375</v>
      </c>
      <c r="O1103">
        <v>611.31650000000002</v>
      </c>
      <c r="P1103">
        <v>1830.92639160156</v>
      </c>
      <c r="Q1103">
        <v>611.31610107421795</v>
      </c>
      <c r="R1103">
        <v>3</v>
      </c>
      <c r="S1103">
        <v>1</v>
      </c>
      <c r="T1103">
        <v>9</v>
      </c>
      <c r="U1103">
        <v>49.38203</v>
      </c>
      <c r="V1103">
        <v>207240.9</v>
      </c>
    </row>
    <row r="1104" spans="1:22" x14ac:dyDescent="0.25">
      <c r="A1104" t="s">
        <v>1989</v>
      </c>
      <c r="B1104" t="s">
        <v>1990</v>
      </c>
      <c r="C1104">
        <v>96</v>
      </c>
      <c r="D1104">
        <v>98.9</v>
      </c>
      <c r="E1104">
        <v>98.85</v>
      </c>
      <c r="F1104" t="s">
        <v>1991</v>
      </c>
      <c r="G1104" t="s">
        <v>1991</v>
      </c>
      <c r="H1104">
        <f t="shared" si="20"/>
        <v>17</v>
      </c>
      <c r="M1104" s="1">
        <v>1.01614999584854E-3</v>
      </c>
      <c r="N1104">
        <v>1335.67932128906</v>
      </c>
      <c r="O1104">
        <v>668.84690000000001</v>
      </c>
      <c r="P1104">
        <v>1335.67822265625</v>
      </c>
      <c r="Q1104">
        <v>668.846435546875</v>
      </c>
      <c r="R1104">
        <v>2</v>
      </c>
      <c r="S1104">
        <v>1</v>
      </c>
      <c r="T1104">
        <v>10</v>
      </c>
      <c r="U1104">
        <v>45.778469999999899</v>
      </c>
      <c r="V1104">
        <v>159799.1</v>
      </c>
    </row>
    <row r="1105" spans="1:22" x14ac:dyDescent="0.25">
      <c r="A1105" t="s">
        <v>1989</v>
      </c>
      <c r="B1105" t="s">
        <v>1990</v>
      </c>
      <c r="C1105">
        <v>96</v>
      </c>
      <c r="D1105">
        <v>99</v>
      </c>
      <c r="E1105">
        <v>99</v>
      </c>
      <c r="F1105" t="s">
        <v>1992</v>
      </c>
      <c r="G1105" t="s">
        <v>1992</v>
      </c>
      <c r="H1105">
        <f t="shared" si="20"/>
        <v>16</v>
      </c>
      <c r="M1105">
        <v>8.6049999999999998E-3</v>
      </c>
      <c r="N1105">
        <v>1942.81884765625</v>
      </c>
      <c r="O1105">
        <v>972.41669999999897</v>
      </c>
      <c r="P1105">
        <v>1942.81018066406</v>
      </c>
      <c r="Q1105">
        <v>972.41241455078102</v>
      </c>
      <c r="R1105">
        <v>2</v>
      </c>
      <c r="S1105">
        <v>1</v>
      </c>
      <c r="T1105">
        <v>9</v>
      </c>
      <c r="U1105">
        <v>42.685070000000003</v>
      </c>
      <c r="V1105">
        <v>102258.4</v>
      </c>
    </row>
    <row r="1106" spans="1:22" x14ac:dyDescent="0.25">
      <c r="A1106" t="s">
        <v>1989</v>
      </c>
      <c r="B1106" t="s">
        <v>1990</v>
      </c>
      <c r="C1106">
        <v>97</v>
      </c>
      <c r="D1106">
        <v>99</v>
      </c>
      <c r="E1106">
        <v>99</v>
      </c>
      <c r="F1106" t="s">
        <v>1993</v>
      </c>
      <c r="G1106" t="s">
        <v>1993</v>
      </c>
      <c r="H1106">
        <f t="shared" si="20"/>
        <v>15</v>
      </c>
      <c r="M1106" s="1">
        <v>4.8979101702570802E-3</v>
      </c>
      <c r="N1106">
        <v>1760.91467285156</v>
      </c>
      <c r="O1106">
        <v>587.97879999999896</v>
      </c>
      <c r="P1106">
        <v>1760.90979003906</v>
      </c>
      <c r="Q1106">
        <v>587.97717285156205</v>
      </c>
      <c r="R1106">
        <v>3</v>
      </c>
      <c r="S1106">
        <v>1</v>
      </c>
      <c r="T1106">
        <v>12</v>
      </c>
      <c r="U1106">
        <v>40.4676499999999</v>
      </c>
      <c r="V1106">
        <v>395111.7</v>
      </c>
    </row>
    <row r="1107" spans="1:22" x14ac:dyDescent="0.25">
      <c r="A1107" t="s">
        <v>196</v>
      </c>
      <c r="B1107" t="s">
        <v>197</v>
      </c>
      <c r="C1107">
        <v>505</v>
      </c>
      <c r="D1107">
        <v>99</v>
      </c>
      <c r="E1107">
        <v>99</v>
      </c>
      <c r="F1107" t="s">
        <v>198</v>
      </c>
      <c r="G1107" t="s">
        <v>198</v>
      </c>
      <c r="H1107">
        <f t="shared" si="20"/>
        <v>9</v>
      </c>
      <c r="M1107" s="1">
        <v>9.9963098764419608E-3</v>
      </c>
      <c r="N1107">
        <v>1882.95251464844</v>
      </c>
      <c r="O1107">
        <v>942.48350000000005</v>
      </c>
      <c r="P1107">
        <v>1882.94250488281</v>
      </c>
      <c r="Q1107">
        <v>942.478515625</v>
      </c>
      <c r="R1107">
        <v>2</v>
      </c>
      <c r="S1107">
        <v>1</v>
      </c>
      <c r="T1107">
        <v>10</v>
      </c>
      <c r="U1107">
        <v>55.27122</v>
      </c>
      <c r="V1107">
        <v>91023.83</v>
      </c>
    </row>
    <row r="1108" spans="1:22" x14ac:dyDescent="0.25">
      <c r="A1108" t="s">
        <v>196</v>
      </c>
      <c r="B1108" t="s">
        <v>197</v>
      </c>
      <c r="C1108">
        <v>285</v>
      </c>
      <c r="D1108">
        <v>97.7</v>
      </c>
      <c r="E1108">
        <v>97.67</v>
      </c>
      <c r="F1108" t="s">
        <v>1007</v>
      </c>
      <c r="G1108" t="s">
        <v>1007</v>
      </c>
      <c r="H1108">
        <f t="shared" si="20"/>
        <v>12</v>
      </c>
      <c r="L1108" t="s">
        <v>1008</v>
      </c>
      <c r="M1108" s="1">
        <v>1.28747001290321E-2</v>
      </c>
      <c r="N1108">
        <v>1798.73522949219</v>
      </c>
      <c r="O1108">
        <v>900.37490000000003</v>
      </c>
      <c r="P1108">
        <v>1798.72229003906</v>
      </c>
      <c r="Q1108">
        <v>900.36846923828102</v>
      </c>
      <c r="R1108">
        <v>2</v>
      </c>
      <c r="S1108">
        <v>1</v>
      </c>
      <c r="T1108">
        <v>12</v>
      </c>
      <c r="U1108">
        <v>55.761049999999898</v>
      </c>
      <c r="V1108">
        <v>99444.65</v>
      </c>
    </row>
    <row r="1109" spans="1:22" x14ac:dyDescent="0.25">
      <c r="A1109" t="s">
        <v>2777</v>
      </c>
      <c r="B1109" t="s">
        <v>2778</v>
      </c>
      <c r="C1109">
        <v>449</v>
      </c>
      <c r="D1109">
        <v>98.8</v>
      </c>
      <c r="E1109">
        <v>98.77</v>
      </c>
      <c r="F1109" t="s">
        <v>2779</v>
      </c>
      <c r="G1109" t="s">
        <v>2779</v>
      </c>
      <c r="H1109">
        <f t="shared" si="20"/>
        <v>9</v>
      </c>
      <c r="M1109" s="1">
        <v>1.2596800224855501E-3</v>
      </c>
      <c r="N1109">
        <v>1266.57409667969</v>
      </c>
      <c r="O1109">
        <v>634.29430000000002</v>
      </c>
      <c r="P1109">
        <v>1266.57275390625</v>
      </c>
      <c r="Q1109">
        <v>634.293701171875</v>
      </c>
      <c r="R1109">
        <v>2</v>
      </c>
      <c r="S1109">
        <v>1</v>
      </c>
      <c r="T1109">
        <v>15</v>
      </c>
      <c r="U1109">
        <v>34.95693</v>
      </c>
      <c r="V1109">
        <v>478291</v>
      </c>
    </row>
    <row r="1110" spans="1:22" x14ac:dyDescent="0.25">
      <c r="A1110" t="s">
        <v>2777</v>
      </c>
      <c r="B1110" t="s">
        <v>2778</v>
      </c>
      <c r="C1110">
        <v>179</v>
      </c>
      <c r="D1110">
        <v>99</v>
      </c>
      <c r="E1110">
        <v>99</v>
      </c>
      <c r="F1110" t="s">
        <v>2780</v>
      </c>
      <c r="G1110" t="s">
        <v>2780</v>
      </c>
      <c r="H1110">
        <f t="shared" si="20"/>
        <v>10</v>
      </c>
      <c r="M1110" s="1">
        <v>-8.0606999108567801E-4</v>
      </c>
      <c r="N1110">
        <v>1395.61462402344</v>
      </c>
      <c r="O1110">
        <v>698.81460000000004</v>
      </c>
      <c r="P1110">
        <v>1395.61535644531</v>
      </c>
      <c r="Q1110">
        <v>698.81500244140602</v>
      </c>
      <c r="R1110">
        <v>2</v>
      </c>
      <c r="S1110">
        <v>2</v>
      </c>
      <c r="T1110">
        <v>15</v>
      </c>
      <c r="U1110">
        <v>35.482349999999897</v>
      </c>
      <c r="V1110">
        <v>218033.7</v>
      </c>
    </row>
    <row r="1111" spans="1:22" x14ac:dyDescent="0.25">
      <c r="A1111" t="s">
        <v>3923</v>
      </c>
      <c r="B1111" t="s">
        <v>3924</v>
      </c>
      <c r="C1111">
        <v>876</v>
      </c>
      <c r="D1111">
        <v>99</v>
      </c>
      <c r="E1111">
        <v>99</v>
      </c>
      <c r="F1111" t="s">
        <v>36</v>
      </c>
      <c r="G1111" t="s">
        <v>36</v>
      </c>
      <c r="H1111">
        <f t="shared" si="20"/>
        <v>9</v>
      </c>
      <c r="M1111">
        <v>6.5859999999999998E-3</v>
      </c>
      <c r="N1111">
        <v>1542.6904296875</v>
      </c>
      <c r="O1111">
        <v>772.35249999999905</v>
      </c>
      <c r="P1111">
        <v>1542.68383789063</v>
      </c>
      <c r="Q1111">
        <v>772.34918212890602</v>
      </c>
      <c r="R1111">
        <v>2</v>
      </c>
      <c r="S1111">
        <v>1</v>
      </c>
      <c r="T1111">
        <v>16</v>
      </c>
      <c r="U1111">
        <v>47.797899999999899</v>
      </c>
      <c r="V1111">
        <v>766343.8</v>
      </c>
    </row>
    <row r="1112" spans="1:22" x14ac:dyDescent="0.25">
      <c r="A1112" t="s">
        <v>4214</v>
      </c>
      <c r="B1112" t="s">
        <v>4215</v>
      </c>
      <c r="C1112">
        <v>326</v>
      </c>
      <c r="D1112">
        <v>97.8</v>
      </c>
      <c r="E1112">
        <v>97.82</v>
      </c>
      <c r="F1112" t="s">
        <v>4216</v>
      </c>
      <c r="G1112" t="s">
        <v>4216</v>
      </c>
      <c r="H1112">
        <f t="shared" si="20"/>
        <v>9</v>
      </c>
      <c r="M1112" s="1">
        <v>-6.50092028081416E-4</v>
      </c>
      <c r="N1112">
        <v>1863.99829101563</v>
      </c>
      <c r="O1112">
        <v>622.34</v>
      </c>
      <c r="P1112">
        <v>1863.99890136719</v>
      </c>
      <c r="Q1112">
        <v>622.34027099609295</v>
      </c>
      <c r="R1112">
        <v>3</v>
      </c>
      <c r="S1112">
        <v>1</v>
      </c>
      <c r="T1112">
        <v>10</v>
      </c>
      <c r="U1112">
        <v>44.674630000000001</v>
      </c>
      <c r="V1112">
        <v>165346</v>
      </c>
    </row>
    <row r="1113" spans="1:22" x14ac:dyDescent="0.25">
      <c r="A1113" t="s">
        <v>2070</v>
      </c>
      <c r="B1113" t="s">
        <v>2071</v>
      </c>
      <c r="C1113">
        <v>174</v>
      </c>
      <c r="D1113">
        <v>97.6</v>
      </c>
      <c r="E1113">
        <v>97.61</v>
      </c>
      <c r="F1113" t="s">
        <v>2072</v>
      </c>
      <c r="G1113" t="s">
        <v>2072</v>
      </c>
      <c r="H1113">
        <f t="shared" si="20"/>
        <v>9</v>
      </c>
      <c r="M1113" s="1">
        <v>9.8211299628019194E-3</v>
      </c>
      <c r="N1113">
        <v>1605.81372070313</v>
      </c>
      <c r="O1113">
        <v>803.91409999999905</v>
      </c>
      <c r="P1113">
        <v>1605.80383300781</v>
      </c>
      <c r="Q1113">
        <v>803.90924072265602</v>
      </c>
      <c r="R1113">
        <v>2</v>
      </c>
      <c r="S1113">
        <v>1</v>
      </c>
      <c r="T1113">
        <v>9</v>
      </c>
      <c r="U1113">
        <v>41.5473</v>
      </c>
      <c r="V1113">
        <v>75735.22</v>
      </c>
    </row>
    <row r="1114" spans="1:22" x14ac:dyDescent="0.25">
      <c r="A1114" t="s">
        <v>2276</v>
      </c>
      <c r="B1114" t="s">
        <v>2277</v>
      </c>
      <c r="C1114">
        <v>209</v>
      </c>
      <c r="D1114">
        <v>97.5</v>
      </c>
      <c r="E1114">
        <v>97.52</v>
      </c>
      <c r="F1114" t="s">
        <v>2278</v>
      </c>
      <c r="G1114" t="s">
        <v>2278</v>
      </c>
      <c r="H1114">
        <f t="shared" si="20"/>
        <v>13</v>
      </c>
      <c r="M1114" s="1">
        <v>6.0411300510168102E-3</v>
      </c>
      <c r="N1114">
        <v>1664.78149414063</v>
      </c>
      <c r="O1114">
        <v>833.39800000000002</v>
      </c>
      <c r="P1114">
        <v>1664.775390625</v>
      </c>
      <c r="Q1114">
        <v>833.39501953125</v>
      </c>
      <c r="R1114">
        <v>2</v>
      </c>
      <c r="S1114">
        <v>1</v>
      </c>
      <c r="T1114">
        <v>12</v>
      </c>
      <c r="U1114">
        <v>27.2782699999999</v>
      </c>
      <c r="V1114">
        <v>124460.6</v>
      </c>
    </row>
    <row r="1115" spans="1:22" x14ac:dyDescent="0.25">
      <c r="A1115" t="s">
        <v>2276</v>
      </c>
      <c r="B1115" t="s">
        <v>2277</v>
      </c>
      <c r="C1115">
        <v>207</v>
      </c>
      <c r="D1115">
        <v>99</v>
      </c>
      <c r="E1115">
        <v>99</v>
      </c>
      <c r="F1115" t="s">
        <v>2279</v>
      </c>
      <c r="G1115" t="s">
        <v>2279</v>
      </c>
      <c r="H1115">
        <f t="shared" si="20"/>
        <v>15</v>
      </c>
      <c r="M1115" s="1">
        <v>8.1699797883629695E-3</v>
      </c>
      <c r="N1115">
        <v>2397.23706054688</v>
      </c>
      <c r="O1115">
        <v>600.31650000000002</v>
      </c>
      <c r="P1115">
        <v>2397.22875976563</v>
      </c>
      <c r="Q1115">
        <v>600.31451416015602</v>
      </c>
      <c r="R1115">
        <v>4</v>
      </c>
      <c r="S1115">
        <v>1</v>
      </c>
      <c r="T1115">
        <v>12</v>
      </c>
      <c r="U1115">
        <v>38.601529999999897</v>
      </c>
      <c r="V1115">
        <v>237686.1</v>
      </c>
    </row>
    <row r="1116" spans="1:22" x14ac:dyDescent="0.25">
      <c r="A1116" t="s">
        <v>2276</v>
      </c>
      <c r="B1116" t="s">
        <v>2277</v>
      </c>
      <c r="C1116">
        <v>209</v>
      </c>
      <c r="D1116">
        <v>97.8</v>
      </c>
      <c r="E1116">
        <v>97.84</v>
      </c>
      <c r="F1116" t="s">
        <v>2280</v>
      </c>
      <c r="G1116" t="s">
        <v>2280</v>
      </c>
      <c r="H1116">
        <f t="shared" si="20"/>
        <v>14</v>
      </c>
      <c r="M1116" s="1">
        <v>2.6729600504040701E-3</v>
      </c>
      <c r="N1116">
        <v>1437.603515625</v>
      </c>
      <c r="O1116">
        <v>719.80899999999895</v>
      </c>
      <c r="P1116">
        <v>1437.60083007813</v>
      </c>
      <c r="Q1116">
        <v>719.80767822265602</v>
      </c>
      <c r="R1116">
        <v>2</v>
      </c>
      <c r="S1116">
        <v>1</v>
      </c>
      <c r="T1116">
        <v>13</v>
      </c>
      <c r="U1116">
        <v>28.7413799999999</v>
      </c>
      <c r="V1116">
        <v>138222.6</v>
      </c>
    </row>
    <row r="1117" spans="1:22" x14ac:dyDescent="0.25">
      <c r="A1117" t="s">
        <v>2276</v>
      </c>
      <c r="B1117" t="s">
        <v>2277</v>
      </c>
      <c r="C1117">
        <v>209</v>
      </c>
      <c r="D1117">
        <v>98.9</v>
      </c>
      <c r="E1117">
        <v>98.85</v>
      </c>
      <c r="F1117" t="s">
        <v>2281</v>
      </c>
      <c r="G1117" t="s">
        <v>2281</v>
      </c>
      <c r="H1117">
        <f t="shared" si="20"/>
        <v>17</v>
      </c>
      <c r="M1117" s="1">
        <v>6.15845015272497E-3</v>
      </c>
      <c r="N1117">
        <v>1584.67541503906</v>
      </c>
      <c r="O1117">
        <v>793.34500000000003</v>
      </c>
      <c r="P1117">
        <v>1584.66918945313</v>
      </c>
      <c r="Q1117">
        <v>793.34191894531205</v>
      </c>
      <c r="R1117">
        <v>2</v>
      </c>
      <c r="S1117">
        <v>1</v>
      </c>
      <c r="T1117">
        <v>13</v>
      </c>
      <c r="U1117">
        <v>41.300820000000002</v>
      </c>
      <c r="V1117">
        <v>285836.09999999899</v>
      </c>
    </row>
    <row r="1118" spans="1:22" x14ac:dyDescent="0.25">
      <c r="A1118" t="s">
        <v>2276</v>
      </c>
      <c r="B1118" t="s">
        <v>2277</v>
      </c>
      <c r="C1118">
        <v>207</v>
      </c>
      <c r="D1118">
        <v>99</v>
      </c>
      <c r="E1118">
        <v>99</v>
      </c>
      <c r="F1118" t="s">
        <v>2282</v>
      </c>
      <c r="G1118" t="s">
        <v>2282</v>
      </c>
      <c r="H1118">
        <f t="shared" si="20"/>
        <v>16</v>
      </c>
      <c r="M1118" s="1">
        <v>5.3522801026701901E-3</v>
      </c>
      <c r="N1118">
        <v>1863.01953125</v>
      </c>
      <c r="O1118">
        <v>622.01379999999904</v>
      </c>
      <c r="P1118">
        <v>1863.01416015625</v>
      </c>
      <c r="Q1118">
        <v>622.01202392578102</v>
      </c>
      <c r="R1118">
        <v>3</v>
      </c>
      <c r="S1118">
        <v>1</v>
      </c>
      <c r="T1118">
        <v>12</v>
      </c>
      <c r="U1118">
        <v>44.031880000000001</v>
      </c>
      <c r="V1118">
        <v>232030</v>
      </c>
    </row>
    <row r="1119" spans="1:22" x14ac:dyDescent="0.25">
      <c r="A1119" t="s">
        <v>2276</v>
      </c>
      <c r="B1119" t="s">
        <v>2277</v>
      </c>
      <c r="C1119">
        <v>209</v>
      </c>
      <c r="D1119">
        <v>98.8</v>
      </c>
      <c r="E1119">
        <v>98.76</v>
      </c>
      <c r="F1119" t="s">
        <v>2278</v>
      </c>
      <c r="G1119" t="s">
        <v>2278</v>
      </c>
      <c r="H1119">
        <f t="shared" si="20"/>
        <v>13</v>
      </c>
      <c r="L1119" t="s">
        <v>563</v>
      </c>
      <c r="M1119" s="1">
        <v>-6.97120977565646E-3</v>
      </c>
      <c r="N1119">
        <v>1679.681640625</v>
      </c>
      <c r="O1119">
        <v>840.84810000000004</v>
      </c>
      <c r="P1119">
        <v>1679.68859863281</v>
      </c>
      <c r="Q1119">
        <v>840.8515625</v>
      </c>
      <c r="R1119">
        <v>2</v>
      </c>
      <c r="S1119">
        <v>1</v>
      </c>
      <c r="T1119">
        <v>10</v>
      </c>
      <c r="U1119">
        <v>39.60868</v>
      </c>
      <c r="V1119">
        <v>165565.799999999</v>
      </c>
    </row>
    <row r="1120" spans="1:22" x14ac:dyDescent="0.25">
      <c r="A1120" t="s">
        <v>3808</v>
      </c>
      <c r="B1120" t="s">
        <v>3809</v>
      </c>
      <c r="C1120">
        <v>301</v>
      </c>
      <c r="D1120">
        <v>99</v>
      </c>
      <c r="E1120">
        <v>99</v>
      </c>
      <c r="F1120" t="s">
        <v>3810</v>
      </c>
      <c r="G1120" t="s">
        <v>3810</v>
      </c>
      <c r="H1120">
        <f t="shared" si="20"/>
        <v>10</v>
      </c>
      <c r="L1120" t="s">
        <v>3811</v>
      </c>
      <c r="M1120" s="1">
        <v>-3.7555899471044501E-3</v>
      </c>
      <c r="N1120">
        <v>1199.669921875</v>
      </c>
      <c r="O1120">
        <v>600.84220000000005</v>
      </c>
      <c r="P1120">
        <v>1199.67370605469</v>
      </c>
      <c r="Q1120">
        <v>600.84411621093705</v>
      </c>
      <c r="R1120">
        <v>2</v>
      </c>
      <c r="S1120">
        <v>4</v>
      </c>
      <c r="T1120">
        <v>11</v>
      </c>
      <c r="U1120">
        <v>19.30575</v>
      </c>
      <c r="V1120">
        <v>3915455</v>
      </c>
    </row>
    <row r="1121" spans="1:22" x14ac:dyDescent="0.25">
      <c r="A1121" t="s">
        <v>3776</v>
      </c>
      <c r="B1121" t="s">
        <v>3777</v>
      </c>
      <c r="C1121">
        <v>236</v>
      </c>
      <c r="D1121">
        <v>98.9</v>
      </c>
      <c r="E1121">
        <v>98.9</v>
      </c>
      <c r="F1121" t="s">
        <v>462</v>
      </c>
      <c r="G1121" t="s">
        <v>462</v>
      </c>
      <c r="H1121">
        <f t="shared" si="20"/>
        <v>9</v>
      </c>
      <c r="M1121" s="1">
        <v>1.57249998301267E-3</v>
      </c>
      <c r="N1121">
        <v>1548.67822265625</v>
      </c>
      <c r="O1121">
        <v>775.34640000000002</v>
      </c>
      <c r="P1121">
        <v>1548.67663574219</v>
      </c>
      <c r="Q1121">
        <v>775.34558105468705</v>
      </c>
      <c r="R1121">
        <v>2</v>
      </c>
      <c r="S1121">
        <v>1</v>
      </c>
      <c r="T1121">
        <v>12</v>
      </c>
      <c r="U1121">
        <v>33.875819999999898</v>
      </c>
      <c r="V1121">
        <v>249929.60000000001</v>
      </c>
    </row>
    <row r="1122" spans="1:22" x14ac:dyDescent="0.25">
      <c r="A1122" t="s">
        <v>2989</v>
      </c>
      <c r="B1122" t="s">
        <v>2990</v>
      </c>
      <c r="C1122">
        <v>216</v>
      </c>
      <c r="D1122">
        <v>97.5</v>
      </c>
      <c r="E1122">
        <v>97.52</v>
      </c>
      <c r="F1122" t="s">
        <v>2991</v>
      </c>
      <c r="G1122" t="s">
        <v>2991</v>
      </c>
      <c r="H1122">
        <f t="shared" si="20"/>
        <v>9</v>
      </c>
      <c r="M1122">
        <v>1.2879E-2</v>
      </c>
      <c r="N1122">
        <v>2120.15063476563</v>
      </c>
      <c r="O1122">
        <v>707.7242</v>
      </c>
      <c r="P1122">
        <v>2120.13793945313</v>
      </c>
      <c r="Q1122">
        <v>707.71990966796795</v>
      </c>
      <c r="R1122">
        <v>3</v>
      </c>
      <c r="S1122">
        <v>1</v>
      </c>
      <c r="T1122">
        <v>11</v>
      </c>
      <c r="U1122">
        <v>55.356070000000003</v>
      </c>
      <c r="V1122">
        <v>116856.3</v>
      </c>
    </row>
    <row r="1123" spans="1:22" x14ac:dyDescent="0.25">
      <c r="A1123" t="s">
        <v>4315</v>
      </c>
      <c r="B1123" t="s">
        <v>4316</v>
      </c>
      <c r="C1123">
        <v>3288</v>
      </c>
      <c r="D1123">
        <v>97.1</v>
      </c>
      <c r="E1123">
        <v>97.06</v>
      </c>
      <c r="F1123" t="s">
        <v>4317</v>
      </c>
      <c r="G1123" t="s">
        <v>4317</v>
      </c>
      <c r="H1123">
        <f t="shared" si="20"/>
        <v>9</v>
      </c>
      <c r="M1123" s="1">
        <v>8.9180301874876005E-3</v>
      </c>
      <c r="N1123">
        <v>1954.08374023438</v>
      </c>
      <c r="O1123">
        <v>652.36850000000004</v>
      </c>
      <c r="P1123">
        <v>1954.07482910156</v>
      </c>
      <c r="Q1123">
        <v>652.36553955078102</v>
      </c>
      <c r="R1123">
        <v>3</v>
      </c>
      <c r="S1123">
        <v>1</v>
      </c>
      <c r="T1123">
        <v>10</v>
      </c>
      <c r="U1123">
        <v>32.132669999999898</v>
      </c>
      <c r="V1123">
        <v>124294.6</v>
      </c>
    </row>
    <row r="1124" spans="1:22" x14ac:dyDescent="0.25">
      <c r="A1124" t="s">
        <v>3593</v>
      </c>
      <c r="B1124" t="s">
        <v>3594</v>
      </c>
      <c r="C1124">
        <v>344</v>
      </c>
      <c r="D1124">
        <v>99</v>
      </c>
      <c r="E1124">
        <v>99</v>
      </c>
      <c r="F1124" t="s">
        <v>3595</v>
      </c>
      <c r="G1124" t="s">
        <v>3595</v>
      </c>
      <c r="H1124">
        <f t="shared" si="20"/>
        <v>34</v>
      </c>
      <c r="M1124" s="1">
        <v>9.9644297733902792E-3</v>
      </c>
      <c r="N1124">
        <v>1538.72473144531</v>
      </c>
      <c r="O1124">
        <v>770.36959999999897</v>
      </c>
      <c r="P1124">
        <v>1538.71472167969</v>
      </c>
      <c r="Q1124">
        <v>770.36462402343705</v>
      </c>
      <c r="R1124">
        <v>2</v>
      </c>
      <c r="S1124">
        <v>1</v>
      </c>
      <c r="T1124">
        <v>8</v>
      </c>
      <c r="U1124">
        <v>26.85708</v>
      </c>
      <c r="V1124">
        <v>135251.1</v>
      </c>
    </row>
    <row r="1125" spans="1:22" x14ac:dyDescent="0.25">
      <c r="A1125" t="s">
        <v>296</v>
      </c>
      <c r="B1125" t="s">
        <v>297</v>
      </c>
      <c r="C1125">
        <v>539</v>
      </c>
      <c r="D1125">
        <v>97.9</v>
      </c>
      <c r="E1125">
        <v>97.91</v>
      </c>
      <c r="F1125" t="s">
        <v>298</v>
      </c>
      <c r="G1125" t="s">
        <v>298</v>
      </c>
      <c r="H1125">
        <f t="shared" si="20"/>
        <v>9</v>
      </c>
      <c r="M1125" s="1">
        <v>-1.9032700220122901E-3</v>
      </c>
      <c r="N1125">
        <v>1074.60546875</v>
      </c>
      <c r="O1125">
        <v>538.30999999999904</v>
      </c>
      <c r="P1125">
        <v>1074.60729980469</v>
      </c>
      <c r="Q1125">
        <v>538.31097412109295</v>
      </c>
      <c r="R1125">
        <v>2</v>
      </c>
      <c r="S1125">
        <v>2</v>
      </c>
      <c r="T1125">
        <v>9</v>
      </c>
      <c r="U1125">
        <v>51.756279999999897</v>
      </c>
      <c r="V1125">
        <v>87308.84</v>
      </c>
    </row>
    <row r="1126" spans="1:22" x14ac:dyDescent="0.25">
      <c r="A1126" t="s">
        <v>296</v>
      </c>
      <c r="B1126" t="s">
        <v>297</v>
      </c>
      <c r="C1126">
        <v>539</v>
      </c>
      <c r="D1126">
        <v>99</v>
      </c>
      <c r="E1126">
        <v>99</v>
      </c>
      <c r="F1126" t="s">
        <v>298</v>
      </c>
      <c r="G1126" t="s">
        <v>298</v>
      </c>
      <c r="H1126">
        <f t="shared" si="20"/>
        <v>9</v>
      </c>
      <c r="L1126" t="s">
        <v>295</v>
      </c>
      <c r="M1126" s="1">
        <v>1.11272996291518E-2</v>
      </c>
      <c r="N1126">
        <v>1829.95690917969</v>
      </c>
      <c r="O1126">
        <v>610.99289999999905</v>
      </c>
      <c r="P1126">
        <v>1829.94580078125</v>
      </c>
      <c r="Q1126">
        <v>610.98919677734295</v>
      </c>
      <c r="R1126">
        <v>3</v>
      </c>
      <c r="S1126">
        <v>1</v>
      </c>
      <c r="T1126">
        <v>16</v>
      </c>
      <c r="U1126">
        <v>31.09282</v>
      </c>
      <c r="V1126">
        <v>181606.9</v>
      </c>
    </row>
    <row r="1127" spans="1:22" x14ac:dyDescent="0.25">
      <c r="A1127" t="s">
        <v>3754</v>
      </c>
      <c r="B1127" t="s">
        <v>3755</v>
      </c>
      <c r="C1127">
        <v>189</v>
      </c>
      <c r="D1127">
        <v>99</v>
      </c>
      <c r="E1127">
        <v>99</v>
      </c>
      <c r="F1127" t="s">
        <v>3756</v>
      </c>
      <c r="G1127" t="s">
        <v>3756</v>
      </c>
      <c r="H1127">
        <f t="shared" si="20"/>
        <v>9</v>
      </c>
      <c r="M1127" s="1">
        <v>1.61678995937108E-3</v>
      </c>
      <c r="N1127">
        <v>1665.88549804688</v>
      </c>
      <c r="O1127">
        <v>833.95</v>
      </c>
      <c r="P1127">
        <v>1665.88391113281</v>
      </c>
      <c r="Q1127">
        <v>833.94921875</v>
      </c>
      <c r="R1127">
        <v>2</v>
      </c>
      <c r="S1127">
        <v>1</v>
      </c>
      <c r="T1127">
        <v>12</v>
      </c>
      <c r="U1127">
        <v>40.092399999999898</v>
      </c>
      <c r="V1127">
        <v>208451.5</v>
      </c>
    </row>
    <row r="1128" spans="1:22" x14ac:dyDescent="0.25">
      <c r="A1128" t="s">
        <v>4614</v>
      </c>
      <c r="B1128" t="s">
        <v>4615</v>
      </c>
      <c r="C1128">
        <v>19</v>
      </c>
      <c r="D1128">
        <v>99</v>
      </c>
      <c r="E1128">
        <v>99</v>
      </c>
      <c r="F1128" t="s">
        <v>4616</v>
      </c>
      <c r="G1128" t="s">
        <v>4616</v>
      </c>
      <c r="H1128">
        <f t="shared" si="20"/>
        <v>13</v>
      </c>
      <c r="M1128">
        <v>-2.1150000000000001E-3</v>
      </c>
      <c r="N1128">
        <v>2048.078125</v>
      </c>
      <c r="O1128">
        <v>683.7</v>
      </c>
      <c r="P1128">
        <v>2048.08032226563</v>
      </c>
      <c r="Q1128">
        <v>683.70074462890602</v>
      </c>
      <c r="R1128">
        <v>3</v>
      </c>
      <c r="S1128">
        <v>2</v>
      </c>
      <c r="T1128">
        <v>10</v>
      </c>
      <c r="U1128">
        <v>37.033430000000003</v>
      </c>
      <c r="V1128">
        <v>294978.40000000002</v>
      </c>
    </row>
    <row r="1129" spans="1:22" x14ac:dyDescent="0.25">
      <c r="A1129" t="s">
        <v>4418</v>
      </c>
      <c r="B1129" t="s">
        <v>4419</v>
      </c>
      <c r="C1129">
        <v>14</v>
      </c>
      <c r="D1129">
        <v>98.1</v>
      </c>
      <c r="E1129">
        <v>98.05</v>
      </c>
      <c r="F1129" t="s">
        <v>72</v>
      </c>
      <c r="G1129" t="s">
        <v>72</v>
      </c>
      <c r="H1129">
        <f t="shared" si="20"/>
        <v>9</v>
      </c>
      <c r="M1129" s="1">
        <v>5.8403001166880001E-3</v>
      </c>
      <c r="N1129">
        <v>1822.97351074219</v>
      </c>
      <c r="O1129">
        <v>912.49400000000003</v>
      </c>
      <c r="P1129">
        <v>1822.96765136719</v>
      </c>
      <c r="Q1129">
        <v>912.49108886718705</v>
      </c>
      <c r="R1129">
        <v>2</v>
      </c>
      <c r="S1129">
        <v>1</v>
      </c>
      <c r="T1129">
        <v>8</v>
      </c>
      <c r="U1129">
        <v>50.564790000000002</v>
      </c>
      <c r="V1129">
        <v>156187</v>
      </c>
    </row>
    <row r="1130" spans="1:22" x14ac:dyDescent="0.25">
      <c r="A1130" t="s">
        <v>4128</v>
      </c>
      <c r="B1130" t="s">
        <v>4129</v>
      </c>
      <c r="C1130">
        <v>101</v>
      </c>
      <c r="D1130">
        <v>98.9</v>
      </c>
      <c r="E1130">
        <v>98.91</v>
      </c>
      <c r="F1130" t="s">
        <v>586</v>
      </c>
      <c r="G1130" t="s">
        <v>586</v>
      </c>
      <c r="H1130">
        <f t="shared" si="20"/>
        <v>9</v>
      </c>
      <c r="M1130" s="1">
        <v>1.55399003997445E-2</v>
      </c>
      <c r="N1130">
        <v>2252.18041992188</v>
      </c>
      <c r="O1130">
        <v>751.73410000000001</v>
      </c>
      <c r="P1130">
        <v>2252.16479492188</v>
      </c>
      <c r="Q1130">
        <v>751.72888183593705</v>
      </c>
      <c r="R1130">
        <v>3</v>
      </c>
      <c r="S1130">
        <v>3</v>
      </c>
      <c r="T1130">
        <v>9</v>
      </c>
      <c r="U1130">
        <v>44.622529999999898</v>
      </c>
      <c r="V1130">
        <v>97322.47</v>
      </c>
    </row>
    <row r="1131" spans="1:22" x14ac:dyDescent="0.25">
      <c r="A1131" t="s">
        <v>817</v>
      </c>
      <c r="B1131" t="s">
        <v>818</v>
      </c>
      <c r="C1131">
        <v>62</v>
      </c>
      <c r="D1131">
        <v>99</v>
      </c>
      <c r="E1131">
        <v>99</v>
      </c>
      <c r="F1131" t="s">
        <v>819</v>
      </c>
      <c r="G1131" t="s">
        <v>819</v>
      </c>
      <c r="H1131">
        <f t="shared" si="20"/>
        <v>14</v>
      </c>
      <c r="M1131">
        <v>5.9870000000000001E-3</v>
      </c>
      <c r="N1131">
        <v>2031.09484863281</v>
      </c>
      <c r="O1131">
        <v>678.03890000000001</v>
      </c>
      <c r="P1131">
        <v>2031.0888671875</v>
      </c>
      <c r="Q1131">
        <v>678.036865234375</v>
      </c>
      <c r="R1131">
        <v>3</v>
      </c>
      <c r="S1131">
        <v>1</v>
      </c>
      <c r="T1131">
        <v>13</v>
      </c>
      <c r="U1131">
        <v>36.516919999999899</v>
      </c>
      <c r="V1131">
        <v>205602.7</v>
      </c>
    </row>
    <row r="1132" spans="1:22" x14ac:dyDescent="0.25">
      <c r="A1132" t="s">
        <v>4292</v>
      </c>
      <c r="B1132" t="s">
        <v>4293</v>
      </c>
      <c r="C1132">
        <v>2</v>
      </c>
      <c r="D1132">
        <v>99</v>
      </c>
      <c r="E1132">
        <v>99</v>
      </c>
      <c r="F1132" t="s">
        <v>4294</v>
      </c>
      <c r="G1132" t="s">
        <v>4294</v>
      </c>
      <c r="H1132">
        <f t="shared" si="20"/>
        <v>29</v>
      </c>
      <c r="L1132" t="s">
        <v>4295</v>
      </c>
      <c r="M1132" s="1">
        <v>5.2812597714364503E-3</v>
      </c>
      <c r="N1132">
        <v>1430.73193359375</v>
      </c>
      <c r="O1132">
        <v>716.3732</v>
      </c>
      <c r="P1132">
        <v>1430.72668457031</v>
      </c>
      <c r="Q1132">
        <v>716.37060546875</v>
      </c>
      <c r="R1132">
        <v>2</v>
      </c>
      <c r="S1132">
        <v>2</v>
      </c>
      <c r="T1132">
        <v>15</v>
      </c>
      <c r="U1132">
        <v>34.437849999999898</v>
      </c>
      <c r="V1132">
        <v>1171574</v>
      </c>
    </row>
    <row r="1133" spans="1:22" x14ac:dyDescent="0.25">
      <c r="A1133" t="s">
        <v>3480</v>
      </c>
      <c r="B1133" t="s">
        <v>3481</v>
      </c>
      <c r="C1133">
        <v>27</v>
      </c>
      <c r="D1133">
        <v>97.5</v>
      </c>
      <c r="E1133">
        <v>97.47</v>
      </c>
      <c r="F1133" t="s">
        <v>3482</v>
      </c>
      <c r="G1133" t="s">
        <v>3482</v>
      </c>
      <c r="H1133">
        <f t="shared" si="20"/>
        <v>9</v>
      </c>
      <c r="M1133" s="1">
        <v>4.01569018140434E-3</v>
      </c>
      <c r="N1133">
        <v>2162.13330078125</v>
      </c>
      <c r="O1133">
        <v>721.71839999999895</v>
      </c>
      <c r="P1133">
        <v>2162.12939453125</v>
      </c>
      <c r="Q1133">
        <v>721.717041015625</v>
      </c>
      <c r="R1133">
        <v>3</v>
      </c>
      <c r="S1133">
        <v>1</v>
      </c>
      <c r="T1133">
        <v>11</v>
      </c>
      <c r="U1133">
        <v>40.3354</v>
      </c>
      <c r="V1133">
        <v>376181.5</v>
      </c>
    </row>
    <row r="1134" spans="1:22" x14ac:dyDescent="0.25">
      <c r="A1134" t="s">
        <v>3738</v>
      </c>
      <c r="B1134" t="s">
        <v>3739</v>
      </c>
      <c r="C1134">
        <v>58</v>
      </c>
      <c r="D1134">
        <v>99</v>
      </c>
      <c r="E1134">
        <v>99</v>
      </c>
      <c r="F1134" t="s">
        <v>3740</v>
      </c>
      <c r="G1134" t="s">
        <v>3740</v>
      </c>
      <c r="H1134">
        <f t="shared" si="20"/>
        <v>17</v>
      </c>
      <c r="M1134" s="1">
        <v>6.7897299304604504E-3</v>
      </c>
      <c r="N1134">
        <v>1415.65966796875</v>
      </c>
      <c r="O1134">
        <v>708.83709999999905</v>
      </c>
      <c r="P1134">
        <v>1415.65283203125</v>
      </c>
      <c r="Q1134">
        <v>708.83367919921795</v>
      </c>
      <c r="R1134">
        <v>2</v>
      </c>
      <c r="S1134">
        <v>1</v>
      </c>
      <c r="T1134">
        <v>9</v>
      </c>
      <c r="U1134">
        <v>28.406980000000001</v>
      </c>
      <c r="V1134">
        <v>325950.2</v>
      </c>
    </row>
    <row r="1135" spans="1:22" x14ac:dyDescent="0.25">
      <c r="A1135" t="s">
        <v>3738</v>
      </c>
      <c r="B1135" t="s">
        <v>3739</v>
      </c>
      <c r="C1135">
        <v>58</v>
      </c>
      <c r="D1135">
        <v>99</v>
      </c>
      <c r="E1135">
        <v>99</v>
      </c>
      <c r="F1135" t="s">
        <v>3740</v>
      </c>
      <c r="G1135" t="s">
        <v>3740</v>
      </c>
      <c r="H1135">
        <f t="shared" si="20"/>
        <v>17</v>
      </c>
      <c r="L1135" t="s">
        <v>541</v>
      </c>
      <c r="M1135" s="1">
        <v>1.07482001185417E-2</v>
      </c>
      <c r="N1135">
        <v>1826.94567871094</v>
      </c>
      <c r="O1135">
        <v>914.48009999999897</v>
      </c>
      <c r="P1135">
        <v>1826.93493652344</v>
      </c>
      <c r="Q1135">
        <v>914.47473144531205</v>
      </c>
      <c r="R1135">
        <v>2</v>
      </c>
      <c r="S1135">
        <v>1</v>
      </c>
      <c r="T1135">
        <v>8</v>
      </c>
      <c r="U1135">
        <v>44.458869999999898</v>
      </c>
      <c r="V1135">
        <v>58238.14</v>
      </c>
    </row>
    <row r="1136" spans="1:22" x14ac:dyDescent="0.25">
      <c r="A1136" t="s">
        <v>1853</v>
      </c>
      <c r="B1136" t="s">
        <v>1854</v>
      </c>
      <c r="C1136">
        <v>110</v>
      </c>
      <c r="D1136">
        <v>99</v>
      </c>
      <c r="E1136">
        <v>99</v>
      </c>
      <c r="F1136" t="s">
        <v>1855</v>
      </c>
      <c r="G1136" t="s">
        <v>1855</v>
      </c>
      <c r="H1136">
        <f t="shared" si="20"/>
        <v>16</v>
      </c>
      <c r="M1136" s="1">
        <v>7.5592799112200702E-3</v>
      </c>
      <c r="N1136">
        <v>1820.01196289063</v>
      </c>
      <c r="O1136">
        <v>607.67790000000002</v>
      </c>
      <c r="P1136">
        <v>1820.00439453125</v>
      </c>
      <c r="Q1136">
        <v>607.67541503906205</v>
      </c>
      <c r="R1136">
        <v>3</v>
      </c>
      <c r="S1136">
        <v>3</v>
      </c>
      <c r="T1136">
        <v>14</v>
      </c>
      <c r="U1136">
        <v>28.0048999999999</v>
      </c>
      <c r="V1136">
        <v>1054049</v>
      </c>
    </row>
    <row r="1137" spans="1:22" x14ac:dyDescent="0.25">
      <c r="A1137" t="s">
        <v>1853</v>
      </c>
      <c r="B1137" t="s">
        <v>1854</v>
      </c>
      <c r="C1137">
        <v>111</v>
      </c>
      <c r="D1137">
        <v>99</v>
      </c>
      <c r="E1137">
        <v>99</v>
      </c>
      <c r="F1137" t="s">
        <v>1856</v>
      </c>
      <c r="G1137" t="s">
        <v>1856</v>
      </c>
      <c r="H1137">
        <f t="shared" si="20"/>
        <v>15</v>
      </c>
      <c r="M1137" s="1">
        <v>6.6190301440656202E-3</v>
      </c>
      <c r="N1137">
        <v>1689.87524414063</v>
      </c>
      <c r="O1137">
        <v>845.94489999999905</v>
      </c>
      <c r="P1137">
        <v>1689.86865234375</v>
      </c>
      <c r="Q1137">
        <v>845.94158935546795</v>
      </c>
      <c r="R1137">
        <v>2</v>
      </c>
      <c r="S1137">
        <v>1</v>
      </c>
      <c r="T1137">
        <v>13</v>
      </c>
      <c r="U1137">
        <v>33.957329999999899</v>
      </c>
      <c r="V1137">
        <v>294292.8</v>
      </c>
    </row>
    <row r="1138" spans="1:22" x14ac:dyDescent="0.25">
      <c r="A1138" t="s">
        <v>1853</v>
      </c>
      <c r="B1138" t="s">
        <v>1854</v>
      </c>
      <c r="C1138">
        <v>109</v>
      </c>
      <c r="D1138">
        <v>99</v>
      </c>
      <c r="E1138">
        <v>99</v>
      </c>
      <c r="F1138" t="s">
        <v>1857</v>
      </c>
      <c r="G1138" t="s">
        <v>1857</v>
      </c>
      <c r="H1138">
        <f t="shared" si="20"/>
        <v>17</v>
      </c>
      <c r="M1138" s="1">
        <v>1.3771999627351801E-2</v>
      </c>
      <c r="N1138">
        <v>2026.96350097656</v>
      </c>
      <c r="O1138">
        <v>1014.489</v>
      </c>
      <c r="P1138">
        <v>2026.94970703125</v>
      </c>
      <c r="Q1138">
        <v>1014.48211669922</v>
      </c>
      <c r="R1138">
        <v>2</v>
      </c>
      <c r="S1138">
        <v>2</v>
      </c>
      <c r="T1138">
        <v>10</v>
      </c>
      <c r="U1138">
        <v>35.157020000000003</v>
      </c>
      <c r="V1138">
        <v>156022.299999999</v>
      </c>
    </row>
    <row r="1139" spans="1:22" x14ac:dyDescent="0.25">
      <c r="A1139" t="s">
        <v>1853</v>
      </c>
      <c r="B1139" t="s">
        <v>1854</v>
      </c>
      <c r="C1139">
        <v>310</v>
      </c>
      <c r="D1139">
        <v>98.9</v>
      </c>
      <c r="E1139">
        <v>98.91</v>
      </c>
      <c r="F1139" t="s">
        <v>1858</v>
      </c>
      <c r="G1139" t="s">
        <v>1858</v>
      </c>
      <c r="H1139">
        <f t="shared" si="20"/>
        <v>15</v>
      </c>
      <c r="M1139" s="1">
        <v>1.0504599660635E-2</v>
      </c>
      <c r="N1139">
        <v>1966.86901855469</v>
      </c>
      <c r="O1139">
        <v>984.44179999999903</v>
      </c>
      <c r="P1139">
        <v>1966.85852050781</v>
      </c>
      <c r="Q1139">
        <v>984.4365234375</v>
      </c>
      <c r="R1139">
        <v>2</v>
      </c>
      <c r="S1139">
        <v>1</v>
      </c>
      <c r="T1139">
        <v>8</v>
      </c>
      <c r="U1139">
        <v>47.670830000000002</v>
      </c>
      <c r="V1139">
        <v>91813.98</v>
      </c>
    </row>
    <row r="1140" spans="1:22" x14ac:dyDescent="0.25">
      <c r="A1140" t="s">
        <v>1819</v>
      </c>
      <c r="B1140" t="s">
        <v>1820</v>
      </c>
      <c r="C1140">
        <v>127</v>
      </c>
      <c r="D1140">
        <v>98.2</v>
      </c>
      <c r="E1140">
        <v>98.17</v>
      </c>
      <c r="F1140" t="s">
        <v>1821</v>
      </c>
      <c r="G1140" t="s">
        <v>1821</v>
      </c>
      <c r="H1140">
        <f t="shared" si="20"/>
        <v>16</v>
      </c>
      <c r="M1140">
        <v>5.2300000000000003E-3</v>
      </c>
      <c r="N1140">
        <v>2053.02807617188</v>
      </c>
      <c r="O1140">
        <v>685.35</v>
      </c>
      <c r="P1140">
        <v>2053.02294921875</v>
      </c>
      <c r="Q1140">
        <v>685.34820556640602</v>
      </c>
      <c r="R1140">
        <v>3</v>
      </c>
      <c r="S1140">
        <v>1</v>
      </c>
      <c r="T1140">
        <v>8</v>
      </c>
      <c r="U1140">
        <v>26.966919999999899</v>
      </c>
      <c r="V1140">
        <v>166747.20000000001</v>
      </c>
    </row>
    <row r="1141" spans="1:22" x14ac:dyDescent="0.25">
      <c r="A1141" t="s">
        <v>1819</v>
      </c>
      <c r="B1141" t="s">
        <v>1820</v>
      </c>
      <c r="C1141">
        <v>126</v>
      </c>
      <c r="D1141">
        <v>99</v>
      </c>
      <c r="E1141">
        <v>99</v>
      </c>
      <c r="F1141" t="s">
        <v>1822</v>
      </c>
      <c r="G1141" t="s">
        <v>1822</v>
      </c>
      <c r="H1141">
        <f t="shared" si="20"/>
        <v>17</v>
      </c>
      <c r="L1141" t="s">
        <v>77</v>
      </c>
      <c r="M1141" s="1">
        <v>2.1402200683951302E-2</v>
      </c>
      <c r="N1141">
        <v>2056.17822265625</v>
      </c>
      <c r="O1141">
        <v>686.4</v>
      </c>
      <c r="P1141">
        <v>2056.15673828125</v>
      </c>
      <c r="Q1141">
        <v>686.39288330078102</v>
      </c>
      <c r="R1141">
        <v>3</v>
      </c>
      <c r="S1141">
        <v>1</v>
      </c>
      <c r="T1141">
        <v>12</v>
      </c>
      <c r="U1141">
        <v>39.314129999999899</v>
      </c>
      <c r="V1141">
        <v>152866.5</v>
      </c>
    </row>
    <row r="1142" spans="1:22" x14ac:dyDescent="0.25">
      <c r="A1142" t="s">
        <v>3925</v>
      </c>
      <c r="B1142" t="s">
        <v>3926</v>
      </c>
      <c r="C1142">
        <v>58</v>
      </c>
      <c r="D1142">
        <v>99</v>
      </c>
      <c r="E1142">
        <v>99</v>
      </c>
      <c r="F1142" t="s">
        <v>3927</v>
      </c>
      <c r="G1142" t="s">
        <v>3927</v>
      </c>
      <c r="H1142">
        <f t="shared" si="20"/>
        <v>9</v>
      </c>
      <c r="M1142" s="1">
        <v>1.17087997496128E-2</v>
      </c>
      <c r="N1142">
        <v>2016.84948730469</v>
      </c>
      <c r="O1142">
        <v>1009.432</v>
      </c>
      <c r="P1142">
        <v>2016.83776855469</v>
      </c>
      <c r="Q1142">
        <v>1009.42614746094</v>
      </c>
      <c r="R1142">
        <v>2</v>
      </c>
      <c r="S1142">
        <v>1</v>
      </c>
      <c r="T1142">
        <v>10</v>
      </c>
      <c r="U1142">
        <v>42.138150000000003</v>
      </c>
      <c r="V1142">
        <v>241904.6</v>
      </c>
    </row>
    <row r="1143" spans="1:22" x14ac:dyDescent="0.25">
      <c r="A1143" t="s">
        <v>3748</v>
      </c>
      <c r="B1143" t="s">
        <v>3749</v>
      </c>
      <c r="C1143">
        <v>266</v>
      </c>
      <c r="D1143">
        <v>99</v>
      </c>
      <c r="E1143">
        <v>99</v>
      </c>
      <c r="F1143" t="s">
        <v>3750</v>
      </c>
      <c r="G1143" t="s">
        <v>3750</v>
      </c>
      <c r="H1143">
        <f t="shared" si="20"/>
        <v>11</v>
      </c>
      <c r="M1143" s="1">
        <v>7.3405201546847803E-3</v>
      </c>
      <c r="N1143">
        <v>1679.85925292969</v>
      </c>
      <c r="O1143">
        <v>840.93690000000004</v>
      </c>
      <c r="P1143">
        <v>1679.85192871094</v>
      </c>
      <c r="Q1143">
        <v>840.93322753906205</v>
      </c>
      <c r="R1143">
        <v>2</v>
      </c>
      <c r="S1143">
        <v>1</v>
      </c>
      <c r="T1143">
        <v>9</v>
      </c>
      <c r="U1143">
        <v>38.0130699999999</v>
      </c>
      <c r="V1143">
        <v>129699.2</v>
      </c>
    </row>
    <row r="1144" spans="1:22" x14ac:dyDescent="0.25">
      <c r="A1144" t="s">
        <v>1795</v>
      </c>
      <c r="B1144" t="s">
        <v>1796</v>
      </c>
      <c r="C1144">
        <v>13</v>
      </c>
      <c r="D1144">
        <v>99</v>
      </c>
      <c r="E1144">
        <v>99</v>
      </c>
      <c r="F1144" t="s">
        <v>1797</v>
      </c>
      <c r="G1144" t="s">
        <v>1797</v>
      </c>
      <c r="H1144">
        <f t="shared" si="20"/>
        <v>16</v>
      </c>
      <c r="M1144" s="1">
        <v>5.1491600461304101E-3</v>
      </c>
      <c r="N1144">
        <v>1703.80541992188</v>
      </c>
      <c r="O1144">
        <v>852.91</v>
      </c>
      <c r="P1144">
        <v>1703.80029296875</v>
      </c>
      <c r="Q1144">
        <v>852.90740966796795</v>
      </c>
      <c r="R1144">
        <v>2</v>
      </c>
      <c r="S1144">
        <v>1</v>
      </c>
      <c r="T1144">
        <v>12</v>
      </c>
      <c r="U1144">
        <v>32.163130000000002</v>
      </c>
      <c r="V1144">
        <v>581627.1</v>
      </c>
    </row>
    <row r="1145" spans="1:22" x14ac:dyDescent="0.25">
      <c r="A1145" t="s">
        <v>1795</v>
      </c>
      <c r="B1145" t="s">
        <v>1796</v>
      </c>
      <c r="C1145">
        <v>13</v>
      </c>
      <c r="D1145">
        <v>99</v>
      </c>
      <c r="E1145">
        <v>99</v>
      </c>
      <c r="F1145" t="s">
        <v>1798</v>
      </c>
      <c r="G1145" t="s">
        <v>1798</v>
      </c>
      <c r="H1145">
        <f t="shared" si="20"/>
        <v>17</v>
      </c>
      <c r="M1145" s="1">
        <v>6.3642300665378501E-3</v>
      </c>
      <c r="N1145">
        <v>1609.82043457031</v>
      </c>
      <c r="O1145">
        <v>805.91750000000002</v>
      </c>
      <c r="P1145">
        <v>1609.81408691406</v>
      </c>
      <c r="Q1145">
        <v>805.914306640625</v>
      </c>
      <c r="R1145">
        <v>2</v>
      </c>
      <c r="S1145">
        <v>1</v>
      </c>
      <c r="T1145">
        <v>12</v>
      </c>
      <c r="U1145">
        <v>40.444450000000003</v>
      </c>
      <c r="V1145">
        <v>128331.3</v>
      </c>
    </row>
    <row r="1146" spans="1:22" x14ac:dyDescent="0.25">
      <c r="A1146" t="s">
        <v>1795</v>
      </c>
      <c r="B1146" t="s">
        <v>1796</v>
      </c>
      <c r="C1146">
        <v>4</v>
      </c>
      <c r="D1146">
        <v>98.1</v>
      </c>
      <c r="E1146">
        <v>98.05</v>
      </c>
      <c r="F1146" t="s">
        <v>1799</v>
      </c>
      <c r="G1146" t="s">
        <v>1799</v>
      </c>
      <c r="H1146">
        <f t="shared" si="20"/>
        <v>9</v>
      </c>
      <c r="M1146" s="1">
        <v>4.9521001055836704E-3</v>
      </c>
      <c r="N1146">
        <v>1160.61608886719</v>
      </c>
      <c r="O1146">
        <v>581.31529999999896</v>
      </c>
      <c r="P1146">
        <v>1160.61108398438</v>
      </c>
      <c r="Q1146">
        <v>581.31280517578102</v>
      </c>
      <c r="R1146">
        <v>2</v>
      </c>
      <c r="S1146">
        <v>1</v>
      </c>
      <c r="T1146">
        <v>11</v>
      </c>
      <c r="U1146">
        <v>34.30668</v>
      </c>
      <c r="V1146">
        <v>184275.7</v>
      </c>
    </row>
    <row r="1147" spans="1:22" x14ac:dyDescent="0.25">
      <c r="A1147" t="s">
        <v>1795</v>
      </c>
      <c r="B1147" t="s">
        <v>1796</v>
      </c>
      <c r="C1147">
        <v>518</v>
      </c>
      <c r="D1147">
        <v>99</v>
      </c>
      <c r="E1147">
        <v>99</v>
      </c>
      <c r="F1147" t="s">
        <v>1800</v>
      </c>
      <c r="G1147" t="s">
        <v>1800</v>
      </c>
      <c r="H1147">
        <f t="shared" si="20"/>
        <v>16</v>
      </c>
      <c r="M1147">
        <v>-2.47E-3</v>
      </c>
      <c r="N1147">
        <v>1747.87902832031</v>
      </c>
      <c r="O1147">
        <v>874.94680000000005</v>
      </c>
      <c r="P1147">
        <v>1747.88146972656</v>
      </c>
      <c r="Q1147">
        <v>874.947998046875</v>
      </c>
      <c r="R1147">
        <v>2</v>
      </c>
      <c r="S1147">
        <v>1</v>
      </c>
      <c r="T1147">
        <v>11</v>
      </c>
      <c r="U1147">
        <v>25.198720000000002</v>
      </c>
      <c r="V1147">
        <v>127235.8</v>
      </c>
    </row>
    <row r="1148" spans="1:22" x14ac:dyDescent="0.25">
      <c r="A1148" t="s">
        <v>1795</v>
      </c>
      <c r="B1148" t="s">
        <v>1796</v>
      </c>
      <c r="C1148">
        <v>518</v>
      </c>
      <c r="D1148">
        <v>99</v>
      </c>
      <c r="E1148">
        <v>99</v>
      </c>
      <c r="F1148" t="s">
        <v>1801</v>
      </c>
      <c r="G1148" t="s">
        <v>1801</v>
      </c>
      <c r="H1148">
        <f t="shared" si="20"/>
        <v>17</v>
      </c>
      <c r="M1148" s="1">
        <v>-8.8364101247862003E-4</v>
      </c>
      <c r="N1148">
        <v>1570.80163574219</v>
      </c>
      <c r="O1148">
        <v>786.40809999999897</v>
      </c>
      <c r="P1148">
        <v>1570.80249023438</v>
      </c>
      <c r="Q1148">
        <v>786.40850830078102</v>
      </c>
      <c r="R1148">
        <v>2</v>
      </c>
      <c r="S1148">
        <v>2</v>
      </c>
      <c r="T1148">
        <v>10</v>
      </c>
      <c r="U1148">
        <v>24.246870000000001</v>
      </c>
      <c r="V1148">
        <v>280397.7</v>
      </c>
    </row>
    <row r="1149" spans="1:22" x14ac:dyDescent="0.25">
      <c r="A1149" t="s">
        <v>1795</v>
      </c>
      <c r="B1149" t="s">
        <v>1796</v>
      </c>
      <c r="C1149">
        <v>518</v>
      </c>
      <c r="D1149">
        <v>99</v>
      </c>
      <c r="E1149">
        <v>99</v>
      </c>
      <c r="F1149" t="s">
        <v>1802</v>
      </c>
      <c r="G1149" t="s">
        <v>1802</v>
      </c>
      <c r="H1149">
        <f t="shared" si="20"/>
        <v>18</v>
      </c>
      <c r="M1149">
        <v>8.6999999999999994E-3</v>
      </c>
      <c r="N1149">
        <v>1643.78784179688</v>
      </c>
      <c r="O1149">
        <v>822.90120000000002</v>
      </c>
      <c r="P1149">
        <v>1643.77917480469</v>
      </c>
      <c r="Q1149">
        <v>822.89685058593705</v>
      </c>
      <c r="R1149">
        <v>2</v>
      </c>
      <c r="S1149">
        <v>1</v>
      </c>
      <c r="T1149">
        <v>11</v>
      </c>
      <c r="U1149">
        <v>42.371630000000003</v>
      </c>
      <c r="V1149">
        <v>96221.37</v>
      </c>
    </row>
    <row r="1150" spans="1:22" x14ac:dyDescent="0.25">
      <c r="A1150" t="s">
        <v>1795</v>
      </c>
      <c r="B1150" t="s">
        <v>1796</v>
      </c>
      <c r="C1150">
        <v>14</v>
      </c>
      <c r="D1150">
        <v>99</v>
      </c>
      <c r="E1150">
        <v>99</v>
      </c>
      <c r="F1150" t="s">
        <v>1803</v>
      </c>
      <c r="G1150" t="s">
        <v>1803</v>
      </c>
      <c r="H1150">
        <f t="shared" si="20"/>
        <v>15</v>
      </c>
      <c r="M1150">
        <v>9.7459999999999995E-3</v>
      </c>
      <c r="N1150">
        <v>1941.96826171875</v>
      </c>
      <c r="O1150">
        <v>648.33000000000004</v>
      </c>
      <c r="P1150">
        <v>1941.95849609375</v>
      </c>
      <c r="Q1150">
        <v>648.32678222656205</v>
      </c>
      <c r="R1150">
        <v>3</v>
      </c>
      <c r="S1150">
        <v>2</v>
      </c>
      <c r="T1150">
        <v>11</v>
      </c>
      <c r="U1150">
        <v>35.129930000000002</v>
      </c>
      <c r="V1150">
        <v>176865.8</v>
      </c>
    </row>
    <row r="1151" spans="1:22" x14ac:dyDescent="0.25">
      <c r="A1151" t="s">
        <v>1795</v>
      </c>
      <c r="B1151" t="s">
        <v>1796</v>
      </c>
      <c r="C1151">
        <v>14</v>
      </c>
      <c r="D1151">
        <v>99</v>
      </c>
      <c r="E1151">
        <v>99</v>
      </c>
      <c r="F1151" t="s">
        <v>1804</v>
      </c>
      <c r="G1151" t="s">
        <v>1804</v>
      </c>
      <c r="H1151">
        <f t="shared" si="20"/>
        <v>16</v>
      </c>
      <c r="M1151" s="1">
        <v>1.24540003016591E-2</v>
      </c>
      <c r="N1151">
        <v>2071.01342773438</v>
      </c>
      <c r="O1151">
        <v>1036.5139999999899</v>
      </c>
      <c r="P1151">
        <v>2071.0009765625</v>
      </c>
      <c r="Q1151">
        <v>1036.5078125</v>
      </c>
      <c r="R1151">
        <v>2</v>
      </c>
      <c r="S1151">
        <v>2</v>
      </c>
      <c r="T1151">
        <v>10</v>
      </c>
      <c r="U1151">
        <v>35.425429999999899</v>
      </c>
      <c r="V1151">
        <v>101543.8</v>
      </c>
    </row>
    <row r="1152" spans="1:22" x14ac:dyDescent="0.25">
      <c r="A1152" t="s">
        <v>1795</v>
      </c>
      <c r="B1152" t="s">
        <v>1796</v>
      </c>
      <c r="C1152">
        <v>16</v>
      </c>
      <c r="D1152">
        <v>99</v>
      </c>
      <c r="E1152">
        <v>99</v>
      </c>
      <c r="F1152" t="s">
        <v>1805</v>
      </c>
      <c r="G1152" t="s">
        <v>1805</v>
      </c>
      <c r="H1152">
        <f t="shared" si="20"/>
        <v>13</v>
      </c>
      <c r="M1152" s="1">
        <v>7.0996601134538703E-3</v>
      </c>
      <c r="N1152">
        <v>2137.072265625</v>
      </c>
      <c r="O1152">
        <v>713.36469999999895</v>
      </c>
      <c r="P1152">
        <v>2137.06518554688</v>
      </c>
      <c r="Q1152">
        <v>713.3623046875</v>
      </c>
      <c r="R1152">
        <v>3</v>
      </c>
      <c r="S1152">
        <v>1</v>
      </c>
      <c r="T1152">
        <v>9</v>
      </c>
      <c r="U1152">
        <v>37.820129999999899</v>
      </c>
      <c r="V1152">
        <v>145338.5</v>
      </c>
    </row>
    <row r="1153" spans="1:22" x14ac:dyDescent="0.25">
      <c r="A1153" t="s">
        <v>1795</v>
      </c>
      <c r="B1153" t="s">
        <v>1796</v>
      </c>
      <c r="C1153">
        <v>16</v>
      </c>
      <c r="D1153">
        <v>98.7</v>
      </c>
      <c r="E1153">
        <v>98.73</v>
      </c>
      <c r="F1153" t="s">
        <v>1806</v>
      </c>
      <c r="G1153" t="s">
        <v>1806</v>
      </c>
      <c r="H1153">
        <f t="shared" si="20"/>
        <v>14</v>
      </c>
      <c r="M1153" s="1">
        <v>8.3130499115213698E-4</v>
      </c>
      <c r="N1153">
        <v>1614.72827148438</v>
      </c>
      <c r="O1153">
        <v>808.37139999999897</v>
      </c>
      <c r="P1153">
        <v>1614.72741699219</v>
      </c>
      <c r="Q1153">
        <v>808.37097167968705</v>
      </c>
      <c r="R1153">
        <v>2</v>
      </c>
      <c r="S1153">
        <v>2</v>
      </c>
      <c r="T1153">
        <v>10</v>
      </c>
      <c r="U1153">
        <v>27.00103</v>
      </c>
      <c r="V1153">
        <v>333081.09999999899</v>
      </c>
    </row>
    <row r="1154" spans="1:22" x14ac:dyDescent="0.25">
      <c r="A1154" t="s">
        <v>1795</v>
      </c>
      <c r="B1154" t="s">
        <v>1796</v>
      </c>
      <c r="C1154">
        <v>517</v>
      </c>
      <c r="D1154">
        <v>99</v>
      </c>
      <c r="E1154">
        <v>99</v>
      </c>
      <c r="F1154" t="s">
        <v>1807</v>
      </c>
      <c r="G1154" t="s">
        <v>1807</v>
      </c>
      <c r="H1154">
        <f t="shared" si="20"/>
        <v>19</v>
      </c>
      <c r="M1154" s="1">
        <v>3.0633499845862402E-3</v>
      </c>
      <c r="N1154">
        <v>2027.01428222656</v>
      </c>
      <c r="O1154">
        <v>676.67870000000005</v>
      </c>
      <c r="P1154">
        <v>2027.01123046875</v>
      </c>
      <c r="Q1154">
        <v>676.67767333984295</v>
      </c>
      <c r="R1154">
        <v>3</v>
      </c>
      <c r="S1154">
        <v>1</v>
      </c>
      <c r="T1154">
        <v>10</v>
      </c>
      <c r="U1154">
        <v>44.773000000000003</v>
      </c>
      <c r="V1154">
        <v>110703.2</v>
      </c>
    </row>
    <row r="1155" spans="1:22" x14ac:dyDescent="0.25">
      <c r="A1155" t="s">
        <v>1795</v>
      </c>
      <c r="B1155" t="s">
        <v>1796</v>
      </c>
      <c r="C1155">
        <v>4</v>
      </c>
      <c r="D1155">
        <v>98.6</v>
      </c>
      <c r="E1155">
        <v>98.63</v>
      </c>
      <c r="F1155" t="s">
        <v>1799</v>
      </c>
      <c r="G1155" t="s">
        <v>1799</v>
      </c>
      <c r="H1155">
        <f t="shared" ref="H1155:H1218" si="21">LEN(G1155)</f>
        <v>9</v>
      </c>
      <c r="L1155" t="s">
        <v>47</v>
      </c>
      <c r="M1155" s="1">
        <v>-3.0638698954135201E-3</v>
      </c>
      <c r="N1155">
        <v>1199.52844238281</v>
      </c>
      <c r="O1155">
        <v>600.77149999999904</v>
      </c>
      <c r="P1155">
        <v>1199.53149414063</v>
      </c>
      <c r="Q1155">
        <v>600.77301025390602</v>
      </c>
      <c r="R1155">
        <v>2</v>
      </c>
      <c r="S1155">
        <v>6</v>
      </c>
      <c r="T1155">
        <v>12</v>
      </c>
      <c r="U1155">
        <v>21.883019999999899</v>
      </c>
      <c r="V1155">
        <v>11117090</v>
      </c>
    </row>
    <row r="1156" spans="1:22" x14ac:dyDescent="0.25">
      <c r="A1156" t="s">
        <v>3221</v>
      </c>
      <c r="B1156" t="s">
        <v>3222</v>
      </c>
      <c r="C1156">
        <v>299</v>
      </c>
      <c r="D1156">
        <v>97.1</v>
      </c>
      <c r="E1156">
        <v>97.09</v>
      </c>
      <c r="F1156" t="s">
        <v>3223</v>
      </c>
      <c r="G1156" t="s">
        <v>3223</v>
      </c>
      <c r="H1156">
        <f t="shared" si="21"/>
        <v>9</v>
      </c>
      <c r="M1156">
        <v>-2.2499999999999999E-4</v>
      </c>
      <c r="N1156">
        <v>2151.05932617188</v>
      </c>
      <c r="O1156">
        <v>1076.537</v>
      </c>
      <c r="P1156">
        <v>2151.0595703125</v>
      </c>
      <c r="Q1156">
        <v>1076.537109375</v>
      </c>
      <c r="R1156">
        <v>2</v>
      </c>
      <c r="S1156">
        <v>3</v>
      </c>
      <c r="T1156">
        <v>15</v>
      </c>
      <c r="U1156">
        <v>39.151049999999898</v>
      </c>
      <c r="V1156">
        <v>559741.9</v>
      </c>
    </row>
    <row r="1157" spans="1:22" x14ac:dyDescent="0.25">
      <c r="A1157" t="s">
        <v>2269</v>
      </c>
      <c r="B1157" t="s">
        <v>2270</v>
      </c>
      <c r="C1157">
        <v>34</v>
      </c>
      <c r="D1157">
        <v>98.4</v>
      </c>
      <c r="E1157">
        <v>98.38</v>
      </c>
      <c r="F1157" t="s">
        <v>2271</v>
      </c>
      <c r="G1157" t="s">
        <v>2271</v>
      </c>
      <c r="H1157">
        <f t="shared" si="21"/>
        <v>9</v>
      </c>
      <c r="M1157" s="1">
        <v>8.0307498574256793E-3</v>
      </c>
      <c r="N1157">
        <v>1654.74365234375</v>
      </c>
      <c r="O1157">
        <v>828.37909999999897</v>
      </c>
      <c r="P1157">
        <v>1654.73559570313</v>
      </c>
      <c r="Q1157">
        <v>828.37506103515602</v>
      </c>
      <c r="R1157">
        <v>2</v>
      </c>
      <c r="S1157">
        <v>1</v>
      </c>
      <c r="T1157">
        <v>13</v>
      </c>
      <c r="U1157">
        <v>27.63992</v>
      </c>
      <c r="V1157">
        <v>396546.4</v>
      </c>
    </row>
    <row r="1158" spans="1:22" x14ac:dyDescent="0.25">
      <c r="A1158" t="s">
        <v>899</v>
      </c>
      <c r="B1158" t="s">
        <v>900</v>
      </c>
      <c r="C1158">
        <v>34</v>
      </c>
      <c r="D1158">
        <v>98.9</v>
      </c>
      <c r="E1158">
        <v>98.93</v>
      </c>
      <c r="F1158" t="s">
        <v>125</v>
      </c>
      <c r="G1158" t="s">
        <v>125</v>
      </c>
      <c r="H1158">
        <f t="shared" si="21"/>
        <v>9</v>
      </c>
      <c r="M1158">
        <v>3.1939999999999998E-3</v>
      </c>
      <c r="N1158">
        <v>1678.88232421875</v>
      </c>
      <c r="O1158">
        <v>840.44839999999897</v>
      </c>
      <c r="P1158">
        <v>1678.87915039063</v>
      </c>
      <c r="Q1158">
        <v>840.44683837890602</v>
      </c>
      <c r="R1158">
        <v>2</v>
      </c>
      <c r="S1158">
        <v>1</v>
      </c>
      <c r="T1158">
        <v>12</v>
      </c>
      <c r="U1158">
        <v>34.815750000000001</v>
      </c>
      <c r="V1158">
        <v>189713.8</v>
      </c>
    </row>
    <row r="1159" spans="1:22" x14ac:dyDescent="0.25">
      <c r="A1159" t="s">
        <v>3148</v>
      </c>
      <c r="B1159" t="s">
        <v>3149</v>
      </c>
      <c r="C1159">
        <v>37</v>
      </c>
      <c r="D1159">
        <v>98.2</v>
      </c>
      <c r="E1159">
        <v>98.24</v>
      </c>
      <c r="F1159" t="s">
        <v>3150</v>
      </c>
      <c r="G1159" t="s">
        <v>3150</v>
      </c>
      <c r="H1159">
        <f t="shared" si="21"/>
        <v>9</v>
      </c>
      <c r="M1159" s="1">
        <v>1.6368799842893999E-3</v>
      </c>
      <c r="N1159">
        <v>2105.06713867188</v>
      </c>
      <c r="O1159">
        <v>702.69629999999904</v>
      </c>
      <c r="P1159">
        <v>2105.0654296875</v>
      </c>
      <c r="Q1159">
        <v>702.69573974609295</v>
      </c>
      <c r="R1159">
        <v>3</v>
      </c>
      <c r="S1159">
        <v>2</v>
      </c>
      <c r="T1159">
        <v>12</v>
      </c>
      <c r="U1159">
        <v>23.9919499999999</v>
      </c>
      <c r="V1159">
        <v>220568</v>
      </c>
    </row>
    <row r="1160" spans="1:22" x14ac:dyDescent="0.25">
      <c r="A1160" t="s">
        <v>4410</v>
      </c>
      <c r="B1160" t="s">
        <v>4411</v>
      </c>
      <c r="C1160">
        <v>274</v>
      </c>
      <c r="D1160">
        <v>99</v>
      </c>
      <c r="E1160">
        <v>99</v>
      </c>
      <c r="F1160" t="s">
        <v>88</v>
      </c>
      <c r="G1160" t="s">
        <v>88</v>
      </c>
      <c r="H1160">
        <f t="shared" si="21"/>
        <v>9</v>
      </c>
      <c r="M1160" s="1">
        <v>3.5424199886620001E-3</v>
      </c>
      <c r="N1160">
        <v>1170.72729492188</v>
      </c>
      <c r="O1160">
        <v>391.24970000000002</v>
      </c>
      <c r="P1160">
        <v>1170.72375488281</v>
      </c>
      <c r="Q1160">
        <v>391.24850463867102</v>
      </c>
      <c r="R1160">
        <v>3</v>
      </c>
      <c r="S1160">
        <v>1</v>
      </c>
      <c r="T1160">
        <v>10</v>
      </c>
      <c r="U1160">
        <v>34.945950000000003</v>
      </c>
      <c r="V1160">
        <v>412698.8</v>
      </c>
    </row>
    <row r="1161" spans="1:22" x14ac:dyDescent="0.25">
      <c r="A1161" t="s">
        <v>4471</v>
      </c>
      <c r="B1161" t="s">
        <v>4472</v>
      </c>
      <c r="C1161">
        <v>56</v>
      </c>
      <c r="D1161">
        <v>99</v>
      </c>
      <c r="E1161">
        <v>99</v>
      </c>
      <c r="F1161" t="s">
        <v>4473</v>
      </c>
      <c r="G1161" t="s">
        <v>4473</v>
      </c>
      <c r="H1161">
        <f t="shared" si="21"/>
        <v>15</v>
      </c>
      <c r="M1161" s="1">
        <v>2.57231993600726E-3</v>
      </c>
      <c r="N1161">
        <v>1008.50885009766</v>
      </c>
      <c r="O1161">
        <v>505.26170000000002</v>
      </c>
      <c r="P1161">
        <v>1008.50622558594</v>
      </c>
      <c r="Q1161">
        <v>505.26040649414102</v>
      </c>
      <c r="R1161">
        <v>2</v>
      </c>
      <c r="S1161">
        <v>1</v>
      </c>
      <c r="T1161">
        <v>9</v>
      </c>
      <c r="U1161">
        <v>45.666530000000002</v>
      </c>
      <c r="V1161">
        <v>269442.3</v>
      </c>
    </row>
    <row r="1162" spans="1:22" x14ac:dyDescent="0.25">
      <c r="A1162" t="s">
        <v>2529</v>
      </c>
      <c r="B1162" t="s">
        <v>2530</v>
      </c>
      <c r="C1162">
        <v>124</v>
      </c>
      <c r="D1162">
        <v>99</v>
      </c>
      <c r="E1162">
        <v>99</v>
      </c>
      <c r="F1162" t="s">
        <v>613</v>
      </c>
      <c r="G1162" t="s">
        <v>613</v>
      </c>
      <c r="H1162">
        <f t="shared" si="21"/>
        <v>10</v>
      </c>
      <c r="M1162" s="1">
        <v>9.2243403196334804E-3</v>
      </c>
      <c r="N1162">
        <v>1524.64611816406</v>
      </c>
      <c r="O1162">
        <v>763.33029999999906</v>
      </c>
      <c r="P1162">
        <v>1524.63684082031</v>
      </c>
      <c r="Q1162">
        <v>763.32568359375</v>
      </c>
      <c r="R1162">
        <v>2</v>
      </c>
      <c r="S1162">
        <v>1</v>
      </c>
      <c r="T1162">
        <v>8</v>
      </c>
      <c r="U1162">
        <v>43.694319999999898</v>
      </c>
      <c r="V1162">
        <v>209631.7</v>
      </c>
    </row>
    <row r="1163" spans="1:22" x14ac:dyDescent="0.25">
      <c r="A1163" t="s">
        <v>38</v>
      </c>
      <c r="B1163" t="s">
        <v>39</v>
      </c>
      <c r="C1163">
        <v>3306</v>
      </c>
      <c r="D1163">
        <v>99</v>
      </c>
      <c r="E1163">
        <v>99</v>
      </c>
      <c r="F1163" t="s">
        <v>40</v>
      </c>
      <c r="G1163" t="s">
        <v>40</v>
      </c>
      <c r="H1163">
        <f t="shared" si="21"/>
        <v>9</v>
      </c>
      <c r="M1163">
        <v>-1.2652E-2</v>
      </c>
      <c r="N1163">
        <v>1642.77124023438</v>
      </c>
      <c r="O1163">
        <v>822.39290000000005</v>
      </c>
      <c r="P1163">
        <v>1642.78381347656</v>
      </c>
      <c r="Q1163">
        <v>822.39923095703102</v>
      </c>
      <c r="R1163">
        <v>2</v>
      </c>
      <c r="S1163">
        <v>3</v>
      </c>
      <c r="T1163">
        <v>11</v>
      </c>
      <c r="U1163">
        <v>29.5228199999999</v>
      </c>
      <c r="V1163">
        <v>229873.2</v>
      </c>
    </row>
    <row r="1164" spans="1:22" x14ac:dyDescent="0.25">
      <c r="A1164" t="s">
        <v>4160</v>
      </c>
      <c r="B1164" t="s">
        <v>4161</v>
      </c>
      <c r="C1164">
        <v>100</v>
      </c>
      <c r="D1164">
        <v>98.7</v>
      </c>
      <c r="E1164">
        <v>98.72</v>
      </c>
      <c r="F1164" t="s">
        <v>4162</v>
      </c>
      <c r="G1164" t="s">
        <v>4162</v>
      </c>
      <c r="H1164">
        <f t="shared" si="21"/>
        <v>14</v>
      </c>
      <c r="M1164" s="1">
        <v>7.3929699137806901E-3</v>
      </c>
      <c r="N1164">
        <v>1830.00598144531</v>
      </c>
      <c r="O1164">
        <v>611.00930000000005</v>
      </c>
      <c r="P1164">
        <v>1829.99865722656</v>
      </c>
      <c r="Q1164">
        <v>611.0068359375</v>
      </c>
      <c r="R1164">
        <v>3</v>
      </c>
      <c r="S1164">
        <v>1</v>
      </c>
      <c r="T1164">
        <v>13</v>
      </c>
      <c r="U1164">
        <v>44.552190000000003</v>
      </c>
      <c r="V1164">
        <v>378587.9</v>
      </c>
    </row>
    <row r="1165" spans="1:22" x14ac:dyDescent="0.25">
      <c r="A1165" t="s">
        <v>4073</v>
      </c>
      <c r="B1165" t="s">
        <v>4074</v>
      </c>
      <c r="C1165">
        <v>132</v>
      </c>
      <c r="D1165">
        <v>99</v>
      </c>
      <c r="E1165">
        <v>99</v>
      </c>
      <c r="F1165" t="s">
        <v>4075</v>
      </c>
      <c r="G1165" t="s">
        <v>4075</v>
      </c>
      <c r="H1165">
        <f t="shared" si="21"/>
        <v>15</v>
      </c>
      <c r="M1165" s="1">
        <v>3.07839992456138E-3</v>
      </c>
      <c r="N1165">
        <v>2054.04638671875</v>
      </c>
      <c r="O1165">
        <v>685.68939999999895</v>
      </c>
      <c r="P1165">
        <v>2054.04321289063</v>
      </c>
      <c r="Q1165">
        <v>685.68835449218705</v>
      </c>
      <c r="R1165">
        <v>3</v>
      </c>
      <c r="S1165">
        <v>2</v>
      </c>
      <c r="T1165">
        <v>9</v>
      </c>
      <c r="U1165">
        <v>36.658450000000002</v>
      </c>
      <c r="V1165">
        <v>177396.2</v>
      </c>
    </row>
    <row r="1166" spans="1:22" x14ac:dyDescent="0.25">
      <c r="A1166" t="s">
        <v>4073</v>
      </c>
      <c r="B1166" t="s">
        <v>4074</v>
      </c>
      <c r="C1166">
        <v>132</v>
      </c>
      <c r="D1166">
        <v>99</v>
      </c>
      <c r="E1166">
        <v>99</v>
      </c>
      <c r="F1166" t="s">
        <v>4076</v>
      </c>
      <c r="G1166" t="s">
        <v>4076</v>
      </c>
      <c r="H1166">
        <f t="shared" si="21"/>
        <v>16</v>
      </c>
      <c r="M1166" s="1">
        <v>1.5616100281477001E-3</v>
      </c>
      <c r="N1166">
        <v>1989.92700195313</v>
      </c>
      <c r="O1166">
        <v>664.31629999999905</v>
      </c>
      <c r="P1166">
        <v>1989.92541503906</v>
      </c>
      <c r="Q1166">
        <v>664.31573486328102</v>
      </c>
      <c r="R1166">
        <v>3</v>
      </c>
      <c r="S1166">
        <v>2</v>
      </c>
      <c r="T1166">
        <v>11</v>
      </c>
      <c r="U1166">
        <v>33.615099999999899</v>
      </c>
      <c r="V1166">
        <v>265393.59999999899</v>
      </c>
    </row>
    <row r="1167" spans="1:22" x14ac:dyDescent="0.25">
      <c r="A1167" t="s">
        <v>4073</v>
      </c>
      <c r="B1167" t="s">
        <v>4074</v>
      </c>
      <c r="C1167">
        <v>133</v>
      </c>
      <c r="D1167">
        <v>99</v>
      </c>
      <c r="E1167">
        <v>99</v>
      </c>
      <c r="F1167" t="s">
        <v>4077</v>
      </c>
      <c r="G1167" t="s">
        <v>4077</v>
      </c>
      <c r="H1167">
        <f t="shared" si="21"/>
        <v>14</v>
      </c>
      <c r="L1167" t="s">
        <v>4078</v>
      </c>
      <c r="M1167" s="1">
        <v>3.12018999829888E-3</v>
      </c>
      <c r="N1167">
        <v>1211.50610351563</v>
      </c>
      <c r="O1167">
        <v>606.76030000000003</v>
      </c>
      <c r="P1167">
        <v>1211.5029296875</v>
      </c>
      <c r="Q1167">
        <v>606.75872802734295</v>
      </c>
      <c r="R1167">
        <v>2</v>
      </c>
      <c r="S1167">
        <v>1</v>
      </c>
      <c r="T1167">
        <v>9</v>
      </c>
      <c r="U1167">
        <v>23.17183</v>
      </c>
      <c r="V1167">
        <v>210365.7</v>
      </c>
    </row>
    <row r="1168" spans="1:22" x14ac:dyDescent="0.25">
      <c r="A1168" t="s">
        <v>1951</v>
      </c>
      <c r="B1168" t="s">
        <v>1952</v>
      </c>
      <c r="C1168">
        <v>1147</v>
      </c>
      <c r="D1168">
        <v>98.8</v>
      </c>
      <c r="E1168">
        <v>98.83</v>
      </c>
      <c r="F1168" t="s">
        <v>1953</v>
      </c>
      <c r="G1168" t="s">
        <v>1953</v>
      </c>
      <c r="H1168">
        <f t="shared" si="21"/>
        <v>9</v>
      </c>
      <c r="M1168" s="1">
        <v>4.24244021996856E-3</v>
      </c>
      <c r="N1168">
        <v>1936.94946289063</v>
      </c>
      <c r="O1168">
        <v>969.48199999999895</v>
      </c>
      <c r="P1168">
        <v>1936.94519042969</v>
      </c>
      <c r="Q1168">
        <v>969.47985839843705</v>
      </c>
      <c r="R1168">
        <v>2</v>
      </c>
      <c r="S1168">
        <v>2</v>
      </c>
      <c r="T1168">
        <v>15</v>
      </c>
      <c r="U1168">
        <v>35.499940000000002</v>
      </c>
      <c r="V1168">
        <v>204423</v>
      </c>
    </row>
    <row r="1169" spans="1:22" x14ac:dyDescent="0.25">
      <c r="A1169" t="s">
        <v>1743</v>
      </c>
      <c r="B1169" t="s">
        <v>1744</v>
      </c>
      <c r="C1169">
        <v>387</v>
      </c>
      <c r="D1169">
        <v>98.9</v>
      </c>
      <c r="E1169">
        <v>98.93</v>
      </c>
      <c r="F1169" t="s">
        <v>1745</v>
      </c>
      <c r="G1169" t="s">
        <v>1745</v>
      </c>
      <c r="H1169">
        <f t="shared" si="21"/>
        <v>15</v>
      </c>
      <c r="M1169">
        <v>-3.86E-4</v>
      </c>
      <c r="N1169">
        <v>1793.90563964844</v>
      </c>
      <c r="O1169">
        <v>598.97580000000005</v>
      </c>
      <c r="P1169">
        <v>1793.90600585938</v>
      </c>
      <c r="Q1169">
        <v>598.97595214843705</v>
      </c>
      <c r="R1169">
        <v>3</v>
      </c>
      <c r="S1169">
        <v>1</v>
      </c>
      <c r="T1169">
        <v>15</v>
      </c>
      <c r="U1169">
        <v>33.155880000000003</v>
      </c>
      <c r="V1169">
        <v>742475</v>
      </c>
    </row>
    <row r="1170" spans="1:22" x14ac:dyDescent="0.25">
      <c r="A1170" t="s">
        <v>2329</v>
      </c>
      <c r="B1170" t="s">
        <v>2330</v>
      </c>
      <c r="C1170">
        <v>351</v>
      </c>
      <c r="D1170">
        <v>99</v>
      </c>
      <c r="E1170">
        <v>99</v>
      </c>
      <c r="F1170" t="s">
        <v>469</v>
      </c>
      <c r="G1170" t="s">
        <v>469</v>
      </c>
      <c r="H1170">
        <f t="shared" si="21"/>
        <v>9</v>
      </c>
      <c r="M1170" s="1">
        <v>3.45193990506232E-3</v>
      </c>
      <c r="N1170">
        <v>1616.91723632813</v>
      </c>
      <c r="O1170">
        <v>809.46590000000003</v>
      </c>
      <c r="P1170">
        <v>1616.91381835938</v>
      </c>
      <c r="Q1170">
        <v>809.46417236328102</v>
      </c>
      <c r="R1170">
        <v>2</v>
      </c>
      <c r="S1170">
        <v>2</v>
      </c>
      <c r="T1170">
        <v>9</v>
      </c>
      <c r="U1170">
        <v>39.217100000000002</v>
      </c>
      <c r="V1170">
        <v>191969.9</v>
      </c>
    </row>
    <row r="1171" spans="1:22" x14ac:dyDescent="0.25">
      <c r="A1171" t="s">
        <v>2329</v>
      </c>
      <c r="B1171" t="s">
        <v>2330</v>
      </c>
      <c r="C1171">
        <v>99</v>
      </c>
      <c r="D1171">
        <v>97.9</v>
      </c>
      <c r="E1171">
        <v>97.87</v>
      </c>
      <c r="F1171" t="s">
        <v>2331</v>
      </c>
      <c r="G1171" t="s">
        <v>2331</v>
      </c>
      <c r="H1171">
        <f t="shared" si="21"/>
        <v>15</v>
      </c>
      <c r="M1171">
        <v>1.0888999999999999E-2</v>
      </c>
      <c r="N1171">
        <v>2213.15893554688</v>
      </c>
      <c r="O1171">
        <v>738.7269</v>
      </c>
      <c r="P1171">
        <v>2213.14794921875</v>
      </c>
      <c r="Q1171">
        <v>738.72332763671795</v>
      </c>
      <c r="R1171">
        <v>3</v>
      </c>
      <c r="S1171">
        <v>6</v>
      </c>
      <c r="T1171">
        <v>15</v>
      </c>
      <c r="U1171">
        <v>41.260370000000002</v>
      </c>
      <c r="V1171">
        <v>2482994</v>
      </c>
    </row>
    <row r="1172" spans="1:22" x14ac:dyDescent="0.25">
      <c r="A1172" t="s">
        <v>4391</v>
      </c>
      <c r="B1172" t="s">
        <v>4392</v>
      </c>
      <c r="C1172">
        <v>297</v>
      </c>
      <c r="D1172">
        <v>99</v>
      </c>
      <c r="E1172">
        <v>99</v>
      </c>
      <c r="F1172" t="s">
        <v>564</v>
      </c>
      <c r="G1172" t="s">
        <v>564</v>
      </c>
      <c r="H1172">
        <f t="shared" si="21"/>
        <v>9</v>
      </c>
      <c r="M1172" s="1">
        <v>8.4854196757078205E-3</v>
      </c>
      <c r="N1172">
        <v>1640.80187988281</v>
      </c>
      <c r="O1172">
        <v>821.40819999999906</v>
      </c>
      <c r="P1172">
        <v>1640.79333496094</v>
      </c>
      <c r="Q1172">
        <v>821.40393066406205</v>
      </c>
      <c r="R1172">
        <v>2</v>
      </c>
      <c r="S1172">
        <v>1</v>
      </c>
      <c r="T1172">
        <v>12</v>
      </c>
      <c r="U1172">
        <v>55.332470000000001</v>
      </c>
      <c r="V1172">
        <v>92622.77</v>
      </c>
    </row>
    <row r="1173" spans="1:22" x14ac:dyDescent="0.25">
      <c r="A1173" t="s">
        <v>4391</v>
      </c>
      <c r="B1173" t="s">
        <v>4392</v>
      </c>
      <c r="C1173">
        <v>297</v>
      </c>
      <c r="D1173">
        <v>99</v>
      </c>
      <c r="E1173">
        <v>99</v>
      </c>
      <c r="F1173" t="s">
        <v>564</v>
      </c>
      <c r="G1173" t="s">
        <v>564</v>
      </c>
      <c r="H1173">
        <f t="shared" si="21"/>
        <v>9</v>
      </c>
      <c r="L1173" t="s">
        <v>1408</v>
      </c>
      <c r="M1173" s="1">
        <v>1.67977008968592E-2</v>
      </c>
      <c r="N1173">
        <v>2032.02807617188</v>
      </c>
      <c r="O1173">
        <v>678.35</v>
      </c>
      <c r="P1173">
        <v>2032.01135253906</v>
      </c>
      <c r="Q1173">
        <v>678.34436035156205</v>
      </c>
      <c r="R1173">
        <v>3</v>
      </c>
      <c r="S1173">
        <v>1</v>
      </c>
      <c r="T1173">
        <v>12</v>
      </c>
      <c r="U1173">
        <v>40.44903</v>
      </c>
      <c r="V1173">
        <v>340507.9</v>
      </c>
    </row>
    <row r="1174" spans="1:22" x14ac:dyDescent="0.25">
      <c r="A1174" t="s">
        <v>4569</v>
      </c>
      <c r="B1174" t="s">
        <v>4570</v>
      </c>
      <c r="C1174">
        <v>566</v>
      </c>
      <c r="D1174">
        <v>97.7</v>
      </c>
      <c r="E1174">
        <v>97.69</v>
      </c>
      <c r="F1174" t="s">
        <v>4571</v>
      </c>
      <c r="G1174" t="s">
        <v>4571</v>
      </c>
      <c r="H1174">
        <f t="shared" si="21"/>
        <v>9</v>
      </c>
      <c r="M1174" s="1">
        <v>8.7201399728655694E-3</v>
      </c>
      <c r="N1174">
        <v>1885.03967285156</v>
      </c>
      <c r="O1174">
        <v>629.35379999999896</v>
      </c>
      <c r="P1174">
        <v>1885.03088378906</v>
      </c>
      <c r="Q1174">
        <v>629.35089111328102</v>
      </c>
      <c r="R1174">
        <v>3</v>
      </c>
      <c r="S1174">
        <v>1</v>
      </c>
      <c r="T1174">
        <v>11</v>
      </c>
      <c r="U1174">
        <v>27.268820000000002</v>
      </c>
      <c r="V1174">
        <v>369294.9</v>
      </c>
    </row>
    <row r="1175" spans="1:22" x14ac:dyDescent="0.25">
      <c r="A1175" t="s">
        <v>2661</v>
      </c>
      <c r="B1175" t="s">
        <v>2662</v>
      </c>
      <c r="C1175">
        <v>354</v>
      </c>
      <c r="D1175">
        <v>96.8</v>
      </c>
      <c r="E1175">
        <v>96.77</v>
      </c>
      <c r="F1175" t="s">
        <v>2663</v>
      </c>
      <c r="G1175" t="s">
        <v>2663</v>
      </c>
      <c r="H1175">
        <f t="shared" si="21"/>
        <v>10</v>
      </c>
      <c r="M1175" s="1">
        <v>5.7096597738563902E-3</v>
      </c>
      <c r="N1175">
        <v>1577.79943847656</v>
      </c>
      <c r="O1175">
        <v>789.90700000000004</v>
      </c>
      <c r="P1175">
        <v>1577.79370117188</v>
      </c>
      <c r="Q1175">
        <v>789.90411376953102</v>
      </c>
      <c r="R1175">
        <v>2</v>
      </c>
      <c r="S1175">
        <v>1</v>
      </c>
      <c r="T1175">
        <v>9</v>
      </c>
      <c r="U1175">
        <v>40.879530000000003</v>
      </c>
      <c r="V1175">
        <v>147671.1</v>
      </c>
    </row>
    <row r="1176" spans="1:22" x14ac:dyDescent="0.25">
      <c r="A1176" t="s">
        <v>2661</v>
      </c>
      <c r="B1176" t="s">
        <v>2662</v>
      </c>
      <c r="C1176">
        <v>354</v>
      </c>
      <c r="D1176">
        <v>99</v>
      </c>
      <c r="E1176">
        <v>99</v>
      </c>
      <c r="F1176" t="s">
        <v>2663</v>
      </c>
      <c r="G1176" t="s">
        <v>2663</v>
      </c>
      <c r="H1176">
        <f t="shared" si="21"/>
        <v>10</v>
      </c>
      <c r="L1176" t="s">
        <v>43</v>
      </c>
      <c r="M1176" s="1">
        <v>3.46932001411915E-3</v>
      </c>
      <c r="N1176">
        <v>1622.80090332031</v>
      </c>
      <c r="O1176">
        <v>812.40769999999895</v>
      </c>
      <c r="P1176">
        <v>1622.79736328125</v>
      </c>
      <c r="Q1176">
        <v>812.406005859375</v>
      </c>
      <c r="R1176">
        <v>2</v>
      </c>
      <c r="S1176">
        <v>1</v>
      </c>
      <c r="T1176">
        <v>14</v>
      </c>
      <c r="U1176">
        <v>26.33277</v>
      </c>
      <c r="V1176">
        <v>307222.5</v>
      </c>
    </row>
    <row r="1177" spans="1:22" x14ac:dyDescent="0.25">
      <c r="A1177" t="s">
        <v>1662</v>
      </c>
      <c r="B1177" t="s">
        <v>1663</v>
      </c>
      <c r="C1177">
        <v>154</v>
      </c>
      <c r="D1177">
        <v>98.7</v>
      </c>
      <c r="E1177">
        <v>98.74</v>
      </c>
      <c r="F1177" t="s">
        <v>1664</v>
      </c>
      <c r="G1177" t="s">
        <v>1664</v>
      </c>
      <c r="H1177">
        <f t="shared" si="21"/>
        <v>9</v>
      </c>
      <c r="M1177" s="1">
        <v>-3.36718000471591E-3</v>
      </c>
      <c r="N1177">
        <v>1916.95983886719</v>
      </c>
      <c r="O1177">
        <v>639.99390000000005</v>
      </c>
      <c r="P1177">
        <v>1916.96325683594</v>
      </c>
      <c r="Q1177">
        <v>639.99499511718705</v>
      </c>
      <c r="R1177">
        <v>3</v>
      </c>
      <c r="S1177">
        <v>1</v>
      </c>
      <c r="T1177">
        <v>11</v>
      </c>
      <c r="U1177">
        <v>40.826529999999899</v>
      </c>
      <c r="V1177">
        <v>221749</v>
      </c>
    </row>
    <row r="1178" spans="1:22" x14ac:dyDescent="0.25">
      <c r="A1178" t="s">
        <v>2352</v>
      </c>
      <c r="B1178" t="s">
        <v>2353</v>
      </c>
      <c r="C1178">
        <v>50</v>
      </c>
      <c r="D1178">
        <v>98.7</v>
      </c>
      <c r="E1178">
        <v>98.7</v>
      </c>
      <c r="F1178" t="s">
        <v>2354</v>
      </c>
      <c r="G1178" t="s">
        <v>2354</v>
      </c>
      <c r="H1178">
        <f t="shared" si="21"/>
        <v>16</v>
      </c>
      <c r="M1178">
        <v>4.2090000000000001E-3</v>
      </c>
      <c r="N1178">
        <v>1730.97216796875</v>
      </c>
      <c r="O1178">
        <v>577.99800000000005</v>
      </c>
      <c r="P1178">
        <v>1730.96789550781</v>
      </c>
      <c r="Q1178">
        <v>577.99658203125</v>
      </c>
      <c r="R1178">
        <v>3</v>
      </c>
      <c r="S1178">
        <v>1</v>
      </c>
      <c r="T1178">
        <v>13</v>
      </c>
      <c r="U1178">
        <v>48.0952699999999</v>
      </c>
      <c r="V1178">
        <v>302416.7</v>
      </c>
    </row>
    <row r="1179" spans="1:22" x14ac:dyDescent="0.25">
      <c r="A1179" t="s">
        <v>4339</v>
      </c>
      <c r="B1179" t="s">
        <v>4340</v>
      </c>
      <c r="C1179">
        <v>50</v>
      </c>
      <c r="D1179">
        <v>99</v>
      </c>
      <c r="E1179">
        <v>99</v>
      </c>
      <c r="F1179" t="s">
        <v>4341</v>
      </c>
      <c r="G1179" t="s">
        <v>4341</v>
      </c>
      <c r="H1179">
        <f t="shared" si="21"/>
        <v>12</v>
      </c>
      <c r="M1179" s="1">
        <v>1.047039963305E-2</v>
      </c>
      <c r="N1179">
        <v>2055.18334960938</v>
      </c>
      <c r="O1179">
        <v>514.80309999999895</v>
      </c>
      <c r="P1179">
        <v>2055.1728515625</v>
      </c>
      <c r="Q1179">
        <v>514.80047607421795</v>
      </c>
      <c r="R1179">
        <v>4</v>
      </c>
      <c r="S1179">
        <v>2</v>
      </c>
      <c r="T1179">
        <v>12</v>
      </c>
      <c r="U1179">
        <v>39.835850000000001</v>
      </c>
      <c r="V1179">
        <v>414194.7</v>
      </c>
    </row>
    <row r="1180" spans="1:22" x14ac:dyDescent="0.25">
      <c r="A1180" t="s">
        <v>4339</v>
      </c>
      <c r="B1180" t="s">
        <v>4340</v>
      </c>
      <c r="C1180">
        <v>651</v>
      </c>
      <c r="D1180">
        <v>99</v>
      </c>
      <c r="E1180">
        <v>99</v>
      </c>
      <c r="F1180" t="s">
        <v>4342</v>
      </c>
      <c r="G1180" t="s">
        <v>4342</v>
      </c>
      <c r="H1180">
        <f t="shared" si="21"/>
        <v>17</v>
      </c>
      <c r="M1180" s="1">
        <v>5.1957601681351601E-3</v>
      </c>
      <c r="N1180">
        <v>1697.87890625</v>
      </c>
      <c r="O1180">
        <v>849.94669999999905</v>
      </c>
      <c r="P1180">
        <v>1697.87365722656</v>
      </c>
      <c r="Q1180">
        <v>849.944091796875</v>
      </c>
      <c r="R1180">
        <v>2</v>
      </c>
      <c r="S1180">
        <v>1</v>
      </c>
      <c r="T1180">
        <v>13</v>
      </c>
      <c r="U1180">
        <v>41.7398799999999</v>
      </c>
      <c r="V1180">
        <v>232784</v>
      </c>
    </row>
    <row r="1181" spans="1:22" x14ac:dyDescent="0.25">
      <c r="A1181" t="s">
        <v>1964</v>
      </c>
      <c r="B1181" t="s">
        <v>1965</v>
      </c>
      <c r="C1181">
        <v>236</v>
      </c>
      <c r="D1181">
        <v>99</v>
      </c>
      <c r="E1181">
        <v>99</v>
      </c>
      <c r="F1181" t="s">
        <v>1966</v>
      </c>
      <c r="G1181" t="s">
        <v>1966</v>
      </c>
      <c r="H1181">
        <f t="shared" si="21"/>
        <v>16</v>
      </c>
      <c r="M1181" s="1">
        <v>9.9992398172616907E-3</v>
      </c>
      <c r="N1181">
        <v>1954.94128417969</v>
      </c>
      <c r="O1181">
        <v>978.47789999999895</v>
      </c>
      <c r="P1181">
        <v>1954.93127441406</v>
      </c>
      <c r="Q1181">
        <v>978.472900390625</v>
      </c>
      <c r="R1181">
        <v>2</v>
      </c>
      <c r="S1181">
        <v>2</v>
      </c>
      <c r="T1181">
        <v>9</v>
      </c>
      <c r="U1181">
        <v>43.097180000000002</v>
      </c>
      <c r="V1181">
        <v>105993.7</v>
      </c>
    </row>
    <row r="1182" spans="1:22" x14ac:dyDescent="0.25">
      <c r="A1182" t="s">
        <v>3338</v>
      </c>
      <c r="B1182" t="s">
        <v>3339</v>
      </c>
      <c r="C1182">
        <v>571</v>
      </c>
      <c r="D1182">
        <v>98.6</v>
      </c>
      <c r="E1182">
        <v>98.56</v>
      </c>
      <c r="F1182" t="s">
        <v>3340</v>
      </c>
      <c r="G1182" t="s">
        <v>3340</v>
      </c>
      <c r="H1182">
        <f t="shared" si="21"/>
        <v>9</v>
      </c>
      <c r="M1182" s="1">
        <v>3.2278199214488199E-3</v>
      </c>
      <c r="N1182">
        <v>1169.611328125</v>
      </c>
      <c r="O1182">
        <v>585.81290000000001</v>
      </c>
      <c r="P1182">
        <v>1169.60803222656</v>
      </c>
      <c r="Q1182">
        <v>585.81134033203102</v>
      </c>
      <c r="R1182">
        <v>2</v>
      </c>
      <c r="S1182">
        <v>4</v>
      </c>
      <c r="T1182">
        <v>10</v>
      </c>
      <c r="U1182">
        <v>44.0623</v>
      </c>
      <c r="V1182">
        <v>252472.5</v>
      </c>
    </row>
    <row r="1183" spans="1:22" x14ac:dyDescent="0.25">
      <c r="A1183" t="s">
        <v>4474</v>
      </c>
      <c r="B1183" t="s">
        <v>4475</v>
      </c>
      <c r="C1183">
        <v>2</v>
      </c>
      <c r="D1183">
        <v>99</v>
      </c>
      <c r="E1183">
        <v>99</v>
      </c>
      <c r="F1183" t="s">
        <v>4476</v>
      </c>
      <c r="G1183" t="s">
        <v>4476</v>
      </c>
      <c r="H1183">
        <f t="shared" si="21"/>
        <v>8</v>
      </c>
      <c r="M1183">
        <v>6.1409999999999998E-3</v>
      </c>
      <c r="N1183">
        <v>1135.59350585938</v>
      </c>
      <c r="O1183">
        <v>568.80399999999895</v>
      </c>
      <c r="P1183">
        <v>1135.58728027344</v>
      </c>
      <c r="Q1183">
        <v>568.80096435546795</v>
      </c>
      <c r="R1183">
        <v>2</v>
      </c>
      <c r="S1183">
        <v>1</v>
      </c>
      <c r="T1183">
        <v>8</v>
      </c>
      <c r="U1183">
        <v>41.684130000000003</v>
      </c>
      <c r="V1183">
        <v>99706.25</v>
      </c>
    </row>
    <row r="1184" spans="1:22" x14ac:dyDescent="0.25">
      <c r="A1184" t="s">
        <v>4082</v>
      </c>
      <c r="B1184" t="s">
        <v>4083</v>
      </c>
      <c r="C1184">
        <v>711</v>
      </c>
      <c r="D1184">
        <v>98.5</v>
      </c>
      <c r="E1184">
        <v>98.5</v>
      </c>
      <c r="F1184" t="s">
        <v>4084</v>
      </c>
      <c r="G1184" t="s">
        <v>4084</v>
      </c>
      <c r="H1184">
        <f t="shared" si="21"/>
        <v>10</v>
      </c>
      <c r="M1184" s="1">
        <v>2.70271999761461E-3</v>
      </c>
      <c r="N1184">
        <v>1349.7119140625</v>
      </c>
      <c r="O1184">
        <v>675.86320000000001</v>
      </c>
      <c r="P1184">
        <v>1349.70922851563</v>
      </c>
      <c r="Q1184">
        <v>675.86187744140602</v>
      </c>
      <c r="R1184">
        <v>2</v>
      </c>
      <c r="S1184">
        <v>1</v>
      </c>
      <c r="T1184">
        <v>9</v>
      </c>
      <c r="U1184">
        <v>39.450530000000001</v>
      </c>
      <c r="V1184">
        <v>112169.7</v>
      </c>
    </row>
    <row r="1185" spans="1:22" x14ac:dyDescent="0.25">
      <c r="A1185" t="s">
        <v>3553</v>
      </c>
      <c r="B1185" t="s">
        <v>3554</v>
      </c>
      <c r="C1185">
        <v>289</v>
      </c>
      <c r="D1185">
        <v>99</v>
      </c>
      <c r="E1185">
        <v>99</v>
      </c>
      <c r="F1185" t="s">
        <v>3555</v>
      </c>
      <c r="G1185" t="s">
        <v>3555</v>
      </c>
      <c r="H1185">
        <f t="shared" si="21"/>
        <v>14</v>
      </c>
      <c r="M1185" s="1">
        <v>6.1631500720977801E-3</v>
      </c>
      <c r="N1185">
        <v>1522.79943847656</v>
      </c>
      <c r="O1185">
        <v>762.40700000000004</v>
      </c>
      <c r="P1185">
        <v>1522.79321289063</v>
      </c>
      <c r="Q1185">
        <v>762.40393066406205</v>
      </c>
      <c r="R1185">
        <v>2</v>
      </c>
      <c r="S1185">
        <v>1</v>
      </c>
      <c r="T1185">
        <v>9</v>
      </c>
      <c r="U1185">
        <v>37.206090000000003</v>
      </c>
      <c r="V1185">
        <v>40738.49</v>
      </c>
    </row>
    <row r="1186" spans="1:22" x14ac:dyDescent="0.25">
      <c r="A1186" t="s">
        <v>2898</v>
      </c>
      <c r="B1186" t="s">
        <v>2899</v>
      </c>
      <c r="C1186">
        <v>223</v>
      </c>
      <c r="D1186">
        <v>97.1</v>
      </c>
      <c r="E1186">
        <v>97.1</v>
      </c>
      <c r="F1186" t="s">
        <v>2900</v>
      </c>
      <c r="G1186" t="s">
        <v>2900</v>
      </c>
      <c r="H1186">
        <f t="shared" si="21"/>
        <v>9</v>
      </c>
      <c r="M1186" s="1">
        <v>3.3743600361049201E-3</v>
      </c>
      <c r="N1186">
        <v>1225.68933105469</v>
      </c>
      <c r="O1186">
        <v>613.8519</v>
      </c>
      <c r="P1186">
        <v>1225.68591308594</v>
      </c>
      <c r="Q1186">
        <v>613.85021972656205</v>
      </c>
      <c r="R1186">
        <v>2</v>
      </c>
      <c r="S1186">
        <v>3</v>
      </c>
      <c r="T1186">
        <v>9</v>
      </c>
      <c r="U1186">
        <v>54.65222</v>
      </c>
      <c r="V1186">
        <v>270828.3</v>
      </c>
    </row>
    <row r="1187" spans="1:22" x14ac:dyDescent="0.25">
      <c r="A1187" t="s">
        <v>3179</v>
      </c>
      <c r="B1187" t="s">
        <v>3180</v>
      </c>
      <c r="C1187">
        <v>717</v>
      </c>
      <c r="D1187">
        <v>98.7</v>
      </c>
      <c r="E1187">
        <v>98.72</v>
      </c>
      <c r="F1187" t="s">
        <v>3181</v>
      </c>
      <c r="G1187" t="s">
        <v>3181</v>
      </c>
      <c r="H1187">
        <f t="shared" si="21"/>
        <v>9</v>
      </c>
      <c r="M1187">
        <v>2.3890000000000001E-3</v>
      </c>
      <c r="N1187">
        <v>1026.55224609375</v>
      </c>
      <c r="O1187">
        <v>514.28340000000003</v>
      </c>
      <c r="P1187">
        <v>1026.5498046875</v>
      </c>
      <c r="Q1187">
        <v>514.28216552734295</v>
      </c>
      <c r="R1187">
        <v>2</v>
      </c>
      <c r="S1187">
        <v>1</v>
      </c>
      <c r="T1187">
        <v>11</v>
      </c>
      <c r="U1187">
        <v>39.489570000000001</v>
      </c>
      <c r="V1187">
        <v>724131.1</v>
      </c>
    </row>
    <row r="1188" spans="1:22" x14ac:dyDescent="0.25">
      <c r="A1188" t="s">
        <v>2750</v>
      </c>
      <c r="B1188" t="s">
        <v>2751</v>
      </c>
      <c r="C1188">
        <v>96</v>
      </c>
      <c r="D1188">
        <v>99</v>
      </c>
      <c r="E1188">
        <v>99</v>
      </c>
      <c r="F1188" t="s">
        <v>2752</v>
      </c>
      <c r="G1188" t="s">
        <v>2752</v>
      </c>
      <c r="H1188">
        <f t="shared" si="21"/>
        <v>13</v>
      </c>
      <c r="M1188">
        <v>2.7169999999999998E-3</v>
      </c>
      <c r="N1188">
        <v>1123.64172363281</v>
      </c>
      <c r="O1188">
        <v>562.82809999999904</v>
      </c>
      <c r="P1188">
        <v>1123.63903808594</v>
      </c>
      <c r="Q1188">
        <v>562.82678222656205</v>
      </c>
      <c r="R1188">
        <v>2</v>
      </c>
      <c r="S1188">
        <v>1</v>
      </c>
      <c r="T1188">
        <v>12</v>
      </c>
      <c r="U1188">
        <v>47.26972</v>
      </c>
      <c r="V1188">
        <v>643827.80000000005</v>
      </c>
    </row>
    <row r="1189" spans="1:22" x14ac:dyDescent="0.25">
      <c r="A1189" t="s">
        <v>2750</v>
      </c>
      <c r="B1189" t="s">
        <v>2751</v>
      </c>
      <c r="C1189">
        <v>96</v>
      </c>
      <c r="D1189">
        <v>99</v>
      </c>
      <c r="E1189">
        <v>99</v>
      </c>
      <c r="F1189" t="s">
        <v>2753</v>
      </c>
      <c r="G1189" t="s">
        <v>2753</v>
      </c>
      <c r="H1189">
        <f t="shared" si="21"/>
        <v>15</v>
      </c>
      <c r="M1189" s="1">
        <v>8.7422495707869408E-3</v>
      </c>
      <c r="N1189">
        <v>1473.75512695313</v>
      </c>
      <c r="O1189">
        <v>737.88480000000004</v>
      </c>
      <c r="P1189">
        <v>1473.74633789063</v>
      </c>
      <c r="Q1189">
        <v>737.88043212890602</v>
      </c>
      <c r="R1189">
        <v>2</v>
      </c>
      <c r="S1189">
        <v>1</v>
      </c>
      <c r="T1189">
        <v>9</v>
      </c>
      <c r="U1189">
        <v>46.8642299999999</v>
      </c>
      <c r="V1189">
        <v>100984.7</v>
      </c>
    </row>
    <row r="1190" spans="1:22" x14ac:dyDescent="0.25">
      <c r="A1190" t="s">
        <v>2750</v>
      </c>
      <c r="B1190" t="s">
        <v>2751</v>
      </c>
      <c r="C1190">
        <v>235</v>
      </c>
      <c r="D1190">
        <v>99</v>
      </c>
      <c r="E1190">
        <v>99</v>
      </c>
      <c r="F1190" t="s">
        <v>2754</v>
      </c>
      <c r="G1190" t="s">
        <v>2754</v>
      </c>
      <c r="H1190">
        <f t="shared" si="21"/>
        <v>9</v>
      </c>
      <c r="M1190" s="1">
        <v>1.8552100285887701E-2</v>
      </c>
      <c r="N1190">
        <v>2069.07666015625</v>
      </c>
      <c r="O1190">
        <v>690.69949999999903</v>
      </c>
      <c r="P1190">
        <v>2069.05810546875</v>
      </c>
      <c r="Q1190">
        <v>690.693359375</v>
      </c>
      <c r="R1190">
        <v>3</v>
      </c>
      <c r="S1190">
        <v>1</v>
      </c>
      <c r="T1190">
        <v>13</v>
      </c>
      <c r="U1190">
        <v>43.77467</v>
      </c>
      <c r="V1190">
        <v>60491.89</v>
      </c>
    </row>
    <row r="1191" spans="1:22" x14ac:dyDescent="0.25">
      <c r="A1191" t="s">
        <v>3438</v>
      </c>
      <c r="B1191" t="s">
        <v>3439</v>
      </c>
      <c r="C1191">
        <v>288</v>
      </c>
      <c r="D1191">
        <v>97.8</v>
      </c>
      <c r="E1191">
        <v>97.81</v>
      </c>
      <c r="F1191" t="s">
        <v>3440</v>
      </c>
      <c r="G1191" t="s">
        <v>3440</v>
      </c>
      <c r="H1191">
        <f t="shared" si="21"/>
        <v>10</v>
      </c>
      <c r="M1191" s="1">
        <v>4.2819101363420504E-3</v>
      </c>
      <c r="N1191">
        <v>1173.64770507813</v>
      </c>
      <c r="O1191">
        <v>587.83109999999897</v>
      </c>
      <c r="P1191">
        <v>1173.64343261719</v>
      </c>
      <c r="Q1191">
        <v>587.82897949218705</v>
      </c>
      <c r="R1191">
        <v>2</v>
      </c>
      <c r="S1191">
        <v>2</v>
      </c>
      <c r="T1191">
        <v>13</v>
      </c>
      <c r="U1191">
        <v>37.355820000000001</v>
      </c>
      <c r="V1191">
        <v>631069.6</v>
      </c>
    </row>
    <row r="1192" spans="1:22" x14ac:dyDescent="0.25">
      <c r="A1192" t="s">
        <v>4376</v>
      </c>
      <c r="B1192" t="s">
        <v>4377</v>
      </c>
      <c r="C1192">
        <v>160</v>
      </c>
      <c r="D1192">
        <v>99</v>
      </c>
      <c r="E1192">
        <v>99</v>
      </c>
      <c r="F1192" t="s">
        <v>4378</v>
      </c>
      <c r="G1192" t="s">
        <v>4378</v>
      </c>
      <c r="H1192">
        <f t="shared" si="21"/>
        <v>16</v>
      </c>
      <c r="M1192" s="1">
        <v>5.75000001117587E-3</v>
      </c>
      <c r="N1192">
        <v>1151.57092285156</v>
      </c>
      <c r="O1192">
        <v>576.79269999999894</v>
      </c>
      <c r="P1192">
        <v>1151.56518554688</v>
      </c>
      <c r="Q1192">
        <v>576.78985595703102</v>
      </c>
      <c r="R1192">
        <v>2</v>
      </c>
      <c r="S1192">
        <v>1</v>
      </c>
      <c r="T1192">
        <v>9</v>
      </c>
      <c r="U1192">
        <v>42.0197</v>
      </c>
      <c r="V1192">
        <v>355291.3</v>
      </c>
    </row>
    <row r="1193" spans="1:22" x14ac:dyDescent="0.25">
      <c r="A1193" t="s">
        <v>793</v>
      </c>
      <c r="B1193" t="s">
        <v>794</v>
      </c>
      <c r="C1193">
        <v>27</v>
      </c>
      <c r="D1193">
        <v>97.4</v>
      </c>
      <c r="E1193">
        <v>97.38</v>
      </c>
      <c r="F1193" t="s">
        <v>795</v>
      </c>
      <c r="G1193" t="s">
        <v>795</v>
      </c>
      <c r="H1193">
        <f t="shared" si="21"/>
        <v>12</v>
      </c>
      <c r="M1193" s="1">
        <v>6.2097897753119503E-3</v>
      </c>
      <c r="N1193">
        <v>2779.4501953125</v>
      </c>
      <c r="O1193">
        <v>695.86980000000005</v>
      </c>
      <c r="P1193">
        <v>2779.44384765625</v>
      </c>
      <c r="Q1193">
        <v>695.86828613281205</v>
      </c>
      <c r="R1193">
        <v>4</v>
      </c>
      <c r="S1193">
        <v>1</v>
      </c>
      <c r="T1193">
        <v>12</v>
      </c>
      <c r="U1193">
        <v>29.9664199999999</v>
      </c>
      <c r="V1193">
        <v>347019.8</v>
      </c>
    </row>
    <row r="1194" spans="1:22" x14ac:dyDescent="0.25">
      <c r="A1194" t="s">
        <v>1042</v>
      </c>
      <c r="B1194" t="s">
        <v>1043</v>
      </c>
      <c r="C1194">
        <v>39</v>
      </c>
      <c r="D1194">
        <v>99</v>
      </c>
      <c r="E1194">
        <v>99</v>
      </c>
      <c r="F1194" t="s">
        <v>1044</v>
      </c>
      <c r="G1194" t="s">
        <v>1044</v>
      </c>
      <c r="H1194">
        <f t="shared" si="21"/>
        <v>9</v>
      </c>
      <c r="M1194">
        <v>-2.3E-5</v>
      </c>
      <c r="N1194">
        <v>993.54949951171795</v>
      </c>
      <c r="O1194">
        <v>497.78199999999902</v>
      </c>
      <c r="P1194">
        <v>993.54949951171795</v>
      </c>
      <c r="Q1194">
        <v>497.78201293945301</v>
      </c>
      <c r="R1194">
        <v>2</v>
      </c>
      <c r="S1194">
        <v>2</v>
      </c>
      <c r="T1194">
        <v>11</v>
      </c>
      <c r="U1194">
        <v>27.411919999999899</v>
      </c>
      <c r="V1194">
        <v>268785.2</v>
      </c>
    </row>
    <row r="1195" spans="1:22" x14ac:dyDescent="0.25">
      <c r="A1195" t="s">
        <v>1033</v>
      </c>
      <c r="B1195" t="s">
        <v>1034</v>
      </c>
      <c r="C1195">
        <v>112</v>
      </c>
      <c r="D1195">
        <v>97.5</v>
      </c>
      <c r="E1195">
        <v>97.51</v>
      </c>
      <c r="F1195" t="s">
        <v>1035</v>
      </c>
      <c r="G1195" t="s">
        <v>1035</v>
      </c>
      <c r="H1195">
        <f t="shared" si="21"/>
        <v>17</v>
      </c>
      <c r="M1195" s="1">
        <v>1.25406002625823E-2</v>
      </c>
      <c r="N1195">
        <v>1778.90771484375</v>
      </c>
      <c r="O1195">
        <v>890.46109999999896</v>
      </c>
      <c r="P1195">
        <v>1778.89514160156</v>
      </c>
      <c r="Q1195">
        <v>890.454833984375</v>
      </c>
      <c r="R1195">
        <v>2</v>
      </c>
      <c r="S1195">
        <v>1</v>
      </c>
      <c r="T1195">
        <v>10</v>
      </c>
      <c r="U1195">
        <v>46.796080000000003</v>
      </c>
      <c r="V1195">
        <v>75106.98</v>
      </c>
    </row>
    <row r="1196" spans="1:22" x14ac:dyDescent="0.25">
      <c r="A1196" t="s">
        <v>4675</v>
      </c>
      <c r="B1196" t="s">
        <v>4676</v>
      </c>
      <c r="C1196">
        <v>73</v>
      </c>
      <c r="D1196">
        <v>98.2</v>
      </c>
      <c r="E1196">
        <v>98.2</v>
      </c>
      <c r="F1196" t="s">
        <v>4677</v>
      </c>
      <c r="G1196" t="s">
        <v>4677</v>
      </c>
      <c r="H1196">
        <f t="shared" si="21"/>
        <v>9</v>
      </c>
      <c r="M1196">
        <v>2.3630000000000001E-3</v>
      </c>
      <c r="N1196">
        <v>1041.52673339844</v>
      </c>
      <c r="O1196">
        <v>521.77059999999904</v>
      </c>
      <c r="P1196">
        <v>1041.52429199219</v>
      </c>
      <c r="Q1196">
        <v>521.76947021484295</v>
      </c>
      <c r="R1196">
        <v>2</v>
      </c>
      <c r="S1196">
        <v>1</v>
      </c>
      <c r="T1196">
        <v>12</v>
      </c>
      <c r="U1196">
        <v>30.661930000000002</v>
      </c>
      <c r="V1196">
        <v>3270418</v>
      </c>
    </row>
    <row r="1197" spans="1:22" x14ac:dyDescent="0.25">
      <c r="A1197" t="s">
        <v>2115</v>
      </c>
      <c r="B1197" t="s">
        <v>2116</v>
      </c>
      <c r="C1197">
        <v>19</v>
      </c>
      <c r="D1197">
        <v>99</v>
      </c>
      <c r="E1197">
        <v>99</v>
      </c>
      <c r="F1197" t="s">
        <v>2117</v>
      </c>
      <c r="G1197" t="s">
        <v>2117</v>
      </c>
      <c r="H1197">
        <f t="shared" si="21"/>
        <v>10</v>
      </c>
      <c r="M1197" s="1">
        <v>5.4407101124525001E-3</v>
      </c>
      <c r="N1197">
        <v>1074.55529785156</v>
      </c>
      <c r="O1197">
        <v>538.28489999999897</v>
      </c>
      <c r="P1197">
        <v>1074.5498046875</v>
      </c>
      <c r="Q1197">
        <v>538.28216552734295</v>
      </c>
      <c r="R1197">
        <v>2</v>
      </c>
      <c r="S1197">
        <v>4</v>
      </c>
      <c r="T1197">
        <v>13</v>
      </c>
      <c r="U1197">
        <v>31.460170000000002</v>
      </c>
      <c r="V1197">
        <v>4919001</v>
      </c>
    </row>
    <row r="1198" spans="1:22" x14ac:dyDescent="0.25">
      <c r="A1198" t="s">
        <v>1100</v>
      </c>
      <c r="B1198" t="s">
        <v>1101</v>
      </c>
      <c r="C1198">
        <v>120</v>
      </c>
      <c r="D1198">
        <v>99</v>
      </c>
      <c r="E1198">
        <v>99</v>
      </c>
      <c r="F1198" t="s">
        <v>1102</v>
      </c>
      <c r="G1198" t="s">
        <v>1102</v>
      </c>
      <c r="H1198">
        <f t="shared" si="21"/>
        <v>11</v>
      </c>
      <c r="M1198" s="1">
        <v>3.86914005503058E-3</v>
      </c>
      <c r="N1198">
        <v>1073.53332519531</v>
      </c>
      <c r="O1198">
        <v>537.77390000000003</v>
      </c>
      <c r="P1198">
        <v>1073.52941894531</v>
      </c>
      <c r="Q1198">
        <v>537.77197265625</v>
      </c>
      <c r="R1198">
        <v>2</v>
      </c>
      <c r="S1198">
        <v>12</v>
      </c>
      <c r="T1198">
        <v>11</v>
      </c>
      <c r="U1198">
        <v>38.974269999999898</v>
      </c>
      <c r="V1198">
        <v>3125303</v>
      </c>
    </row>
    <row r="1199" spans="1:22" x14ac:dyDescent="0.25">
      <c r="A1199" t="s">
        <v>1100</v>
      </c>
      <c r="B1199" t="s">
        <v>1101</v>
      </c>
      <c r="C1199">
        <v>60</v>
      </c>
      <c r="D1199">
        <v>99</v>
      </c>
      <c r="E1199">
        <v>99</v>
      </c>
      <c r="F1199" t="s">
        <v>1103</v>
      </c>
      <c r="G1199" t="s">
        <v>1103</v>
      </c>
      <c r="H1199">
        <f t="shared" si="21"/>
        <v>18</v>
      </c>
      <c r="M1199" s="1">
        <v>3.04917991161346E-3</v>
      </c>
      <c r="N1199">
        <v>1702.98010253906</v>
      </c>
      <c r="O1199">
        <v>852.4973</v>
      </c>
      <c r="P1199">
        <v>1702.97705078125</v>
      </c>
      <c r="Q1199">
        <v>852.49578857421795</v>
      </c>
      <c r="R1199">
        <v>2</v>
      </c>
      <c r="S1199">
        <v>3</v>
      </c>
      <c r="T1199">
        <v>12</v>
      </c>
      <c r="U1199">
        <v>30.4043999999999</v>
      </c>
      <c r="V1199">
        <v>154279</v>
      </c>
    </row>
    <row r="1200" spans="1:22" x14ac:dyDescent="0.25">
      <c r="A1200" t="s">
        <v>1100</v>
      </c>
      <c r="B1200" t="s">
        <v>1101</v>
      </c>
      <c r="C1200">
        <v>60</v>
      </c>
      <c r="D1200">
        <v>99</v>
      </c>
      <c r="E1200">
        <v>99</v>
      </c>
      <c r="F1200" t="s">
        <v>1103</v>
      </c>
      <c r="G1200" t="s">
        <v>1103</v>
      </c>
      <c r="H1200">
        <f t="shared" si="21"/>
        <v>18</v>
      </c>
      <c r="L1200" t="s">
        <v>1104</v>
      </c>
      <c r="M1200">
        <v>-6.6E-4</v>
      </c>
      <c r="N1200">
        <v>1220.62573242188</v>
      </c>
      <c r="O1200">
        <v>611.32010000000002</v>
      </c>
      <c r="P1200">
        <v>1220.62634277344</v>
      </c>
      <c r="Q1200">
        <v>611.32043457031205</v>
      </c>
      <c r="R1200">
        <v>2</v>
      </c>
      <c r="S1200">
        <v>5</v>
      </c>
      <c r="T1200">
        <v>12</v>
      </c>
      <c r="U1200">
        <v>45.94388</v>
      </c>
      <c r="V1200">
        <v>5129330</v>
      </c>
    </row>
    <row r="1201" spans="1:22" x14ac:dyDescent="0.25">
      <c r="A1201" t="s">
        <v>838</v>
      </c>
      <c r="B1201" t="s">
        <v>839</v>
      </c>
      <c r="C1201">
        <v>922</v>
      </c>
      <c r="D1201">
        <v>96.9</v>
      </c>
      <c r="E1201">
        <v>96.9</v>
      </c>
      <c r="F1201" t="s">
        <v>840</v>
      </c>
      <c r="G1201" t="s">
        <v>840</v>
      </c>
      <c r="H1201">
        <f t="shared" si="21"/>
        <v>9</v>
      </c>
      <c r="M1201">
        <v>4.3620000000000004E-3</v>
      </c>
      <c r="N1201">
        <v>1000.53204345703</v>
      </c>
      <c r="O1201">
        <v>501.27330000000001</v>
      </c>
      <c r="P1201">
        <v>1000.52764892578</v>
      </c>
      <c r="Q1201">
        <v>501.27111816406301</v>
      </c>
      <c r="R1201">
        <v>2</v>
      </c>
      <c r="S1201">
        <v>1</v>
      </c>
      <c r="T1201">
        <v>11</v>
      </c>
      <c r="U1201">
        <v>26.758900000000001</v>
      </c>
      <c r="V1201">
        <v>4623824</v>
      </c>
    </row>
    <row r="1202" spans="1:22" x14ac:dyDescent="0.25">
      <c r="A1202" t="s">
        <v>1705</v>
      </c>
      <c r="B1202" t="s">
        <v>1706</v>
      </c>
      <c r="C1202">
        <v>4914</v>
      </c>
      <c r="D1202">
        <v>99</v>
      </c>
      <c r="E1202">
        <v>99</v>
      </c>
      <c r="F1202" t="s">
        <v>91</v>
      </c>
      <c r="G1202" t="s">
        <v>91</v>
      </c>
      <c r="H1202">
        <f t="shared" si="21"/>
        <v>9</v>
      </c>
      <c r="M1202" s="1">
        <v>5.4929498583078402E-3</v>
      </c>
      <c r="N1202">
        <v>1479.82531738281</v>
      </c>
      <c r="O1202">
        <v>740.91989999999896</v>
      </c>
      <c r="P1202">
        <v>1479.81982421875</v>
      </c>
      <c r="Q1202">
        <v>740.91717529296795</v>
      </c>
      <c r="R1202">
        <v>2</v>
      </c>
      <c r="S1202">
        <v>2</v>
      </c>
      <c r="T1202">
        <v>12</v>
      </c>
      <c r="U1202">
        <v>34.585099999999898</v>
      </c>
      <c r="V1202">
        <v>339915.8</v>
      </c>
    </row>
    <row r="1203" spans="1:22" x14ac:dyDescent="0.25">
      <c r="A1203" t="s">
        <v>3987</v>
      </c>
      <c r="B1203" t="s">
        <v>3988</v>
      </c>
      <c r="C1203">
        <v>143</v>
      </c>
      <c r="D1203">
        <v>99</v>
      </c>
      <c r="E1203">
        <v>99</v>
      </c>
      <c r="F1203" t="s">
        <v>3989</v>
      </c>
      <c r="G1203" t="s">
        <v>3989</v>
      </c>
      <c r="H1203">
        <f t="shared" si="21"/>
        <v>14</v>
      </c>
      <c r="M1203" s="1">
        <v>2.4426199961453598E-3</v>
      </c>
      <c r="N1203">
        <v>1079.615234375</v>
      </c>
      <c r="O1203">
        <v>540.81489999999906</v>
      </c>
      <c r="P1203">
        <v>1079.61279296875</v>
      </c>
      <c r="Q1203">
        <v>540.81365966796795</v>
      </c>
      <c r="R1203">
        <v>2</v>
      </c>
      <c r="S1203">
        <v>1</v>
      </c>
      <c r="T1203">
        <v>11</v>
      </c>
      <c r="U1203">
        <v>45.081829999999897</v>
      </c>
      <c r="V1203">
        <v>383922</v>
      </c>
    </row>
    <row r="1204" spans="1:22" x14ac:dyDescent="0.25">
      <c r="A1204" t="s">
        <v>3987</v>
      </c>
      <c r="B1204" t="s">
        <v>3988</v>
      </c>
      <c r="C1204">
        <v>144</v>
      </c>
      <c r="D1204">
        <v>99</v>
      </c>
      <c r="E1204">
        <v>99</v>
      </c>
      <c r="F1204" t="s">
        <v>3990</v>
      </c>
      <c r="G1204" t="s">
        <v>3990</v>
      </c>
      <c r="H1204">
        <f t="shared" si="21"/>
        <v>13</v>
      </c>
      <c r="M1204" s="1">
        <v>-3.28376004472375E-3</v>
      </c>
      <c r="N1204">
        <v>1089.62622070313</v>
      </c>
      <c r="O1204">
        <v>545.82039999999904</v>
      </c>
      <c r="P1204">
        <v>1089.62951660156</v>
      </c>
      <c r="Q1204">
        <v>545.822021484375</v>
      </c>
      <c r="R1204">
        <v>2</v>
      </c>
      <c r="S1204">
        <v>2</v>
      </c>
      <c r="T1204">
        <v>14</v>
      </c>
      <c r="U1204">
        <v>22.242930000000001</v>
      </c>
      <c r="V1204">
        <v>1414283</v>
      </c>
    </row>
    <row r="1205" spans="1:22" x14ac:dyDescent="0.25">
      <c r="A1205" t="s">
        <v>3668</v>
      </c>
      <c r="B1205" t="s">
        <v>3669</v>
      </c>
      <c r="C1205">
        <v>264</v>
      </c>
      <c r="D1205">
        <v>98.6</v>
      </c>
      <c r="E1205">
        <v>98.64</v>
      </c>
      <c r="F1205" t="s">
        <v>3670</v>
      </c>
      <c r="G1205" t="s">
        <v>3670</v>
      </c>
      <c r="H1205">
        <f t="shared" si="21"/>
        <v>9</v>
      </c>
      <c r="M1205" s="1">
        <v>2.43643997237085E-3</v>
      </c>
      <c r="N1205">
        <v>1125.70471191406</v>
      </c>
      <c r="O1205">
        <v>563.8596</v>
      </c>
      <c r="P1205">
        <v>1125.70227050781</v>
      </c>
      <c r="Q1205">
        <v>563.8583984375</v>
      </c>
      <c r="R1205">
        <v>2</v>
      </c>
      <c r="S1205">
        <v>3</v>
      </c>
      <c r="T1205">
        <v>11</v>
      </c>
      <c r="U1205">
        <v>32.409480000000002</v>
      </c>
      <c r="V1205">
        <v>1034995</v>
      </c>
    </row>
    <row r="1206" spans="1:22" x14ac:dyDescent="0.25">
      <c r="A1206" t="s">
        <v>4089</v>
      </c>
      <c r="B1206" t="s">
        <v>4090</v>
      </c>
      <c r="C1206">
        <v>360</v>
      </c>
      <c r="D1206">
        <v>98.1</v>
      </c>
      <c r="E1206">
        <v>98.1</v>
      </c>
      <c r="F1206" t="s">
        <v>4091</v>
      </c>
      <c r="G1206" t="s">
        <v>4091</v>
      </c>
      <c r="H1206">
        <f t="shared" si="21"/>
        <v>14</v>
      </c>
      <c r="M1206" s="1">
        <v>1.74982997123152E-3</v>
      </c>
      <c r="N1206">
        <v>1125.58361816406</v>
      </c>
      <c r="O1206">
        <v>376.20179999999903</v>
      </c>
      <c r="P1206">
        <v>1125.58190917969</v>
      </c>
      <c r="Q1206">
        <v>376.20123291015602</v>
      </c>
      <c r="R1206">
        <v>3</v>
      </c>
      <c r="S1206">
        <v>2</v>
      </c>
      <c r="T1206">
        <v>11</v>
      </c>
      <c r="U1206">
        <v>33.679380000000002</v>
      </c>
      <c r="V1206">
        <v>501656.6</v>
      </c>
    </row>
    <row r="1207" spans="1:22" x14ac:dyDescent="0.25">
      <c r="A1207" t="s">
        <v>674</v>
      </c>
      <c r="B1207" t="s">
        <v>675</v>
      </c>
      <c r="C1207">
        <v>519</v>
      </c>
      <c r="D1207">
        <v>99</v>
      </c>
      <c r="E1207">
        <v>99</v>
      </c>
      <c r="F1207" t="s">
        <v>676</v>
      </c>
      <c r="G1207" t="s">
        <v>676</v>
      </c>
      <c r="H1207">
        <f t="shared" si="21"/>
        <v>12</v>
      </c>
      <c r="M1207" s="1">
        <v>3.6411900073289902E-3</v>
      </c>
      <c r="N1207">
        <v>1045.62084960938</v>
      </c>
      <c r="O1207">
        <v>523.81769999999904</v>
      </c>
      <c r="P1207">
        <v>1045.6171875</v>
      </c>
      <c r="Q1207">
        <v>523.81585693359295</v>
      </c>
      <c r="R1207">
        <v>2</v>
      </c>
      <c r="S1207">
        <v>5</v>
      </c>
      <c r="T1207">
        <v>13</v>
      </c>
      <c r="U1207">
        <v>50.228020000000001</v>
      </c>
      <c r="V1207">
        <v>1667153</v>
      </c>
    </row>
    <row r="1208" spans="1:22" x14ac:dyDescent="0.25">
      <c r="A1208" t="s">
        <v>674</v>
      </c>
      <c r="B1208" t="s">
        <v>675</v>
      </c>
      <c r="C1208">
        <v>311</v>
      </c>
      <c r="D1208">
        <v>99</v>
      </c>
      <c r="E1208">
        <v>99</v>
      </c>
      <c r="F1208" t="s">
        <v>677</v>
      </c>
      <c r="G1208" t="s">
        <v>677</v>
      </c>
      <c r="H1208">
        <f t="shared" si="21"/>
        <v>14</v>
      </c>
      <c r="M1208" s="1">
        <v>7.4129798449575901E-3</v>
      </c>
      <c r="N1208">
        <v>1160.58752441406</v>
      </c>
      <c r="O1208">
        <v>581.30100000000004</v>
      </c>
      <c r="P1208">
        <v>1160.580078125</v>
      </c>
      <c r="Q1208">
        <v>581.29730224609295</v>
      </c>
      <c r="R1208">
        <v>2</v>
      </c>
      <c r="S1208">
        <v>3</v>
      </c>
      <c r="T1208">
        <v>11</v>
      </c>
      <c r="U1208">
        <v>40.669179999999898</v>
      </c>
      <c r="V1208">
        <v>162614.799999999</v>
      </c>
    </row>
    <row r="1209" spans="1:22" x14ac:dyDescent="0.25">
      <c r="A1209" t="s">
        <v>678</v>
      </c>
      <c r="B1209" t="s">
        <v>679</v>
      </c>
      <c r="C1209">
        <v>521</v>
      </c>
      <c r="D1209">
        <v>99</v>
      </c>
      <c r="E1209">
        <v>99</v>
      </c>
      <c r="F1209" t="s">
        <v>680</v>
      </c>
      <c r="G1209" t="s">
        <v>680</v>
      </c>
      <c r="H1209">
        <f t="shared" si="21"/>
        <v>10</v>
      </c>
      <c r="M1209" s="1">
        <v>6.5083601512014901E-3</v>
      </c>
      <c r="N1209">
        <v>1140.61791992188</v>
      </c>
      <c r="O1209">
        <v>571.31619999999896</v>
      </c>
      <c r="P1209">
        <v>1140.611328125</v>
      </c>
      <c r="Q1209">
        <v>571.31298828125</v>
      </c>
      <c r="R1209">
        <v>2</v>
      </c>
      <c r="S1209">
        <v>7</v>
      </c>
      <c r="T1209">
        <v>12</v>
      </c>
      <c r="U1209">
        <v>34.830019999999898</v>
      </c>
      <c r="V1209">
        <v>500457.6</v>
      </c>
    </row>
    <row r="1210" spans="1:22" x14ac:dyDescent="0.25">
      <c r="A1210" t="s">
        <v>3390</v>
      </c>
      <c r="B1210" t="s">
        <v>3391</v>
      </c>
      <c r="C1210">
        <v>342</v>
      </c>
      <c r="D1210">
        <v>98.4</v>
      </c>
      <c r="E1210">
        <v>98.44</v>
      </c>
      <c r="F1210" t="s">
        <v>3392</v>
      </c>
      <c r="G1210" t="s">
        <v>3392</v>
      </c>
      <c r="H1210">
        <f t="shared" si="21"/>
        <v>10</v>
      </c>
      <c r="L1210" t="s">
        <v>563</v>
      </c>
      <c r="M1210" s="1">
        <v>2.4893399677239402E-4</v>
      </c>
      <c r="N1210">
        <v>1256.67810058594</v>
      </c>
      <c r="O1210">
        <v>629.34630000000004</v>
      </c>
      <c r="P1210">
        <v>1256.67785644531</v>
      </c>
      <c r="Q1210">
        <v>629.34619140625</v>
      </c>
      <c r="R1210">
        <v>2</v>
      </c>
      <c r="S1210">
        <v>2</v>
      </c>
      <c r="T1210">
        <v>9</v>
      </c>
      <c r="U1210">
        <v>20.2040299999999</v>
      </c>
      <c r="V1210">
        <v>168974.1</v>
      </c>
    </row>
    <row r="1211" spans="1:22" x14ac:dyDescent="0.25">
      <c r="A1211" t="s">
        <v>2689</v>
      </c>
      <c r="B1211" t="s">
        <v>2690</v>
      </c>
      <c r="C1211">
        <v>1393</v>
      </c>
      <c r="D1211">
        <v>98.1</v>
      </c>
      <c r="E1211">
        <v>98.06</v>
      </c>
      <c r="F1211" t="s">
        <v>2691</v>
      </c>
      <c r="G1211" t="s">
        <v>2691</v>
      </c>
      <c r="H1211">
        <f t="shared" si="21"/>
        <v>11</v>
      </c>
      <c r="M1211" s="1">
        <v>6.0714798746630398E-4</v>
      </c>
      <c r="N1211">
        <v>1150.65051269531</v>
      </c>
      <c r="O1211">
        <v>576.33249999999896</v>
      </c>
      <c r="P1211">
        <v>1150.64990234375</v>
      </c>
      <c r="Q1211">
        <v>576.33221435546795</v>
      </c>
      <c r="R1211">
        <v>2</v>
      </c>
      <c r="S1211">
        <v>1</v>
      </c>
      <c r="T1211">
        <v>12</v>
      </c>
      <c r="U1211">
        <v>33.61889</v>
      </c>
      <c r="V1211">
        <v>2403625</v>
      </c>
    </row>
    <row r="1212" spans="1:22" x14ac:dyDescent="0.25">
      <c r="A1212" t="s">
        <v>1715</v>
      </c>
      <c r="B1212" t="s">
        <v>1716</v>
      </c>
      <c r="C1212">
        <v>2398</v>
      </c>
      <c r="D1212">
        <v>98.5</v>
      </c>
      <c r="E1212">
        <v>98.54</v>
      </c>
      <c r="F1212" t="s">
        <v>63</v>
      </c>
      <c r="G1212" t="s">
        <v>63</v>
      </c>
      <c r="H1212">
        <f t="shared" si="21"/>
        <v>9</v>
      </c>
      <c r="M1212">
        <v>4.7000000000000002E-3</v>
      </c>
      <c r="N1212">
        <v>2259.08959960938</v>
      </c>
      <c r="O1212">
        <v>754.03710000000001</v>
      </c>
      <c r="P1212">
        <v>2259.08471679688</v>
      </c>
      <c r="Q1212">
        <v>754.03552246093705</v>
      </c>
      <c r="R1212">
        <v>3</v>
      </c>
      <c r="S1212">
        <v>1</v>
      </c>
      <c r="T1212">
        <v>11</v>
      </c>
      <c r="U1212">
        <v>33.514650000000003</v>
      </c>
      <c r="V1212">
        <v>323620.3</v>
      </c>
    </row>
    <row r="1213" spans="1:22" x14ac:dyDescent="0.25">
      <c r="A1213" t="s">
        <v>553</v>
      </c>
      <c r="B1213" t="s">
        <v>554</v>
      </c>
      <c r="C1213">
        <v>1823</v>
      </c>
      <c r="D1213">
        <v>98.4</v>
      </c>
      <c r="E1213">
        <v>98.39</v>
      </c>
      <c r="F1213" t="s">
        <v>556</v>
      </c>
      <c r="G1213" t="s">
        <v>556</v>
      </c>
      <c r="H1213">
        <f t="shared" si="21"/>
        <v>14</v>
      </c>
      <c r="M1213" s="1">
        <v>1.0213799774646801E-2</v>
      </c>
      <c r="N1213">
        <v>959.56549072265602</v>
      </c>
      <c r="O1213">
        <v>480.79</v>
      </c>
      <c r="P1213">
        <v>959.55523681640602</v>
      </c>
      <c r="Q1213">
        <v>480.784912109375</v>
      </c>
      <c r="R1213">
        <v>2</v>
      </c>
      <c r="S1213">
        <v>7</v>
      </c>
      <c r="T1213">
        <v>9</v>
      </c>
      <c r="U1213">
        <v>35.383650000000003</v>
      </c>
      <c r="V1213">
        <v>296570.3</v>
      </c>
    </row>
    <row r="1214" spans="1:22" x14ac:dyDescent="0.25">
      <c r="A1214" t="s">
        <v>81</v>
      </c>
      <c r="B1214" t="s">
        <v>82</v>
      </c>
      <c r="C1214">
        <v>538</v>
      </c>
      <c r="D1214">
        <v>99</v>
      </c>
      <c r="E1214">
        <v>99</v>
      </c>
      <c r="F1214" t="s">
        <v>83</v>
      </c>
      <c r="G1214" t="s">
        <v>83</v>
      </c>
      <c r="H1214">
        <f t="shared" si="21"/>
        <v>13</v>
      </c>
      <c r="M1214" s="1">
        <v>3.1541199423372702E-3</v>
      </c>
      <c r="N1214">
        <v>1164.63232421875</v>
      </c>
      <c r="O1214">
        <v>583.32339999999897</v>
      </c>
      <c r="P1214">
        <v>1164.62915039063</v>
      </c>
      <c r="Q1214">
        <v>583.32183837890602</v>
      </c>
      <c r="R1214">
        <v>2</v>
      </c>
      <c r="S1214">
        <v>2</v>
      </c>
      <c r="T1214">
        <v>12</v>
      </c>
      <c r="U1214">
        <v>55.519399999999898</v>
      </c>
      <c r="V1214">
        <v>194523</v>
      </c>
    </row>
    <row r="1215" spans="1:22" x14ac:dyDescent="0.25">
      <c r="A1215" t="s">
        <v>3127</v>
      </c>
      <c r="B1215" t="s">
        <v>3128</v>
      </c>
      <c r="C1215">
        <v>317</v>
      </c>
      <c r="D1215">
        <v>99</v>
      </c>
      <c r="E1215">
        <v>99</v>
      </c>
      <c r="F1215" t="s">
        <v>3129</v>
      </c>
      <c r="G1215" t="s">
        <v>3129</v>
      </c>
      <c r="H1215">
        <f t="shared" si="21"/>
        <v>18</v>
      </c>
      <c r="M1215">
        <v>4.1770000000000002E-3</v>
      </c>
      <c r="N1215">
        <v>1209.57482910156</v>
      </c>
      <c r="O1215">
        <v>605.79470000000003</v>
      </c>
      <c r="P1215">
        <v>1209.57067871094</v>
      </c>
      <c r="Q1215">
        <v>605.79260253906205</v>
      </c>
      <c r="R1215">
        <v>2</v>
      </c>
      <c r="S1215">
        <v>4</v>
      </c>
      <c r="T1215">
        <v>12</v>
      </c>
      <c r="U1215">
        <v>40.312449999999899</v>
      </c>
      <c r="V1215">
        <v>1892019</v>
      </c>
    </row>
    <row r="1216" spans="1:22" x14ac:dyDescent="0.25">
      <c r="A1216" t="s">
        <v>921</v>
      </c>
      <c r="B1216" t="s">
        <v>922</v>
      </c>
      <c r="C1216">
        <v>106</v>
      </c>
      <c r="D1216">
        <v>99</v>
      </c>
      <c r="E1216">
        <v>99</v>
      </c>
      <c r="F1216" t="s">
        <v>547</v>
      </c>
      <c r="G1216" t="s">
        <v>547</v>
      </c>
      <c r="H1216">
        <f t="shared" si="21"/>
        <v>9</v>
      </c>
      <c r="M1216">
        <v>-4.0940000000000004E-3</v>
      </c>
      <c r="N1216">
        <v>1201.57263183594</v>
      </c>
      <c r="O1216">
        <v>1202.58</v>
      </c>
      <c r="P1216">
        <v>1201.57678222656</v>
      </c>
      <c r="Q1216">
        <v>1202.58410644531</v>
      </c>
      <c r="R1216">
        <v>1</v>
      </c>
      <c r="S1216">
        <v>8</v>
      </c>
      <c r="T1216">
        <v>13</v>
      </c>
      <c r="U1216">
        <v>42.103900000000003</v>
      </c>
      <c r="V1216">
        <v>3793855</v>
      </c>
    </row>
    <row r="1217" spans="1:22" x14ac:dyDescent="0.25">
      <c r="A1217" t="s">
        <v>3645</v>
      </c>
      <c r="B1217" t="s">
        <v>3646</v>
      </c>
      <c r="C1217">
        <v>698</v>
      </c>
      <c r="D1217">
        <v>99</v>
      </c>
      <c r="E1217">
        <v>99</v>
      </c>
      <c r="F1217" t="s">
        <v>3647</v>
      </c>
      <c r="G1217" t="s">
        <v>3647</v>
      </c>
      <c r="H1217">
        <f t="shared" si="21"/>
        <v>12</v>
      </c>
      <c r="M1217" s="1">
        <v>-3.9325299439951702E-4</v>
      </c>
      <c r="N1217">
        <v>1089.59265136719</v>
      </c>
      <c r="O1217">
        <v>1090.5999999999899</v>
      </c>
      <c r="P1217">
        <v>1089.59313964844</v>
      </c>
      <c r="Q1217">
        <v>1090.60034179688</v>
      </c>
      <c r="R1217">
        <v>1</v>
      </c>
      <c r="S1217">
        <v>10</v>
      </c>
      <c r="T1217">
        <v>10</v>
      </c>
      <c r="U1217">
        <v>29.5884199999999</v>
      </c>
      <c r="V1217">
        <v>2102013</v>
      </c>
    </row>
    <row r="1218" spans="1:22" x14ac:dyDescent="0.25">
      <c r="A1218" t="s">
        <v>2947</v>
      </c>
      <c r="B1218" t="s">
        <v>2948</v>
      </c>
      <c r="C1218">
        <v>147</v>
      </c>
      <c r="D1218">
        <v>99</v>
      </c>
      <c r="E1218">
        <v>99</v>
      </c>
      <c r="F1218" t="s">
        <v>2949</v>
      </c>
      <c r="G1218" t="s">
        <v>2949</v>
      </c>
      <c r="H1218">
        <f t="shared" si="21"/>
        <v>14</v>
      </c>
      <c r="M1218" s="1">
        <v>6.3919499516487104E-3</v>
      </c>
      <c r="N1218">
        <v>1689.83142089844</v>
      </c>
      <c r="O1218">
        <v>845.923</v>
      </c>
      <c r="P1218">
        <v>1689.82495117188</v>
      </c>
      <c r="Q1218">
        <v>845.91979980468705</v>
      </c>
      <c r="R1218">
        <v>2</v>
      </c>
      <c r="S1218">
        <v>1</v>
      </c>
      <c r="T1218">
        <v>9</v>
      </c>
      <c r="U1218">
        <v>55.288800000000002</v>
      </c>
      <c r="V1218">
        <v>86660.02</v>
      </c>
    </row>
    <row r="1219" spans="1:22" x14ac:dyDescent="0.25">
      <c r="A1219" t="s">
        <v>1579</v>
      </c>
      <c r="B1219" t="s">
        <v>1580</v>
      </c>
      <c r="C1219">
        <v>8</v>
      </c>
      <c r="D1219">
        <v>97.8</v>
      </c>
      <c r="E1219">
        <v>97.75</v>
      </c>
      <c r="F1219" t="s">
        <v>1581</v>
      </c>
      <c r="G1219" t="s">
        <v>1581</v>
      </c>
      <c r="H1219">
        <f t="shared" ref="H1219:H1282" si="22">LEN(G1219)</f>
        <v>9</v>
      </c>
      <c r="M1219" s="1">
        <v>4.2217699810862402E-3</v>
      </c>
      <c r="N1219">
        <v>1468.70629882813</v>
      </c>
      <c r="O1219">
        <v>735.36040000000003</v>
      </c>
      <c r="P1219">
        <v>1468.70202636719</v>
      </c>
      <c r="Q1219">
        <v>735.35827636718705</v>
      </c>
      <c r="R1219">
        <v>2</v>
      </c>
      <c r="S1219">
        <v>2</v>
      </c>
      <c r="T1219">
        <v>15</v>
      </c>
      <c r="U1219">
        <v>47.259169999999898</v>
      </c>
      <c r="V1219">
        <v>1173873</v>
      </c>
    </row>
    <row r="1220" spans="1:22" x14ac:dyDescent="0.25">
      <c r="A1220" t="s">
        <v>3477</v>
      </c>
      <c r="B1220" t="s">
        <v>3478</v>
      </c>
      <c r="C1220">
        <v>900</v>
      </c>
      <c r="D1220">
        <v>97.9</v>
      </c>
      <c r="E1220">
        <v>97.91</v>
      </c>
      <c r="F1220" t="s">
        <v>3479</v>
      </c>
      <c r="G1220" t="s">
        <v>3479</v>
      </c>
      <c r="H1220">
        <f t="shared" si="22"/>
        <v>9</v>
      </c>
      <c r="L1220" t="s">
        <v>47</v>
      </c>
      <c r="M1220" s="1">
        <v>3.1216400675475602E-3</v>
      </c>
      <c r="N1220">
        <v>1172.57922363281</v>
      </c>
      <c r="O1220">
        <v>391.86700000000002</v>
      </c>
      <c r="P1220">
        <v>1172.57604980469</v>
      </c>
      <c r="Q1220">
        <v>391.865966796875</v>
      </c>
      <c r="R1220">
        <v>3</v>
      </c>
      <c r="S1220">
        <v>4</v>
      </c>
      <c r="T1220">
        <v>11</v>
      </c>
      <c r="U1220">
        <v>27.54383</v>
      </c>
      <c r="V1220">
        <v>463957.9</v>
      </c>
    </row>
    <row r="1221" spans="1:22" x14ac:dyDescent="0.25">
      <c r="A1221" t="s">
        <v>3218</v>
      </c>
      <c r="B1221" t="s">
        <v>3219</v>
      </c>
      <c r="C1221">
        <v>1773</v>
      </c>
      <c r="D1221">
        <v>99</v>
      </c>
      <c r="E1221">
        <v>99</v>
      </c>
      <c r="F1221" t="s">
        <v>3220</v>
      </c>
      <c r="G1221" t="s">
        <v>3220</v>
      </c>
      <c r="H1221">
        <f t="shared" si="22"/>
        <v>9</v>
      </c>
      <c r="M1221">
        <v>3.3300000000000002E-4</v>
      </c>
      <c r="N1221">
        <v>1142.6240234375</v>
      </c>
      <c r="O1221">
        <v>572.3193</v>
      </c>
      <c r="P1221">
        <v>1142.62365722656</v>
      </c>
      <c r="Q1221">
        <v>572.319091796875</v>
      </c>
      <c r="R1221">
        <v>2</v>
      </c>
      <c r="S1221">
        <v>3</v>
      </c>
      <c r="T1221">
        <v>13</v>
      </c>
      <c r="U1221">
        <v>46.8825</v>
      </c>
      <c r="V1221">
        <v>3180167</v>
      </c>
    </row>
    <row r="1222" spans="1:22" x14ac:dyDescent="0.25">
      <c r="A1222" t="s">
        <v>32</v>
      </c>
      <c r="B1222" t="s">
        <v>33</v>
      </c>
      <c r="C1222">
        <v>715</v>
      </c>
      <c r="D1222">
        <v>97.3</v>
      </c>
      <c r="E1222">
        <v>97.31</v>
      </c>
      <c r="F1222" t="s">
        <v>34</v>
      </c>
      <c r="G1222" t="s">
        <v>34</v>
      </c>
      <c r="H1222">
        <f t="shared" si="22"/>
        <v>10</v>
      </c>
      <c r="M1222" s="1">
        <v>4.1943797841668103E-3</v>
      </c>
      <c r="N1222">
        <v>1134.63403320313</v>
      </c>
      <c r="O1222">
        <v>568.32429999999897</v>
      </c>
      <c r="P1222">
        <v>1134.62976074219</v>
      </c>
      <c r="Q1222">
        <v>568.32220458984295</v>
      </c>
      <c r="R1222">
        <v>2</v>
      </c>
      <c r="S1222">
        <v>2</v>
      </c>
      <c r="T1222">
        <v>11</v>
      </c>
      <c r="U1222">
        <v>26.94652</v>
      </c>
      <c r="V1222">
        <v>7951068</v>
      </c>
    </row>
    <row r="1223" spans="1:22" x14ac:dyDescent="0.25">
      <c r="A1223" t="s">
        <v>3124</v>
      </c>
      <c r="B1223" t="s">
        <v>3125</v>
      </c>
      <c r="C1223">
        <v>933</v>
      </c>
      <c r="D1223">
        <v>99</v>
      </c>
      <c r="E1223">
        <v>99</v>
      </c>
      <c r="F1223" t="s">
        <v>3126</v>
      </c>
      <c r="G1223" t="s">
        <v>3126</v>
      </c>
      <c r="H1223">
        <f t="shared" si="22"/>
        <v>10</v>
      </c>
      <c r="M1223" s="1">
        <v>-5.0478298217058104E-3</v>
      </c>
      <c r="N1223">
        <v>1232.67272949219</v>
      </c>
      <c r="O1223">
        <v>1233.68</v>
      </c>
      <c r="P1223">
        <v>1232.67785644531</v>
      </c>
      <c r="Q1223">
        <v>1233.68505859375</v>
      </c>
      <c r="R1223">
        <v>1</v>
      </c>
      <c r="S1223">
        <v>7</v>
      </c>
      <c r="T1223">
        <v>8</v>
      </c>
      <c r="U1223">
        <v>23.194800000000001</v>
      </c>
      <c r="V1223">
        <v>1342128</v>
      </c>
    </row>
    <row r="1224" spans="1:22" x14ac:dyDescent="0.25">
      <c r="A1224" t="s">
        <v>3124</v>
      </c>
      <c r="B1224" t="s">
        <v>3125</v>
      </c>
      <c r="C1224">
        <v>933</v>
      </c>
      <c r="D1224">
        <v>99</v>
      </c>
      <c r="E1224">
        <v>99</v>
      </c>
      <c r="F1224" t="s">
        <v>552</v>
      </c>
      <c r="G1224" t="s">
        <v>552</v>
      </c>
      <c r="H1224">
        <f t="shared" si="22"/>
        <v>12</v>
      </c>
      <c r="M1224" s="1">
        <v>4.3777502141892901E-3</v>
      </c>
      <c r="N1224">
        <v>1164.62231445313</v>
      </c>
      <c r="O1224">
        <v>583.3184</v>
      </c>
      <c r="P1224">
        <v>1164.61791992188</v>
      </c>
      <c r="Q1224">
        <v>583.31622314453102</v>
      </c>
      <c r="R1224">
        <v>2</v>
      </c>
      <c r="S1224">
        <v>12</v>
      </c>
      <c r="T1224">
        <v>10</v>
      </c>
      <c r="U1224">
        <v>48.44164</v>
      </c>
      <c r="V1224">
        <v>451652.9</v>
      </c>
    </row>
    <row r="1225" spans="1:22" x14ac:dyDescent="0.25">
      <c r="A1225" t="s">
        <v>3124</v>
      </c>
      <c r="B1225" t="s">
        <v>3125</v>
      </c>
      <c r="C1225">
        <v>933</v>
      </c>
      <c r="D1225">
        <v>98.9</v>
      </c>
      <c r="E1225">
        <v>98.92</v>
      </c>
      <c r="F1225" t="s">
        <v>552</v>
      </c>
      <c r="G1225" t="s">
        <v>552</v>
      </c>
      <c r="H1225">
        <f t="shared" si="22"/>
        <v>12</v>
      </c>
      <c r="L1225" t="s">
        <v>47</v>
      </c>
      <c r="M1225" s="1">
        <v>2.1539900451898499E-2</v>
      </c>
      <c r="N1225">
        <v>1545.82543945313</v>
      </c>
      <c r="O1225">
        <v>773.92</v>
      </c>
      <c r="P1225">
        <v>1545.80383300781</v>
      </c>
      <c r="Q1225">
        <v>773.90924072265602</v>
      </c>
      <c r="R1225">
        <v>2</v>
      </c>
      <c r="S1225">
        <v>1</v>
      </c>
      <c r="T1225">
        <v>7</v>
      </c>
      <c r="U1225">
        <v>50.7727</v>
      </c>
      <c r="V1225">
        <v>63251.75</v>
      </c>
    </row>
    <row r="1226" spans="1:22" x14ac:dyDescent="0.25">
      <c r="A1226" t="s">
        <v>1260</v>
      </c>
      <c r="B1226" t="s">
        <v>1261</v>
      </c>
      <c r="C1226">
        <v>31</v>
      </c>
      <c r="D1226">
        <v>99</v>
      </c>
      <c r="E1226">
        <v>99</v>
      </c>
      <c r="F1226" t="s">
        <v>1262</v>
      </c>
      <c r="G1226" t="s">
        <v>1262</v>
      </c>
      <c r="H1226">
        <f t="shared" si="22"/>
        <v>12</v>
      </c>
      <c r="M1226">
        <v>2.3240000000000001E-3</v>
      </c>
      <c r="N1226">
        <v>1103.57470703125</v>
      </c>
      <c r="O1226">
        <v>552.79459999999904</v>
      </c>
      <c r="P1226">
        <v>1103.57238769531</v>
      </c>
      <c r="Q1226">
        <v>552.79345703125</v>
      </c>
      <c r="R1226">
        <v>2</v>
      </c>
      <c r="S1226">
        <v>2</v>
      </c>
      <c r="T1226">
        <v>12</v>
      </c>
      <c r="U1226">
        <v>35.222029999999897</v>
      </c>
      <c r="V1226">
        <v>697531.8</v>
      </c>
    </row>
    <row r="1227" spans="1:22" x14ac:dyDescent="0.25">
      <c r="A1227" t="s">
        <v>1260</v>
      </c>
      <c r="B1227" t="s">
        <v>1261</v>
      </c>
      <c r="C1227">
        <v>29</v>
      </c>
      <c r="D1227">
        <v>99</v>
      </c>
      <c r="E1227">
        <v>99</v>
      </c>
      <c r="F1227" t="s">
        <v>1263</v>
      </c>
      <c r="G1227" t="s">
        <v>1263</v>
      </c>
      <c r="H1227">
        <f t="shared" si="22"/>
        <v>14</v>
      </c>
      <c r="M1227" s="1">
        <v>4.6186801046132903E-3</v>
      </c>
      <c r="N1227">
        <v>1152.66027832031</v>
      </c>
      <c r="O1227">
        <v>577.3374</v>
      </c>
      <c r="P1227">
        <v>1152.65563964844</v>
      </c>
      <c r="Q1227">
        <v>577.33508300781205</v>
      </c>
      <c r="R1227">
        <v>2</v>
      </c>
      <c r="S1227">
        <v>4</v>
      </c>
      <c r="T1227">
        <v>12</v>
      </c>
      <c r="U1227">
        <v>33.736849999999897</v>
      </c>
      <c r="V1227">
        <v>1185896</v>
      </c>
    </row>
    <row r="1228" spans="1:22" x14ac:dyDescent="0.25">
      <c r="A1228" t="s">
        <v>1260</v>
      </c>
      <c r="B1228" t="s">
        <v>1261</v>
      </c>
      <c r="C1228">
        <v>49</v>
      </c>
      <c r="D1228">
        <v>99</v>
      </c>
      <c r="E1228">
        <v>99</v>
      </c>
      <c r="F1228" t="s">
        <v>1264</v>
      </c>
      <c r="G1228" t="s">
        <v>1264</v>
      </c>
      <c r="H1228">
        <f t="shared" si="22"/>
        <v>28</v>
      </c>
      <c r="L1228" t="s">
        <v>180</v>
      </c>
      <c r="M1228" s="1">
        <v>-1.76394998561591E-3</v>
      </c>
      <c r="N1228">
        <v>1809.78820800781</v>
      </c>
      <c r="O1228">
        <v>604.27</v>
      </c>
      <c r="P1228">
        <v>1809.7900390625</v>
      </c>
      <c r="Q1228">
        <v>604.27062988281205</v>
      </c>
      <c r="R1228">
        <v>3</v>
      </c>
      <c r="S1228">
        <v>1</v>
      </c>
      <c r="T1228">
        <v>11</v>
      </c>
      <c r="U1228">
        <v>27.49877</v>
      </c>
      <c r="V1228">
        <v>112890.7</v>
      </c>
    </row>
    <row r="1229" spans="1:22" x14ac:dyDescent="0.25">
      <c r="A1229" t="s">
        <v>157</v>
      </c>
      <c r="B1229" t="s">
        <v>158</v>
      </c>
      <c r="C1229">
        <v>62</v>
      </c>
      <c r="D1229">
        <v>99</v>
      </c>
      <c r="E1229">
        <v>99</v>
      </c>
      <c r="F1229" t="s">
        <v>2944</v>
      </c>
      <c r="G1229" t="s">
        <v>2944</v>
      </c>
      <c r="H1229">
        <f t="shared" si="22"/>
        <v>9</v>
      </c>
      <c r="M1229" s="1">
        <v>-4.6881199814379102E-3</v>
      </c>
      <c r="N1229">
        <v>1780.92541503906</v>
      </c>
      <c r="O1229">
        <v>891.47</v>
      </c>
      <c r="P1229">
        <v>1780.93005371094</v>
      </c>
      <c r="Q1229">
        <v>891.47229003906205</v>
      </c>
      <c r="R1229">
        <v>2</v>
      </c>
      <c r="S1229">
        <v>2</v>
      </c>
      <c r="T1229">
        <v>11</v>
      </c>
      <c r="U1229">
        <v>43.226779999999899</v>
      </c>
      <c r="V1229">
        <v>399030.6</v>
      </c>
    </row>
    <row r="1230" spans="1:22" x14ac:dyDescent="0.25">
      <c r="A1230" t="s">
        <v>157</v>
      </c>
      <c r="B1230" t="s">
        <v>158</v>
      </c>
      <c r="C1230">
        <v>303</v>
      </c>
      <c r="D1230">
        <v>98.7</v>
      </c>
      <c r="E1230">
        <v>98.67</v>
      </c>
      <c r="F1230" t="s">
        <v>2945</v>
      </c>
      <c r="G1230" t="s">
        <v>2945</v>
      </c>
      <c r="H1230">
        <f t="shared" si="22"/>
        <v>9</v>
      </c>
      <c r="M1230" s="1">
        <v>1.7682700417935801E-3</v>
      </c>
      <c r="N1230">
        <v>1209.63464355469</v>
      </c>
      <c r="O1230">
        <v>605.82460000000003</v>
      </c>
      <c r="P1230">
        <v>1209.6328125</v>
      </c>
      <c r="Q1230">
        <v>605.82373046875</v>
      </c>
      <c r="R1230">
        <v>2</v>
      </c>
      <c r="S1230">
        <v>7</v>
      </c>
      <c r="T1230">
        <v>10</v>
      </c>
      <c r="U1230">
        <v>38.3294</v>
      </c>
      <c r="V1230">
        <v>5996372</v>
      </c>
    </row>
    <row r="1231" spans="1:22" x14ac:dyDescent="0.25">
      <c r="A1231" t="s">
        <v>157</v>
      </c>
      <c r="B1231" t="s">
        <v>158</v>
      </c>
      <c r="C1231">
        <v>216</v>
      </c>
      <c r="D1231">
        <v>99</v>
      </c>
      <c r="E1231">
        <v>99</v>
      </c>
      <c r="F1231" t="s">
        <v>186</v>
      </c>
      <c r="G1231" t="s">
        <v>186</v>
      </c>
      <c r="H1231">
        <f t="shared" si="22"/>
        <v>9</v>
      </c>
      <c r="M1231" s="1">
        <v>1.9671400077641002E-3</v>
      </c>
      <c r="N1231">
        <v>1198.65185546875</v>
      </c>
      <c r="O1231">
        <v>400.55790000000002</v>
      </c>
      <c r="P1231">
        <v>1198.64990234375</v>
      </c>
      <c r="Q1231">
        <v>400.55725097656301</v>
      </c>
      <c r="R1231">
        <v>3</v>
      </c>
      <c r="S1231">
        <v>2</v>
      </c>
      <c r="T1231">
        <v>10</v>
      </c>
      <c r="U1231">
        <v>50.280500000000004</v>
      </c>
      <c r="V1231">
        <v>509358.8</v>
      </c>
    </row>
    <row r="1232" spans="1:22" x14ac:dyDescent="0.25">
      <c r="A1232" t="s">
        <v>157</v>
      </c>
      <c r="B1232" t="s">
        <v>158</v>
      </c>
      <c r="C1232">
        <v>151</v>
      </c>
      <c r="D1232">
        <v>98.6</v>
      </c>
      <c r="E1232">
        <v>98.6</v>
      </c>
      <c r="F1232" t="s">
        <v>2946</v>
      </c>
      <c r="G1232" t="s">
        <v>2946</v>
      </c>
      <c r="H1232">
        <f t="shared" si="22"/>
        <v>9</v>
      </c>
      <c r="M1232" s="1">
        <v>-2.9438200872391501E-3</v>
      </c>
      <c r="N1232">
        <v>1160.70007324219</v>
      </c>
      <c r="O1232">
        <v>387.90730000000002</v>
      </c>
      <c r="P1232">
        <v>1160.70300292969</v>
      </c>
      <c r="Q1232">
        <v>387.90826416015602</v>
      </c>
      <c r="R1232">
        <v>3</v>
      </c>
      <c r="S1232">
        <v>2</v>
      </c>
      <c r="T1232">
        <v>10</v>
      </c>
      <c r="U1232">
        <v>19.2315</v>
      </c>
      <c r="V1232">
        <v>2312595</v>
      </c>
    </row>
    <row r="1233" spans="1:22" x14ac:dyDescent="0.25">
      <c r="A1233" t="s">
        <v>157</v>
      </c>
      <c r="B1233" t="s">
        <v>158</v>
      </c>
      <c r="C1233">
        <v>152</v>
      </c>
      <c r="D1233">
        <v>98.9</v>
      </c>
      <c r="E1233">
        <v>98.9</v>
      </c>
      <c r="F1233" t="s">
        <v>159</v>
      </c>
      <c r="G1233" t="s">
        <v>159</v>
      </c>
      <c r="H1233">
        <f t="shared" si="22"/>
        <v>8</v>
      </c>
      <c r="M1233">
        <v>6.117E-3</v>
      </c>
      <c r="N1233">
        <v>1210.58325195313</v>
      </c>
      <c r="O1233">
        <v>606.2989</v>
      </c>
      <c r="P1233">
        <v>1210.5771484375</v>
      </c>
      <c r="Q1233">
        <v>606.29583740234295</v>
      </c>
      <c r="R1233">
        <v>2</v>
      </c>
      <c r="S1233">
        <v>1</v>
      </c>
      <c r="T1233">
        <v>9</v>
      </c>
      <c r="U1233">
        <v>41.246279999999899</v>
      </c>
      <c r="V1233">
        <v>145334.399999999</v>
      </c>
    </row>
    <row r="1234" spans="1:22" x14ac:dyDescent="0.25">
      <c r="A1234" t="s">
        <v>157</v>
      </c>
      <c r="B1234" t="s">
        <v>158</v>
      </c>
      <c r="C1234">
        <v>303</v>
      </c>
      <c r="D1234">
        <v>98.6</v>
      </c>
      <c r="E1234">
        <v>98.61</v>
      </c>
      <c r="F1234" t="s">
        <v>2945</v>
      </c>
      <c r="G1234" t="s">
        <v>2945</v>
      </c>
      <c r="H1234">
        <f t="shared" si="22"/>
        <v>9</v>
      </c>
      <c r="L1234" t="s">
        <v>116</v>
      </c>
      <c r="M1234" s="1">
        <v>2.9120999388396701E-3</v>
      </c>
      <c r="N1234">
        <v>1916.01452636719</v>
      </c>
      <c r="O1234">
        <v>639.67880000000002</v>
      </c>
      <c r="P1234">
        <v>1916.01159667969</v>
      </c>
      <c r="Q1234">
        <v>639.67779541015602</v>
      </c>
      <c r="R1234">
        <v>3</v>
      </c>
      <c r="S1234">
        <v>1</v>
      </c>
      <c r="T1234">
        <v>15</v>
      </c>
      <c r="U1234">
        <v>32.185720000000003</v>
      </c>
      <c r="V1234">
        <v>497342</v>
      </c>
    </row>
    <row r="1235" spans="1:22" x14ac:dyDescent="0.25">
      <c r="A1235" t="s">
        <v>883</v>
      </c>
      <c r="B1235" t="s">
        <v>884</v>
      </c>
      <c r="C1235">
        <v>326</v>
      </c>
      <c r="D1235">
        <v>99</v>
      </c>
      <c r="E1235">
        <v>99</v>
      </c>
      <c r="F1235" t="s">
        <v>885</v>
      </c>
      <c r="G1235" t="s">
        <v>885</v>
      </c>
      <c r="H1235">
        <f t="shared" si="22"/>
        <v>9</v>
      </c>
      <c r="M1235" s="1">
        <v>-3.59650992322712E-4</v>
      </c>
      <c r="N1235">
        <v>1281.62512207031</v>
      </c>
      <c r="O1235">
        <v>641.81979999999896</v>
      </c>
      <c r="P1235">
        <v>1281.62548828125</v>
      </c>
      <c r="Q1235">
        <v>641.82000732421795</v>
      </c>
      <c r="R1235">
        <v>2</v>
      </c>
      <c r="S1235">
        <v>2</v>
      </c>
      <c r="T1235">
        <v>11</v>
      </c>
      <c r="U1235">
        <v>32.104779999999899</v>
      </c>
      <c r="V1235">
        <v>668422.5</v>
      </c>
    </row>
    <row r="1236" spans="1:22" x14ac:dyDescent="0.25">
      <c r="A1236" t="s">
        <v>1686</v>
      </c>
      <c r="B1236" t="s">
        <v>1687</v>
      </c>
      <c r="C1236">
        <v>551</v>
      </c>
      <c r="D1236">
        <v>98.8</v>
      </c>
      <c r="E1236">
        <v>98.8</v>
      </c>
      <c r="F1236" t="s">
        <v>1688</v>
      </c>
      <c r="G1236" t="s">
        <v>1688</v>
      </c>
      <c r="H1236">
        <f t="shared" si="22"/>
        <v>8</v>
      </c>
      <c r="M1236">
        <v>2.0639999999999999E-3</v>
      </c>
      <c r="N1236">
        <v>1224.59484863281</v>
      </c>
      <c r="O1236">
        <v>613.30470000000003</v>
      </c>
      <c r="P1236">
        <v>1224.5927734375</v>
      </c>
      <c r="Q1236">
        <v>613.30364990234295</v>
      </c>
      <c r="R1236">
        <v>2</v>
      </c>
      <c r="S1236">
        <v>3</v>
      </c>
      <c r="T1236">
        <v>12</v>
      </c>
      <c r="U1236">
        <v>30.215129999999899</v>
      </c>
      <c r="V1236">
        <v>1431295</v>
      </c>
    </row>
    <row r="1237" spans="1:22" x14ac:dyDescent="0.25">
      <c r="A1237" t="s">
        <v>2908</v>
      </c>
      <c r="B1237" t="s">
        <v>2909</v>
      </c>
      <c r="C1237">
        <v>1026</v>
      </c>
      <c r="D1237">
        <v>98.6</v>
      </c>
      <c r="E1237">
        <v>98.55</v>
      </c>
      <c r="F1237" t="s">
        <v>2910</v>
      </c>
      <c r="G1237" t="s">
        <v>2910</v>
      </c>
      <c r="H1237">
        <f t="shared" si="22"/>
        <v>9</v>
      </c>
      <c r="M1237" s="1">
        <v>1.8290600273758099E-3</v>
      </c>
      <c r="N1237">
        <v>1245.66369628906</v>
      </c>
      <c r="O1237">
        <v>623.83910000000003</v>
      </c>
      <c r="P1237">
        <v>1245.66186523438</v>
      </c>
      <c r="Q1237">
        <v>623.83819580078102</v>
      </c>
      <c r="R1237">
        <v>2</v>
      </c>
      <c r="S1237">
        <v>2</v>
      </c>
      <c r="T1237">
        <v>11</v>
      </c>
      <c r="U1237">
        <v>25.085249999999899</v>
      </c>
      <c r="V1237">
        <v>2882610</v>
      </c>
    </row>
    <row r="1238" spans="1:22" x14ac:dyDescent="0.25">
      <c r="A1238" t="s">
        <v>2908</v>
      </c>
      <c r="B1238" t="s">
        <v>2909</v>
      </c>
      <c r="C1238">
        <v>1483</v>
      </c>
      <c r="D1238">
        <v>98</v>
      </c>
      <c r="E1238">
        <v>98.01</v>
      </c>
      <c r="F1238" t="s">
        <v>2911</v>
      </c>
      <c r="G1238" t="s">
        <v>2911</v>
      </c>
      <c r="H1238">
        <f t="shared" si="22"/>
        <v>9</v>
      </c>
      <c r="M1238" s="1">
        <v>1.8385000294074401E-3</v>
      </c>
      <c r="N1238">
        <v>1374.70629882813</v>
      </c>
      <c r="O1238">
        <v>688.36040000000003</v>
      </c>
      <c r="P1238">
        <v>1374.70446777344</v>
      </c>
      <c r="Q1238">
        <v>688.35949707031205</v>
      </c>
      <c r="R1238">
        <v>2</v>
      </c>
      <c r="S1238">
        <v>2</v>
      </c>
      <c r="T1238">
        <v>12</v>
      </c>
      <c r="U1238">
        <v>25.5368999999999</v>
      </c>
      <c r="V1238">
        <v>1060272</v>
      </c>
    </row>
    <row r="1239" spans="1:22" x14ac:dyDescent="0.25">
      <c r="A1239" t="s">
        <v>254</v>
      </c>
      <c r="B1239" t="s">
        <v>255</v>
      </c>
      <c r="C1239">
        <v>225</v>
      </c>
      <c r="D1239">
        <v>99</v>
      </c>
      <c r="E1239">
        <v>99</v>
      </c>
      <c r="F1239" t="s">
        <v>256</v>
      </c>
      <c r="G1239" t="s">
        <v>256</v>
      </c>
      <c r="H1239">
        <f t="shared" si="22"/>
        <v>9</v>
      </c>
      <c r="M1239" s="1">
        <v>-3.3474599476903599E-3</v>
      </c>
      <c r="N1239">
        <v>1179.62548828125</v>
      </c>
      <c r="O1239">
        <v>590.82000000000005</v>
      </c>
      <c r="P1239">
        <v>1179.62878417969</v>
      </c>
      <c r="Q1239">
        <v>590.82165527343705</v>
      </c>
      <c r="R1239">
        <v>2</v>
      </c>
      <c r="S1239">
        <v>1</v>
      </c>
      <c r="T1239">
        <v>10</v>
      </c>
      <c r="U1239">
        <v>32.178199999999897</v>
      </c>
      <c r="V1239">
        <v>797270.2</v>
      </c>
    </row>
    <row r="1240" spans="1:22" x14ac:dyDescent="0.25">
      <c r="A1240" t="s">
        <v>955</v>
      </c>
      <c r="B1240" t="s">
        <v>956</v>
      </c>
      <c r="C1240">
        <v>1292</v>
      </c>
      <c r="D1240">
        <v>98.8</v>
      </c>
      <c r="E1240">
        <v>98.78</v>
      </c>
      <c r="F1240" t="s">
        <v>957</v>
      </c>
      <c r="G1240" t="s">
        <v>957</v>
      </c>
      <c r="H1240">
        <f t="shared" si="22"/>
        <v>9</v>
      </c>
      <c r="M1240">
        <v>2.04E-4</v>
      </c>
      <c r="N1240">
        <v>1095.60791015625</v>
      </c>
      <c r="O1240">
        <v>548.81119999999896</v>
      </c>
      <c r="P1240">
        <v>1095.60766601563</v>
      </c>
      <c r="Q1240">
        <v>548.81109619140602</v>
      </c>
      <c r="R1240">
        <v>2</v>
      </c>
      <c r="S1240">
        <v>2</v>
      </c>
      <c r="T1240">
        <v>11</v>
      </c>
      <c r="U1240">
        <v>40.902479999999898</v>
      </c>
      <c r="V1240">
        <v>2884023</v>
      </c>
    </row>
    <row r="1241" spans="1:22" x14ac:dyDescent="0.25">
      <c r="A1241" t="s">
        <v>955</v>
      </c>
      <c r="B1241" t="s">
        <v>956</v>
      </c>
      <c r="C1241">
        <v>1315</v>
      </c>
      <c r="D1241">
        <v>98.1</v>
      </c>
      <c r="E1241">
        <v>98.05</v>
      </c>
      <c r="F1241" t="s">
        <v>958</v>
      </c>
      <c r="G1241" t="s">
        <v>958</v>
      </c>
      <c r="H1241">
        <f t="shared" si="22"/>
        <v>9</v>
      </c>
      <c r="M1241" s="1">
        <v>1.73134001670405E-4</v>
      </c>
      <c r="N1241">
        <v>1181.61950683594</v>
      </c>
      <c r="O1241">
        <v>591.81700000000001</v>
      </c>
      <c r="P1241">
        <v>1181.61926269531</v>
      </c>
      <c r="Q1241">
        <v>591.81695556640602</v>
      </c>
      <c r="R1241">
        <v>2</v>
      </c>
      <c r="S1241">
        <v>2</v>
      </c>
      <c r="T1241">
        <v>13</v>
      </c>
      <c r="U1241">
        <v>35.857500000000002</v>
      </c>
      <c r="V1241">
        <v>1077405</v>
      </c>
    </row>
    <row r="1242" spans="1:22" x14ac:dyDescent="0.25">
      <c r="A1242" t="s">
        <v>351</v>
      </c>
      <c r="B1242" t="s">
        <v>352</v>
      </c>
      <c r="C1242">
        <v>895</v>
      </c>
      <c r="D1242">
        <v>99</v>
      </c>
      <c r="E1242">
        <v>99</v>
      </c>
      <c r="F1242" t="s">
        <v>353</v>
      </c>
      <c r="G1242" t="s">
        <v>353</v>
      </c>
      <c r="H1242">
        <f t="shared" si="22"/>
        <v>9</v>
      </c>
      <c r="M1242" s="1">
        <v>3.5899200011044702E-3</v>
      </c>
      <c r="N1242">
        <v>1256.66613769531</v>
      </c>
      <c r="O1242">
        <v>419.89600000000002</v>
      </c>
      <c r="P1242">
        <v>1256.66259765625</v>
      </c>
      <c r="Q1242">
        <v>419.89480590820301</v>
      </c>
      <c r="R1242">
        <v>3</v>
      </c>
      <c r="S1242">
        <v>1</v>
      </c>
      <c r="T1242">
        <v>9</v>
      </c>
      <c r="U1242">
        <v>24.473230000000001</v>
      </c>
      <c r="V1242">
        <v>240490.2</v>
      </c>
    </row>
    <row r="1243" spans="1:22" x14ac:dyDescent="0.25">
      <c r="A1243" t="s">
        <v>2246</v>
      </c>
      <c r="B1243" t="s">
        <v>2247</v>
      </c>
      <c r="C1243">
        <v>795</v>
      </c>
      <c r="D1243">
        <v>96.8</v>
      </c>
      <c r="E1243">
        <v>96.78</v>
      </c>
      <c r="F1243" t="s">
        <v>2248</v>
      </c>
      <c r="G1243" t="s">
        <v>2248</v>
      </c>
      <c r="H1243">
        <f t="shared" si="22"/>
        <v>9</v>
      </c>
      <c r="M1243" s="1">
        <v>3.2917899079620699E-3</v>
      </c>
      <c r="N1243">
        <v>1131.65856933594</v>
      </c>
      <c r="O1243">
        <v>378.22680000000003</v>
      </c>
      <c r="P1243">
        <v>1131.6552734375</v>
      </c>
      <c r="Q1243">
        <v>378.22570800781301</v>
      </c>
      <c r="R1243">
        <v>3</v>
      </c>
      <c r="S1243">
        <v>1</v>
      </c>
      <c r="T1243">
        <v>11</v>
      </c>
      <c r="U1243">
        <v>28.413049999999899</v>
      </c>
      <c r="V1243">
        <v>3214927</v>
      </c>
    </row>
    <row r="1244" spans="1:22" x14ac:dyDescent="0.25">
      <c r="A1244" t="s">
        <v>3376</v>
      </c>
      <c r="B1244" t="s">
        <v>3377</v>
      </c>
      <c r="C1244">
        <v>127</v>
      </c>
      <c r="D1244">
        <v>97.5</v>
      </c>
      <c r="E1244">
        <v>97.45</v>
      </c>
      <c r="F1244" t="s">
        <v>3378</v>
      </c>
      <c r="G1244" t="s">
        <v>3378</v>
      </c>
      <c r="H1244">
        <f t="shared" si="22"/>
        <v>9</v>
      </c>
      <c r="M1244" s="1">
        <v>3.5462800879031298E-3</v>
      </c>
      <c r="N1244">
        <v>1231.69604492188</v>
      </c>
      <c r="O1244">
        <v>616.85530000000006</v>
      </c>
      <c r="P1244">
        <v>1231.69250488281</v>
      </c>
      <c r="Q1244">
        <v>616.853515625</v>
      </c>
      <c r="R1244">
        <v>2</v>
      </c>
      <c r="S1244">
        <v>1</v>
      </c>
      <c r="T1244">
        <v>10</v>
      </c>
      <c r="U1244">
        <v>45.005470000000003</v>
      </c>
      <c r="V1244">
        <v>178734.4</v>
      </c>
    </row>
    <row r="1245" spans="1:22" x14ac:dyDescent="0.25">
      <c r="A1245" t="s">
        <v>2993</v>
      </c>
      <c r="B1245" t="s">
        <v>2994</v>
      </c>
      <c r="C1245">
        <v>556</v>
      </c>
      <c r="D1245">
        <v>97.4</v>
      </c>
      <c r="E1245">
        <v>97.35</v>
      </c>
      <c r="F1245" t="s">
        <v>2995</v>
      </c>
      <c r="G1245" t="s">
        <v>2995</v>
      </c>
      <c r="H1245">
        <f t="shared" si="22"/>
        <v>9</v>
      </c>
      <c r="L1245" t="s">
        <v>47</v>
      </c>
      <c r="M1245" s="1">
        <v>-8.9102599304169297E-4</v>
      </c>
      <c r="N1245">
        <v>949.44964599609295</v>
      </c>
      <c r="O1245">
        <v>475.7321</v>
      </c>
      <c r="P1245">
        <v>949.45050048828102</v>
      </c>
      <c r="Q1245">
        <v>475.73254394531301</v>
      </c>
      <c r="R1245">
        <v>2</v>
      </c>
      <c r="S1245">
        <v>1</v>
      </c>
      <c r="T1245">
        <v>11</v>
      </c>
      <c r="U1245">
        <v>20.71977</v>
      </c>
      <c r="V1245">
        <v>215651.3</v>
      </c>
    </row>
    <row r="1246" spans="1:22" x14ac:dyDescent="0.25">
      <c r="A1246" t="s">
        <v>2804</v>
      </c>
      <c r="B1246" t="s">
        <v>2805</v>
      </c>
      <c r="C1246">
        <v>252</v>
      </c>
      <c r="D1246">
        <v>98</v>
      </c>
      <c r="E1246">
        <v>97.95</v>
      </c>
      <c r="F1246" t="s">
        <v>2806</v>
      </c>
      <c r="G1246" t="s">
        <v>2806</v>
      </c>
      <c r="H1246">
        <f t="shared" si="22"/>
        <v>15</v>
      </c>
      <c r="M1246" s="1">
        <v>1.2012700317427501E-3</v>
      </c>
      <c r="N1246">
        <v>1094.59252929688</v>
      </c>
      <c r="O1246">
        <v>548.30349999999896</v>
      </c>
      <c r="P1246">
        <v>1094.59130859375</v>
      </c>
      <c r="Q1246">
        <v>548.30291748046795</v>
      </c>
      <c r="R1246">
        <v>2</v>
      </c>
      <c r="S1246">
        <v>1</v>
      </c>
      <c r="T1246">
        <v>10</v>
      </c>
      <c r="U1246">
        <v>55.954149999999899</v>
      </c>
      <c r="V1246">
        <v>568291.6</v>
      </c>
    </row>
    <row r="1247" spans="1:22" x14ac:dyDescent="0.25">
      <c r="A1247" t="s">
        <v>4664</v>
      </c>
      <c r="B1247" t="s">
        <v>4665</v>
      </c>
      <c r="C1247">
        <v>1655</v>
      </c>
      <c r="D1247">
        <v>97.7</v>
      </c>
      <c r="E1247">
        <v>97.68</v>
      </c>
      <c r="F1247" t="s">
        <v>624</v>
      </c>
      <c r="G1247" t="s">
        <v>624</v>
      </c>
      <c r="H1247">
        <f t="shared" si="22"/>
        <v>9</v>
      </c>
      <c r="M1247" s="1">
        <v>-3.1635598861612401E-4</v>
      </c>
      <c r="N1247">
        <v>1110.60705566406</v>
      </c>
      <c r="O1247">
        <v>556.31079999999895</v>
      </c>
      <c r="P1247">
        <v>1110.60729980469</v>
      </c>
      <c r="Q1247">
        <v>556.31097412109295</v>
      </c>
      <c r="R1247">
        <v>2</v>
      </c>
      <c r="S1247">
        <v>8</v>
      </c>
      <c r="T1247">
        <v>11</v>
      </c>
      <c r="U1247">
        <v>53.053600000000003</v>
      </c>
      <c r="V1247">
        <v>3417023</v>
      </c>
    </row>
    <row r="1248" spans="1:22" x14ac:dyDescent="0.25">
      <c r="A1248" t="s">
        <v>3780</v>
      </c>
      <c r="B1248" t="s">
        <v>3781</v>
      </c>
      <c r="C1248">
        <v>160</v>
      </c>
      <c r="D1248">
        <v>99</v>
      </c>
      <c r="E1248">
        <v>99</v>
      </c>
      <c r="F1248" t="s">
        <v>3782</v>
      </c>
      <c r="G1248" t="s">
        <v>3782</v>
      </c>
      <c r="H1248">
        <f t="shared" si="22"/>
        <v>20</v>
      </c>
      <c r="M1248" s="1">
        <v>2.1280399523675299E-3</v>
      </c>
      <c r="N1248">
        <v>1415.77941894531</v>
      </c>
      <c r="O1248">
        <v>708.89700000000005</v>
      </c>
      <c r="P1248">
        <v>1415.77722167969</v>
      </c>
      <c r="Q1248">
        <v>708.89593505859295</v>
      </c>
      <c r="R1248">
        <v>2</v>
      </c>
      <c r="S1248">
        <v>1</v>
      </c>
      <c r="T1248">
        <v>13</v>
      </c>
      <c r="U1248">
        <v>48.334620000000001</v>
      </c>
      <c r="V1248">
        <v>805718.4</v>
      </c>
    </row>
    <row r="1249" spans="1:22" x14ac:dyDescent="0.25">
      <c r="A1249" t="s">
        <v>3780</v>
      </c>
      <c r="B1249" t="s">
        <v>3781</v>
      </c>
      <c r="C1249">
        <v>160</v>
      </c>
      <c r="D1249">
        <v>98.4</v>
      </c>
      <c r="E1249">
        <v>98.37</v>
      </c>
      <c r="F1249" t="s">
        <v>3783</v>
      </c>
      <c r="G1249" t="s">
        <v>3783</v>
      </c>
      <c r="H1249">
        <f t="shared" si="22"/>
        <v>18</v>
      </c>
      <c r="M1249">
        <v>1.521E-3</v>
      </c>
      <c r="N1249">
        <v>1184.56298828125</v>
      </c>
      <c r="O1249">
        <v>395.86160000000001</v>
      </c>
      <c r="P1249">
        <v>1184.56140136719</v>
      </c>
      <c r="Q1249">
        <v>395.861083984375</v>
      </c>
      <c r="R1249">
        <v>3</v>
      </c>
      <c r="S1249">
        <v>1</v>
      </c>
      <c r="T1249">
        <v>10</v>
      </c>
      <c r="U1249">
        <v>31.050830000000001</v>
      </c>
      <c r="V1249">
        <v>656422.5</v>
      </c>
    </row>
    <row r="1250" spans="1:22" x14ac:dyDescent="0.25">
      <c r="A1250" t="s">
        <v>3780</v>
      </c>
      <c r="B1250" t="s">
        <v>3781</v>
      </c>
      <c r="C1250">
        <v>160</v>
      </c>
      <c r="D1250">
        <v>99</v>
      </c>
      <c r="E1250">
        <v>99</v>
      </c>
      <c r="F1250" t="s">
        <v>3784</v>
      </c>
      <c r="G1250" t="s">
        <v>3784</v>
      </c>
      <c r="H1250">
        <f t="shared" si="22"/>
        <v>19</v>
      </c>
      <c r="L1250" t="s">
        <v>1379</v>
      </c>
      <c r="M1250" s="1">
        <v>7.88223987910896E-4</v>
      </c>
      <c r="N1250">
        <v>1561.82202148438</v>
      </c>
      <c r="O1250">
        <v>521.6146</v>
      </c>
      <c r="P1250">
        <v>1561.8212890625</v>
      </c>
      <c r="Q1250">
        <v>521.61437988281205</v>
      </c>
      <c r="R1250">
        <v>3</v>
      </c>
      <c r="S1250">
        <v>1</v>
      </c>
      <c r="T1250">
        <v>13</v>
      </c>
      <c r="U1250">
        <v>27.73237</v>
      </c>
      <c r="V1250">
        <v>659583.80000000005</v>
      </c>
    </row>
    <row r="1251" spans="1:22" x14ac:dyDescent="0.25">
      <c r="A1251" t="s">
        <v>4412</v>
      </c>
      <c r="B1251" t="s">
        <v>4413</v>
      </c>
      <c r="C1251">
        <v>343</v>
      </c>
      <c r="D1251">
        <v>97.2</v>
      </c>
      <c r="E1251">
        <v>97.17</v>
      </c>
      <c r="F1251" t="s">
        <v>4414</v>
      </c>
      <c r="G1251" t="s">
        <v>4414</v>
      </c>
      <c r="H1251">
        <f t="shared" si="22"/>
        <v>9</v>
      </c>
      <c r="M1251" s="1">
        <v>-1.76276999991387E-3</v>
      </c>
      <c r="N1251">
        <v>1169.61755371094</v>
      </c>
      <c r="O1251">
        <v>390.87979999999902</v>
      </c>
      <c r="P1251">
        <v>1169.61926269531</v>
      </c>
      <c r="Q1251">
        <v>390.88037109375</v>
      </c>
      <c r="R1251">
        <v>3</v>
      </c>
      <c r="S1251">
        <v>2</v>
      </c>
      <c r="T1251">
        <v>10</v>
      </c>
      <c r="U1251">
        <v>20.90532</v>
      </c>
      <c r="V1251">
        <v>431013.1</v>
      </c>
    </row>
    <row r="1252" spans="1:22" x14ac:dyDescent="0.25">
      <c r="A1252" t="s">
        <v>2405</v>
      </c>
      <c r="B1252" t="s">
        <v>2406</v>
      </c>
      <c r="C1252">
        <v>52</v>
      </c>
      <c r="D1252">
        <v>99</v>
      </c>
      <c r="E1252">
        <v>99</v>
      </c>
      <c r="F1252" t="s">
        <v>2407</v>
      </c>
      <c r="G1252" t="s">
        <v>2407</v>
      </c>
      <c r="H1252">
        <f t="shared" si="22"/>
        <v>16</v>
      </c>
      <c r="M1252" s="1">
        <v>2.71501997485757E-3</v>
      </c>
      <c r="N1252">
        <v>1011.54504394531</v>
      </c>
      <c r="O1252">
        <v>506.77980000000002</v>
      </c>
      <c r="P1252">
        <v>1011.54229736328</v>
      </c>
      <c r="Q1252">
        <v>506.77844238281301</v>
      </c>
      <c r="R1252">
        <v>2</v>
      </c>
      <c r="S1252">
        <v>1</v>
      </c>
      <c r="T1252">
        <v>11</v>
      </c>
      <c r="U1252">
        <v>24.14753</v>
      </c>
      <c r="V1252">
        <v>909079.2</v>
      </c>
    </row>
    <row r="1253" spans="1:22" x14ac:dyDescent="0.25">
      <c r="A1253" t="s">
        <v>471</v>
      </c>
      <c r="B1253" t="s">
        <v>472</v>
      </c>
      <c r="C1253">
        <v>376</v>
      </c>
      <c r="D1253">
        <v>99</v>
      </c>
      <c r="E1253">
        <v>99</v>
      </c>
      <c r="F1253" t="s">
        <v>473</v>
      </c>
      <c r="G1253" t="s">
        <v>473</v>
      </c>
      <c r="H1253">
        <f t="shared" si="22"/>
        <v>9</v>
      </c>
      <c r="M1253" s="1">
        <v>-2.95354006811976E-3</v>
      </c>
      <c r="N1253">
        <v>1105.62548828125</v>
      </c>
      <c r="O1253">
        <v>553.82000000000005</v>
      </c>
      <c r="P1253">
        <v>1105.62841796875</v>
      </c>
      <c r="Q1253">
        <v>553.82147216796795</v>
      </c>
      <c r="R1253">
        <v>2</v>
      </c>
      <c r="S1253">
        <v>1</v>
      </c>
      <c r="T1253">
        <v>11</v>
      </c>
      <c r="U1253">
        <v>48.287280000000003</v>
      </c>
      <c r="V1253">
        <v>277788.09999999899</v>
      </c>
    </row>
    <row r="1254" spans="1:22" x14ac:dyDescent="0.25">
      <c r="A1254" t="s">
        <v>2807</v>
      </c>
      <c r="B1254" t="s">
        <v>2808</v>
      </c>
      <c r="C1254">
        <v>401</v>
      </c>
      <c r="D1254">
        <v>99</v>
      </c>
      <c r="E1254">
        <v>99</v>
      </c>
      <c r="F1254" t="s">
        <v>2809</v>
      </c>
      <c r="G1254" t="s">
        <v>2809</v>
      </c>
      <c r="H1254">
        <f t="shared" si="22"/>
        <v>10</v>
      </c>
      <c r="M1254" s="1">
        <v>5.0385799258947303E-3</v>
      </c>
      <c r="N1254">
        <v>1830.95666503906</v>
      </c>
      <c r="O1254">
        <v>916.48559999999895</v>
      </c>
      <c r="P1254">
        <v>1830.95166015625</v>
      </c>
      <c r="Q1254">
        <v>916.48309326171795</v>
      </c>
      <c r="R1254">
        <v>2</v>
      </c>
      <c r="S1254">
        <v>2</v>
      </c>
      <c r="T1254">
        <v>18</v>
      </c>
      <c r="U1254">
        <v>33.382370000000002</v>
      </c>
      <c r="V1254">
        <v>256906</v>
      </c>
    </row>
    <row r="1255" spans="1:22" x14ac:dyDescent="0.25">
      <c r="A1255" t="s">
        <v>858</v>
      </c>
      <c r="B1255" t="s">
        <v>859</v>
      </c>
      <c r="C1255">
        <v>119</v>
      </c>
      <c r="D1255">
        <v>99</v>
      </c>
      <c r="E1255">
        <v>99</v>
      </c>
      <c r="F1255" t="s">
        <v>860</v>
      </c>
      <c r="G1255" t="s">
        <v>860</v>
      </c>
      <c r="H1255">
        <f t="shared" si="22"/>
        <v>9</v>
      </c>
      <c r="M1255" s="1">
        <v>4.1373600834049301E-4</v>
      </c>
      <c r="N1255">
        <v>1064.52551269531</v>
      </c>
      <c r="O1255">
        <v>533.27</v>
      </c>
      <c r="P1255">
        <v>1064.52502441406</v>
      </c>
      <c r="Q1255">
        <v>533.26983642578102</v>
      </c>
      <c r="R1255">
        <v>2</v>
      </c>
      <c r="S1255">
        <v>1</v>
      </c>
      <c r="T1255">
        <v>12</v>
      </c>
      <c r="U1255">
        <v>28.099329999999899</v>
      </c>
      <c r="V1255">
        <v>553045.30000000005</v>
      </c>
    </row>
    <row r="1256" spans="1:22" x14ac:dyDescent="0.25">
      <c r="A1256" t="s">
        <v>712</v>
      </c>
      <c r="B1256" t="s">
        <v>713</v>
      </c>
      <c r="C1256">
        <v>195</v>
      </c>
      <c r="D1256">
        <v>99</v>
      </c>
      <c r="E1256">
        <v>99</v>
      </c>
      <c r="F1256" t="s">
        <v>714</v>
      </c>
      <c r="G1256" t="s">
        <v>714</v>
      </c>
      <c r="H1256">
        <f t="shared" si="22"/>
        <v>9</v>
      </c>
      <c r="M1256" s="1">
        <v>3.3861598931253E-3</v>
      </c>
      <c r="N1256">
        <v>1059.57470703125</v>
      </c>
      <c r="O1256">
        <v>530.79459999999904</v>
      </c>
      <c r="P1256">
        <v>1059.5712890625</v>
      </c>
      <c r="Q1256">
        <v>530.79290771484295</v>
      </c>
      <c r="R1256">
        <v>2</v>
      </c>
      <c r="S1256">
        <v>1</v>
      </c>
      <c r="T1256">
        <v>11</v>
      </c>
      <c r="U1256">
        <v>32.48677</v>
      </c>
      <c r="V1256">
        <v>817897.5</v>
      </c>
    </row>
    <row r="1257" spans="1:22" x14ac:dyDescent="0.25">
      <c r="A1257" t="s">
        <v>712</v>
      </c>
      <c r="B1257" t="s">
        <v>713</v>
      </c>
      <c r="C1257">
        <v>431</v>
      </c>
      <c r="D1257">
        <v>98.2</v>
      </c>
      <c r="E1257">
        <v>98.22</v>
      </c>
      <c r="F1257" t="s">
        <v>715</v>
      </c>
      <c r="G1257" t="s">
        <v>715</v>
      </c>
      <c r="H1257">
        <f t="shared" si="22"/>
        <v>9</v>
      </c>
      <c r="M1257" s="1">
        <v>1.06065003201365E-2</v>
      </c>
      <c r="N1257">
        <v>3670.79565429688</v>
      </c>
      <c r="O1257">
        <v>918.70619999999894</v>
      </c>
      <c r="P1257">
        <v>3670.78491210938</v>
      </c>
      <c r="Q1257">
        <v>918.70355224609295</v>
      </c>
      <c r="R1257">
        <v>4</v>
      </c>
      <c r="S1257">
        <v>1</v>
      </c>
      <c r="T1257">
        <v>18</v>
      </c>
      <c r="U1257">
        <v>26.598870000000002</v>
      </c>
      <c r="V1257">
        <v>724278.2</v>
      </c>
    </row>
    <row r="1258" spans="1:22" x14ac:dyDescent="0.25">
      <c r="A1258" t="s">
        <v>3353</v>
      </c>
      <c r="B1258" t="s">
        <v>3354</v>
      </c>
      <c r="C1258">
        <v>202</v>
      </c>
      <c r="D1258">
        <v>99</v>
      </c>
      <c r="E1258">
        <v>99</v>
      </c>
      <c r="F1258" t="s">
        <v>3355</v>
      </c>
      <c r="G1258" t="s">
        <v>3355</v>
      </c>
      <c r="H1258">
        <f t="shared" si="22"/>
        <v>9</v>
      </c>
      <c r="M1258" s="1">
        <v>4.65842010453342E-3</v>
      </c>
      <c r="N1258">
        <v>1036.54223632813</v>
      </c>
      <c r="O1258">
        <v>519.27840000000003</v>
      </c>
      <c r="P1258">
        <v>1036.53759765625</v>
      </c>
      <c r="Q1258">
        <v>519.27606201171795</v>
      </c>
      <c r="R1258">
        <v>2</v>
      </c>
      <c r="S1258">
        <v>1</v>
      </c>
      <c r="T1258">
        <v>11</v>
      </c>
      <c r="U1258">
        <v>40.5322999999999</v>
      </c>
      <c r="V1258">
        <v>752008.3</v>
      </c>
    </row>
    <row r="1259" spans="1:22" x14ac:dyDescent="0.25">
      <c r="A1259" t="s">
        <v>1624</v>
      </c>
      <c r="B1259" t="s">
        <v>1625</v>
      </c>
      <c r="C1259">
        <v>504</v>
      </c>
      <c r="D1259">
        <v>99</v>
      </c>
      <c r="E1259">
        <v>99</v>
      </c>
      <c r="F1259" t="s">
        <v>1626</v>
      </c>
      <c r="G1259" t="s">
        <v>1626</v>
      </c>
      <c r="H1259">
        <f t="shared" si="22"/>
        <v>9</v>
      </c>
      <c r="M1259" s="1">
        <v>2.1790401078760498E-3</v>
      </c>
      <c r="N1259">
        <v>1057.60546875</v>
      </c>
      <c r="O1259">
        <v>529.80999999999904</v>
      </c>
      <c r="P1259">
        <v>1057.60327148438</v>
      </c>
      <c r="Q1259">
        <v>529.80889892578102</v>
      </c>
      <c r="R1259">
        <v>2</v>
      </c>
      <c r="S1259">
        <v>2</v>
      </c>
      <c r="T1259">
        <v>11</v>
      </c>
      <c r="U1259">
        <v>22.63823</v>
      </c>
      <c r="V1259">
        <v>2437750</v>
      </c>
    </row>
    <row r="1260" spans="1:22" x14ac:dyDescent="0.25">
      <c r="A1260" t="s">
        <v>1624</v>
      </c>
      <c r="B1260" t="s">
        <v>1625</v>
      </c>
      <c r="C1260">
        <v>130</v>
      </c>
      <c r="D1260">
        <v>99</v>
      </c>
      <c r="E1260">
        <v>99</v>
      </c>
      <c r="F1260" t="s">
        <v>123</v>
      </c>
      <c r="G1260" t="s">
        <v>123</v>
      </c>
      <c r="H1260">
        <f t="shared" si="22"/>
        <v>8</v>
      </c>
      <c r="L1260" t="s">
        <v>116</v>
      </c>
      <c r="M1260" s="1">
        <v>-4.0347999893128803E-3</v>
      </c>
      <c r="N1260">
        <v>1167.57788085938</v>
      </c>
      <c r="O1260">
        <v>390.19990000000001</v>
      </c>
      <c r="P1260">
        <v>1167.58190917969</v>
      </c>
      <c r="Q1260">
        <v>390.20123291015602</v>
      </c>
      <c r="R1260">
        <v>3</v>
      </c>
      <c r="S1260">
        <v>2</v>
      </c>
      <c r="T1260">
        <v>9</v>
      </c>
      <c r="U1260">
        <v>21.0258299999999</v>
      </c>
      <c r="V1260">
        <v>2988686</v>
      </c>
    </row>
    <row r="1261" spans="1:22" x14ac:dyDescent="0.25">
      <c r="A1261" t="s">
        <v>3312</v>
      </c>
      <c r="B1261" t="s">
        <v>3313</v>
      </c>
      <c r="C1261">
        <v>453</v>
      </c>
      <c r="D1261">
        <v>99</v>
      </c>
      <c r="E1261">
        <v>99</v>
      </c>
      <c r="F1261" t="s">
        <v>3314</v>
      </c>
      <c r="G1261" t="s">
        <v>3314</v>
      </c>
      <c r="H1261">
        <f t="shared" si="22"/>
        <v>11</v>
      </c>
      <c r="M1261">
        <v>5.9410000000000001E-3</v>
      </c>
      <c r="N1261">
        <v>1059.61364746094</v>
      </c>
      <c r="O1261">
        <v>530.81410000000005</v>
      </c>
      <c r="P1261">
        <v>1059.60766601563</v>
      </c>
      <c r="Q1261">
        <v>530.81109619140602</v>
      </c>
      <c r="R1261">
        <v>2</v>
      </c>
      <c r="S1261">
        <v>3</v>
      </c>
      <c r="T1261">
        <v>12</v>
      </c>
      <c r="U1261">
        <v>44.9390199999999</v>
      </c>
      <c r="V1261">
        <v>1450945</v>
      </c>
    </row>
    <row r="1262" spans="1:22" x14ac:dyDescent="0.25">
      <c r="A1262" t="s">
        <v>796</v>
      </c>
      <c r="B1262" t="s">
        <v>797</v>
      </c>
      <c r="C1262">
        <v>324</v>
      </c>
      <c r="D1262">
        <v>98.8</v>
      </c>
      <c r="E1262">
        <v>98.8</v>
      </c>
      <c r="F1262" t="s">
        <v>606</v>
      </c>
      <c r="G1262" t="s">
        <v>606</v>
      </c>
      <c r="H1262">
        <f t="shared" si="22"/>
        <v>9</v>
      </c>
      <c r="M1262" s="1">
        <v>2.7923199813813001E-3</v>
      </c>
      <c r="N1262">
        <v>1081.59484863281</v>
      </c>
      <c r="O1262">
        <v>541.80470000000003</v>
      </c>
      <c r="P1262">
        <v>1081.59204101563</v>
      </c>
      <c r="Q1262">
        <v>541.80328369140602</v>
      </c>
      <c r="R1262">
        <v>2</v>
      </c>
      <c r="S1262">
        <v>1</v>
      </c>
      <c r="T1262">
        <v>11</v>
      </c>
      <c r="U1262">
        <v>41.3902</v>
      </c>
      <c r="V1262">
        <v>752320.5</v>
      </c>
    </row>
    <row r="1263" spans="1:22" x14ac:dyDescent="0.25">
      <c r="A1263" t="s">
        <v>550</v>
      </c>
      <c r="B1263" t="s">
        <v>551</v>
      </c>
      <c r="C1263">
        <v>986</v>
      </c>
      <c r="D1263">
        <v>99</v>
      </c>
      <c r="E1263">
        <v>99</v>
      </c>
      <c r="F1263" t="s">
        <v>1532</v>
      </c>
      <c r="G1263" t="s">
        <v>1532</v>
      </c>
      <c r="H1263">
        <f t="shared" si="22"/>
        <v>9</v>
      </c>
      <c r="M1263" s="1">
        <v>3.3012500498443699E-3</v>
      </c>
      <c r="N1263">
        <v>1090.61682128906</v>
      </c>
      <c r="O1263">
        <v>546.31569999999897</v>
      </c>
      <c r="P1263">
        <v>1090.61352539063</v>
      </c>
      <c r="Q1263">
        <v>546.31402587890602</v>
      </c>
      <c r="R1263">
        <v>2</v>
      </c>
      <c r="S1263">
        <v>2</v>
      </c>
      <c r="T1263">
        <v>12</v>
      </c>
      <c r="U1263">
        <v>24.3657</v>
      </c>
      <c r="V1263">
        <v>11132570</v>
      </c>
    </row>
    <row r="1264" spans="1:22" x14ac:dyDescent="0.25">
      <c r="A1264" t="s">
        <v>1747</v>
      </c>
      <c r="B1264" t="s">
        <v>1748</v>
      </c>
      <c r="C1264">
        <v>2</v>
      </c>
      <c r="D1264">
        <v>98.6</v>
      </c>
      <c r="E1264">
        <v>98.6</v>
      </c>
      <c r="F1264" t="s">
        <v>1749</v>
      </c>
      <c r="G1264" t="s">
        <v>1749</v>
      </c>
      <c r="H1264">
        <f t="shared" si="22"/>
        <v>16</v>
      </c>
      <c r="L1264" t="s">
        <v>227</v>
      </c>
      <c r="M1264" s="1">
        <v>9.01686027646064E-4</v>
      </c>
      <c r="N1264">
        <v>1282.58728027344</v>
      </c>
      <c r="O1264">
        <v>642.30089999999905</v>
      </c>
      <c r="P1264">
        <v>1282.58630371094</v>
      </c>
      <c r="Q1264">
        <v>642.30047607421795</v>
      </c>
      <c r="R1264">
        <v>2</v>
      </c>
      <c r="S1264">
        <v>1</v>
      </c>
      <c r="T1264">
        <v>14</v>
      </c>
      <c r="U1264">
        <v>47.3818699999999</v>
      </c>
      <c r="V1264">
        <v>644761.1</v>
      </c>
    </row>
    <row r="1265" spans="1:22" x14ac:dyDescent="0.25">
      <c r="A1265" t="s">
        <v>1747</v>
      </c>
      <c r="B1265" t="s">
        <v>1748</v>
      </c>
      <c r="C1265">
        <v>2</v>
      </c>
      <c r="D1265">
        <v>98.7</v>
      </c>
      <c r="E1265">
        <v>98.67</v>
      </c>
      <c r="F1265" t="s">
        <v>1750</v>
      </c>
      <c r="G1265" t="s">
        <v>1750</v>
      </c>
      <c r="H1265">
        <f t="shared" si="22"/>
        <v>17</v>
      </c>
      <c r="L1265" t="s">
        <v>227</v>
      </c>
      <c r="M1265" s="1">
        <v>5.4409801959991403E-3</v>
      </c>
      <c r="N1265">
        <v>1675.72766113281</v>
      </c>
      <c r="O1265">
        <v>838.87109999999905</v>
      </c>
      <c r="P1265">
        <v>1675.72216796875</v>
      </c>
      <c r="Q1265">
        <v>838.86834716796795</v>
      </c>
      <c r="R1265">
        <v>2</v>
      </c>
      <c r="S1265">
        <v>1</v>
      </c>
      <c r="T1265">
        <v>15</v>
      </c>
      <c r="U1265">
        <v>56.501779999999897</v>
      </c>
      <c r="V1265">
        <v>358310.40000000002</v>
      </c>
    </row>
    <row r="1266" spans="1:22" x14ac:dyDescent="0.25">
      <c r="A1266" t="s">
        <v>1747</v>
      </c>
      <c r="B1266" t="s">
        <v>1748</v>
      </c>
      <c r="C1266">
        <v>2</v>
      </c>
      <c r="D1266">
        <v>99</v>
      </c>
      <c r="E1266">
        <v>99</v>
      </c>
      <c r="F1266" t="s">
        <v>1751</v>
      </c>
      <c r="G1266" t="s">
        <v>1751</v>
      </c>
      <c r="H1266">
        <f t="shared" si="22"/>
        <v>18</v>
      </c>
      <c r="L1266" t="s">
        <v>227</v>
      </c>
      <c r="M1266" s="1">
        <v>1.37347998097539E-2</v>
      </c>
      <c r="N1266">
        <v>2537.18334960938</v>
      </c>
      <c r="O1266">
        <v>1269.5989999999899</v>
      </c>
      <c r="P1266">
        <v>2537.16967773438</v>
      </c>
      <c r="Q1266">
        <v>1269.59216308594</v>
      </c>
      <c r="R1266">
        <v>2</v>
      </c>
      <c r="S1266">
        <v>1</v>
      </c>
      <c r="T1266">
        <v>16</v>
      </c>
      <c r="U1266">
        <v>55.565869999999897</v>
      </c>
      <c r="V1266">
        <v>666127.30000000005</v>
      </c>
    </row>
    <row r="1267" spans="1:22" x14ac:dyDescent="0.25">
      <c r="A1267" t="s">
        <v>1747</v>
      </c>
      <c r="B1267" t="s">
        <v>1748</v>
      </c>
      <c r="C1267">
        <v>2</v>
      </c>
      <c r="D1267">
        <v>99</v>
      </c>
      <c r="E1267">
        <v>99</v>
      </c>
      <c r="F1267" t="s">
        <v>1752</v>
      </c>
      <c r="G1267" t="s">
        <v>1752</v>
      </c>
      <c r="H1267">
        <f t="shared" si="22"/>
        <v>19</v>
      </c>
      <c r="L1267" t="s">
        <v>227</v>
      </c>
      <c r="M1267" s="1">
        <v>9.6996696665882995E-3</v>
      </c>
      <c r="N1267">
        <v>1816.93041992188</v>
      </c>
      <c r="O1267">
        <v>909.47249999999894</v>
      </c>
      <c r="P1267">
        <v>1816.92065429688</v>
      </c>
      <c r="Q1267">
        <v>909.46765136718705</v>
      </c>
      <c r="R1267">
        <v>2</v>
      </c>
      <c r="S1267">
        <v>1</v>
      </c>
      <c r="T1267">
        <v>15</v>
      </c>
      <c r="U1267">
        <v>37.63438</v>
      </c>
      <c r="V1267">
        <v>308233.09999999899</v>
      </c>
    </row>
    <row r="1268" spans="1:22" x14ac:dyDescent="0.25">
      <c r="A1268" t="s">
        <v>665</v>
      </c>
      <c r="B1268" t="s">
        <v>666</v>
      </c>
      <c r="C1268">
        <v>346</v>
      </c>
      <c r="D1268">
        <v>97.5</v>
      </c>
      <c r="E1268">
        <v>97.49</v>
      </c>
      <c r="F1268" t="s">
        <v>667</v>
      </c>
      <c r="G1268" t="s">
        <v>667</v>
      </c>
      <c r="H1268">
        <f t="shared" si="22"/>
        <v>9</v>
      </c>
      <c r="M1268">
        <v>1.2862999999999999E-2</v>
      </c>
      <c r="N1268">
        <v>1604.90551757813</v>
      </c>
      <c r="O1268">
        <v>803.46</v>
      </c>
      <c r="P1268">
        <v>1604.892578125</v>
      </c>
      <c r="Q1268">
        <v>803.45361328125</v>
      </c>
      <c r="R1268">
        <v>2</v>
      </c>
      <c r="S1268">
        <v>1</v>
      </c>
      <c r="T1268">
        <v>11</v>
      </c>
      <c r="U1268">
        <v>39.706519999999898</v>
      </c>
      <c r="V1268">
        <v>221815</v>
      </c>
    </row>
    <row r="1269" spans="1:22" x14ac:dyDescent="0.25">
      <c r="A1269" t="s">
        <v>4254</v>
      </c>
      <c r="B1269" t="s">
        <v>4255</v>
      </c>
      <c r="C1269">
        <v>120</v>
      </c>
      <c r="D1269">
        <v>99</v>
      </c>
      <c r="E1269">
        <v>99</v>
      </c>
      <c r="F1269" t="s">
        <v>4256</v>
      </c>
      <c r="G1269" t="s">
        <v>4256</v>
      </c>
      <c r="H1269">
        <f t="shared" si="22"/>
        <v>16</v>
      </c>
      <c r="M1269" s="1">
        <v>3.60965006984769E-3</v>
      </c>
      <c r="N1269">
        <v>1038.55346679688</v>
      </c>
      <c r="O1269">
        <v>520.28399999999897</v>
      </c>
      <c r="P1269">
        <v>1038.5498046875</v>
      </c>
      <c r="Q1269">
        <v>520.28216552734295</v>
      </c>
      <c r="R1269">
        <v>2</v>
      </c>
      <c r="S1269">
        <v>2</v>
      </c>
      <c r="T1269">
        <v>11</v>
      </c>
      <c r="U1269">
        <v>39.7684</v>
      </c>
      <c r="V1269">
        <v>2960526</v>
      </c>
    </row>
    <row r="1270" spans="1:22" x14ac:dyDescent="0.25">
      <c r="A1270" t="s">
        <v>4254</v>
      </c>
      <c r="B1270" t="s">
        <v>4255</v>
      </c>
      <c r="C1270">
        <v>120</v>
      </c>
      <c r="D1270">
        <v>99</v>
      </c>
      <c r="E1270">
        <v>99</v>
      </c>
      <c r="F1270" t="s">
        <v>4257</v>
      </c>
      <c r="G1270" t="s">
        <v>4257</v>
      </c>
      <c r="H1270">
        <f t="shared" si="22"/>
        <v>18</v>
      </c>
      <c r="M1270" s="1">
        <v>2.50484002754092E-3</v>
      </c>
      <c r="N1270">
        <v>1156.64184570313</v>
      </c>
      <c r="O1270">
        <v>579.32820000000004</v>
      </c>
      <c r="P1270">
        <v>1156.63928222656</v>
      </c>
      <c r="Q1270">
        <v>579.326904296875</v>
      </c>
      <c r="R1270">
        <v>2</v>
      </c>
      <c r="S1270">
        <v>1</v>
      </c>
      <c r="T1270">
        <v>11</v>
      </c>
      <c r="U1270">
        <v>37.948639999999898</v>
      </c>
      <c r="V1270">
        <v>477832.6</v>
      </c>
    </row>
    <row r="1271" spans="1:22" x14ac:dyDescent="0.25">
      <c r="A1271" t="s">
        <v>4254</v>
      </c>
      <c r="B1271" t="s">
        <v>4255</v>
      </c>
      <c r="C1271">
        <v>50</v>
      </c>
      <c r="D1271">
        <v>99</v>
      </c>
      <c r="E1271">
        <v>99</v>
      </c>
      <c r="F1271" t="s">
        <v>4258</v>
      </c>
      <c r="G1271" t="s">
        <v>4258</v>
      </c>
      <c r="H1271">
        <f t="shared" si="22"/>
        <v>16</v>
      </c>
      <c r="M1271" s="1">
        <v>-1.17928000690881E-4</v>
      </c>
      <c r="N1271">
        <v>1115.60144042969</v>
      </c>
      <c r="O1271">
        <v>558.80799999999897</v>
      </c>
      <c r="P1271">
        <v>1115.6015625</v>
      </c>
      <c r="Q1271">
        <v>558.80804443359295</v>
      </c>
      <c r="R1271">
        <v>2</v>
      </c>
      <c r="S1271">
        <v>1</v>
      </c>
      <c r="T1271">
        <v>14</v>
      </c>
      <c r="U1271">
        <v>34.258519999999898</v>
      </c>
      <c r="V1271">
        <v>1475346</v>
      </c>
    </row>
    <row r="1272" spans="1:22" x14ac:dyDescent="0.25">
      <c r="A1272" t="s">
        <v>4254</v>
      </c>
      <c r="B1272" t="s">
        <v>4255</v>
      </c>
      <c r="C1272">
        <v>47</v>
      </c>
      <c r="D1272">
        <v>98.9</v>
      </c>
      <c r="E1272">
        <v>98.87</v>
      </c>
      <c r="F1272" t="s">
        <v>4259</v>
      </c>
      <c r="G1272" t="s">
        <v>4259</v>
      </c>
      <c r="H1272">
        <f t="shared" si="22"/>
        <v>19</v>
      </c>
      <c r="M1272" s="1">
        <v>6.2422198243439102E-3</v>
      </c>
      <c r="N1272">
        <v>1939.00146484375</v>
      </c>
      <c r="O1272">
        <v>970.50800000000004</v>
      </c>
      <c r="P1272">
        <v>1938.99523925781</v>
      </c>
      <c r="Q1272">
        <v>970.5048828125</v>
      </c>
      <c r="R1272">
        <v>2</v>
      </c>
      <c r="S1272">
        <v>1</v>
      </c>
      <c r="T1272">
        <v>11</v>
      </c>
      <c r="U1272">
        <v>48.782550000000001</v>
      </c>
      <c r="V1272">
        <v>222839.4</v>
      </c>
    </row>
    <row r="1273" spans="1:22" x14ac:dyDescent="0.25">
      <c r="A1273" t="s">
        <v>4254</v>
      </c>
      <c r="B1273" t="s">
        <v>4255</v>
      </c>
      <c r="C1273">
        <v>197</v>
      </c>
      <c r="D1273">
        <v>99</v>
      </c>
      <c r="E1273">
        <v>99</v>
      </c>
      <c r="F1273" t="s">
        <v>4260</v>
      </c>
      <c r="G1273" t="s">
        <v>4260</v>
      </c>
      <c r="H1273">
        <f t="shared" si="22"/>
        <v>17</v>
      </c>
      <c r="M1273">
        <v>-6.0700000000000001E-4</v>
      </c>
      <c r="N1273">
        <v>1281.63610839844</v>
      </c>
      <c r="O1273">
        <v>641.82529999999895</v>
      </c>
      <c r="P1273">
        <v>1281.63671875</v>
      </c>
      <c r="Q1273">
        <v>641.82562255859295</v>
      </c>
      <c r="R1273">
        <v>2</v>
      </c>
      <c r="S1273">
        <v>3</v>
      </c>
      <c r="T1273">
        <v>11</v>
      </c>
      <c r="U1273">
        <v>22.07827</v>
      </c>
      <c r="V1273">
        <v>26326220</v>
      </c>
    </row>
    <row r="1274" spans="1:22" x14ac:dyDescent="0.25">
      <c r="A1274" t="s">
        <v>3760</v>
      </c>
      <c r="B1274" t="s">
        <v>3761</v>
      </c>
      <c r="C1274">
        <v>81</v>
      </c>
      <c r="D1274">
        <v>99</v>
      </c>
      <c r="E1274">
        <v>99</v>
      </c>
      <c r="F1274" t="s">
        <v>3762</v>
      </c>
      <c r="G1274" t="s">
        <v>3762</v>
      </c>
      <c r="H1274">
        <f t="shared" si="22"/>
        <v>16</v>
      </c>
      <c r="M1274" s="1">
        <v>5.4961401037871803E-3</v>
      </c>
      <c r="N1274">
        <v>1116.56591796875</v>
      </c>
      <c r="O1274">
        <v>559.29020000000003</v>
      </c>
      <c r="P1274">
        <v>1116.56042480469</v>
      </c>
      <c r="Q1274">
        <v>559.28747558593705</v>
      </c>
      <c r="R1274">
        <v>2</v>
      </c>
      <c r="S1274">
        <v>1</v>
      </c>
      <c r="T1274">
        <v>11</v>
      </c>
      <c r="U1274">
        <v>44.385420000000003</v>
      </c>
      <c r="V1274">
        <v>1423858</v>
      </c>
    </row>
    <row r="1275" spans="1:22" x14ac:dyDescent="0.25">
      <c r="A1275" t="s">
        <v>200</v>
      </c>
      <c r="B1275" t="s">
        <v>201</v>
      </c>
      <c r="C1275">
        <v>128</v>
      </c>
      <c r="D1275">
        <v>99</v>
      </c>
      <c r="E1275">
        <v>99</v>
      </c>
      <c r="F1275" t="s">
        <v>202</v>
      </c>
      <c r="G1275" t="s">
        <v>202</v>
      </c>
      <c r="H1275">
        <f t="shared" si="22"/>
        <v>9</v>
      </c>
      <c r="M1275" s="1">
        <v>7.2328201495110902E-3</v>
      </c>
      <c r="N1275">
        <v>1140.65161132813</v>
      </c>
      <c r="O1275">
        <v>381.22449999999901</v>
      </c>
      <c r="P1275">
        <v>1140.64440917969</v>
      </c>
      <c r="Q1275">
        <v>381.22207641601602</v>
      </c>
      <c r="R1275">
        <v>3</v>
      </c>
      <c r="S1275">
        <v>7</v>
      </c>
      <c r="T1275">
        <v>11</v>
      </c>
      <c r="U1275">
        <v>40.954270000000001</v>
      </c>
      <c r="V1275">
        <v>11610400</v>
      </c>
    </row>
    <row r="1276" spans="1:22" x14ac:dyDescent="0.25">
      <c r="A1276" t="s">
        <v>845</v>
      </c>
      <c r="B1276" t="s">
        <v>846</v>
      </c>
      <c r="C1276">
        <v>219</v>
      </c>
      <c r="D1276">
        <v>97.4</v>
      </c>
      <c r="E1276">
        <v>97.39</v>
      </c>
      <c r="F1276" t="s">
        <v>847</v>
      </c>
      <c r="G1276" t="s">
        <v>847</v>
      </c>
      <c r="H1276">
        <f t="shared" si="22"/>
        <v>9</v>
      </c>
      <c r="M1276" s="1">
        <v>2.5687699671834599E-3</v>
      </c>
      <c r="N1276">
        <v>1262.63952636719</v>
      </c>
      <c r="O1276">
        <v>632.327</v>
      </c>
      <c r="P1276">
        <v>1262.63696289063</v>
      </c>
      <c r="Q1276">
        <v>632.32574462890602</v>
      </c>
      <c r="R1276">
        <v>2</v>
      </c>
      <c r="S1276">
        <v>2</v>
      </c>
      <c r="T1276">
        <v>13</v>
      </c>
      <c r="U1276">
        <v>38.63167</v>
      </c>
      <c r="V1276">
        <v>498915.7</v>
      </c>
    </row>
    <row r="1277" spans="1:22" x14ac:dyDescent="0.25">
      <c r="A1277" t="s">
        <v>845</v>
      </c>
      <c r="B1277" t="s">
        <v>846</v>
      </c>
      <c r="C1277">
        <v>313</v>
      </c>
      <c r="D1277">
        <v>99</v>
      </c>
      <c r="E1277">
        <v>99</v>
      </c>
      <c r="F1277" t="s">
        <v>848</v>
      </c>
      <c r="G1277" t="s">
        <v>848</v>
      </c>
      <c r="H1277">
        <f t="shared" si="22"/>
        <v>9</v>
      </c>
      <c r="M1277" s="1">
        <v>2.5182500481605401E-2</v>
      </c>
      <c r="N1277">
        <v>998.61248779296795</v>
      </c>
      <c r="O1277">
        <v>500.31349999999901</v>
      </c>
      <c r="P1277">
        <v>998.58728027343705</v>
      </c>
      <c r="Q1277">
        <v>500.30090332031301</v>
      </c>
      <c r="R1277">
        <v>2</v>
      </c>
      <c r="S1277">
        <v>1</v>
      </c>
      <c r="T1277">
        <v>12</v>
      </c>
      <c r="U1277">
        <v>26.832170000000001</v>
      </c>
      <c r="V1277">
        <v>529067.4</v>
      </c>
    </row>
    <row r="1278" spans="1:22" x14ac:dyDescent="0.25">
      <c r="A1278" t="s">
        <v>3796</v>
      </c>
      <c r="B1278" t="s">
        <v>3797</v>
      </c>
      <c r="C1278">
        <v>330</v>
      </c>
      <c r="D1278">
        <v>99</v>
      </c>
      <c r="E1278">
        <v>99</v>
      </c>
      <c r="F1278" t="s">
        <v>459</v>
      </c>
      <c r="G1278" t="s">
        <v>459</v>
      </c>
      <c r="H1278">
        <f t="shared" si="22"/>
        <v>9</v>
      </c>
      <c r="M1278" s="1">
        <v>5.78632997348904E-3</v>
      </c>
      <c r="N1278">
        <v>1238.71533203125</v>
      </c>
      <c r="O1278">
        <v>620.36490000000003</v>
      </c>
      <c r="P1278">
        <v>1238.70947265625</v>
      </c>
      <c r="Q1278">
        <v>620.362060546875</v>
      </c>
      <c r="R1278">
        <v>2</v>
      </c>
      <c r="S1278">
        <v>1</v>
      </c>
      <c r="T1278">
        <v>8</v>
      </c>
      <c r="U1278">
        <v>38.735080000000004</v>
      </c>
      <c r="V1278">
        <v>84041.33</v>
      </c>
    </row>
    <row r="1279" spans="1:22" x14ac:dyDescent="0.25">
      <c r="A1279" t="s">
        <v>3202</v>
      </c>
      <c r="B1279" t="s">
        <v>3203</v>
      </c>
      <c r="C1279">
        <v>147</v>
      </c>
      <c r="D1279">
        <v>98.3</v>
      </c>
      <c r="E1279">
        <v>98.25</v>
      </c>
      <c r="F1279" t="s">
        <v>3204</v>
      </c>
      <c r="G1279" t="s">
        <v>3204</v>
      </c>
      <c r="H1279">
        <f t="shared" si="22"/>
        <v>9</v>
      </c>
      <c r="M1279">
        <v>6.0499999999999998E-3</v>
      </c>
      <c r="N1279">
        <v>1460.794921875</v>
      </c>
      <c r="O1279">
        <v>487.93889999999902</v>
      </c>
      <c r="P1279">
        <v>1460.78881835938</v>
      </c>
      <c r="Q1279">
        <v>487.93688964843801</v>
      </c>
      <c r="R1279">
        <v>3</v>
      </c>
      <c r="S1279">
        <v>1</v>
      </c>
      <c r="T1279">
        <v>11</v>
      </c>
      <c r="U1279">
        <v>27.949929999999899</v>
      </c>
      <c r="V1279">
        <v>257208.1</v>
      </c>
    </row>
    <row r="1280" spans="1:22" x14ac:dyDescent="0.25">
      <c r="A1280" t="s">
        <v>3486</v>
      </c>
      <c r="B1280" t="s">
        <v>3487</v>
      </c>
      <c r="C1280">
        <v>769</v>
      </c>
      <c r="D1280">
        <v>98.6</v>
      </c>
      <c r="E1280">
        <v>98.63</v>
      </c>
      <c r="F1280" t="s">
        <v>3488</v>
      </c>
      <c r="G1280" t="s">
        <v>3488</v>
      </c>
      <c r="H1280">
        <f t="shared" si="22"/>
        <v>20</v>
      </c>
      <c r="M1280" s="1">
        <v>-3.8796700537204599E-3</v>
      </c>
      <c r="N1280">
        <v>1784.85827636719</v>
      </c>
      <c r="O1280">
        <v>595.96</v>
      </c>
      <c r="P1280">
        <v>1784.86206054688</v>
      </c>
      <c r="Q1280">
        <v>595.96130371093705</v>
      </c>
      <c r="R1280">
        <v>3</v>
      </c>
      <c r="S1280">
        <v>1</v>
      </c>
      <c r="T1280">
        <v>11</v>
      </c>
      <c r="U1280">
        <v>36.911079999999899</v>
      </c>
      <c r="V1280">
        <v>220821.8</v>
      </c>
    </row>
    <row r="1281" spans="1:22" x14ac:dyDescent="0.25">
      <c r="A1281" t="s">
        <v>3536</v>
      </c>
      <c r="B1281" t="s">
        <v>3537</v>
      </c>
      <c r="C1281">
        <v>262</v>
      </c>
      <c r="D1281">
        <v>99</v>
      </c>
      <c r="E1281">
        <v>99</v>
      </c>
      <c r="F1281" t="s">
        <v>3538</v>
      </c>
      <c r="G1281" t="s">
        <v>3538</v>
      </c>
      <c r="H1281">
        <f t="shared" si="22"/>
        <v>11</v>
      </c>
      <c r="M1281" s="1">
        <v>4.3907198123633801E-3</v>
      </c>
      <c r="N1281">
        <v>1069.548828125</v>
      </c>
      <c r="O1281">
        <v>535.7817</v>
      </c>
      <c r="P1281">
        <v>1069.54443359375</v>
      </c>
      <c r="Q1281">
        <v>535.77947998046795</v>
      </c>
      <c r="R1281">
        <v>2</v>
      </c>
      <c r="S1281">
        <v>1</v>
      </c>
      <c r="T1281">
        <v>13</v>
      </c>
      <c r="U1281">
        <v>34.919359999999898</v>
      </c>
      <c r="V1281">
        <v>1018976</v>
      </c>
    </row>
    <row r="1282" spans="1:22" x14ac:dyDescent="0.25">
      <c r="A1282" t="s">
        <v>761</v>
      </c>
      <c r="B1282" t="s">
        <v>762</v>
      </c>
      <c r="C1282">
        <v>164</v>
      </c>
      <c r="D1282">
        <v>99</v>
      </c>
      <c r="E1282">
        <v>99</v>
      </c>
      <c r="F1282" t="s">
        <v>228</v>
      </c>
      <c r="G1282" t="s">
        <v>228</v>
      </c>
      <c r="H1282">
        <f t="shared" si="22"/>
        <v>9</v>
      </c>
      <c r="M1282">
        <v>1.1433E-2</v>
      </c>
      <c r="N1282">
        <v>1699.74401855469</v>
      </c>
      <c r="O1282">
        <v>850.87929999999903</v>
      </c>
      <c r="P1282">
        <v>1699.73254394531</v>
      </c>
      <c r="Q1282">
        <v>850.87353515625</v>
      </c>
      <c r="R1282">
        <v>2</v>
      </c>
      <c r="S1282">
        <v>1</v>
      </c>
      <c r="T1282">
        <v>10</v>
      </c>
      <c r="U1282">
        <v>37.326729999999898</v>
      </c>
      <c r="V1282">
        <v>234491</v>
      </c>
    </row>
    <row r="1283" spans="1:22" x14ac:dyDescent="0.25">
      <c r="A1283" t="s">
        <v>4153</v>
      </c>
      <c r="B1283" t="s">
        <v>4154</v>
      </c>
      <c r="C1283">
        <v>854</v>
      </c>
      <c r="D1283">
        <v>99</v>
      </c>
      <c r="E1283">
        <v>99</v>
      </c>
      <c r="F1283" t="s">
        <v>4155</v>
      </c>
      <c r="G1283" t="s">
        <v>4155</v>
      </c>
      <c r="H1283">
        <f t="shared" ref="H1283:H1346" si="23">LEN(G1283)</f>
        <v>9</v>
      </c>
      <c r="M1283">
        <v>3.104E-3</v>
      </c>
      <c r="N1283">
        <v>1617.81823730469</v>
      </c>
      <c r="O1283">
        <v>809.91639999999904</v>
      </c>
      <c r="P1283">
        <v>1617.81506347656</v>
      </c>
      <c r="Q1283">
        <v>809.91485595703102</v>
      </c>
      <c r="R1283">
        <v>2</v>
      </c>
      <c r="S1283">
        <v>1</v>
      </c>
      <c r="T1283">
        <v>11</v>
      </c>
      <c r="U1283">
        <v>50.503149999999899</v>
      </c>
      <c r="V1283">
        <v>559935.30000000005</v>
      </c>
    </row>
    <row r="1284" spans="1:22" x14ac:dyDescent="0.25">
      <c r="A1284" t="s">
        <v>2480</v>
      </c>
      <c r="B1284" t="s">
        <v>2481</v>
      </c>
      <c r="C1284">
        <v>8</v>
      </c>
      <c r="D1284">
        <v>99</v>
      </c>
      <c r="E1284">
        <v>99</v>
      </c>
      <c r="F1284" t="s">
        <v>2482</v>
      </c>
      <c r="G1284" t="s">
        <v>2482</v>
      </c>
      <c r="H1284">
        <f t="shared" si="23"/>
        <v>14</v>
      </c>
      <c r="M1284">
        <v>-3.1340000000000001E-3</v>
      </c>
      <c r="N1284">
        <v>1652.88549804688</v>
      </c>
      <c r="O1284">
        <v>827.45</v>
      </c>
      <c r="P1284">
        <v>1652.88854980469</v>
      </c>
      <c r="Q1284">
        <v>827.45159912109295</v>
      </c>
      <c r="R1284">
        <v>2</v>
      </c>
      <c r="S1284">
        <v>2</v>
      </c>
      <c r="T1284">
        <v>13</v>
      </c>
      <c r="U1284">
        <v>44.411070000000002</v>
      </c>
      <c r="V1284">
        <v>259339.1</v>
      </c>
    </row>
    <row r="1285" spans="1:22" x14ac:dyDescent="0.25">
      <c r="A1285" t="s">
        <v>2480</v>
      </c>
      <c r="B1285" t="s">
        <v>2481</v>
      </c>
      <c r="C1285">
        <v>20</v>
      </c>
      <c r="D1285">
        <v>99</v>
      </c>
      <c r="E1285">
        <v>99</v>
      </c>
      <c r="F1285" t="s">
        <v>146</v>
      </c>
      <c r="G1285" t="s">
        <v>146</v>
      </c>
      <c r="H1285">
        <f t="shared" si="23"/>
        <v>9</v>
      </c>
      <c r="M1285" s="1">
        <v>4.81243012472987E-3</v>
      </c>
      <c r="N1285">
        <v>1630.75231933594</v>
      </c>
      <c r="O1285">
        <v>816.38340000000005</v>
      </c>
      <c r="P1285">
        <v>1630.74743652344</v>
      </c>
      <c r="Q1285">
        <v>816.38104248046795</v>
      </c>
      <c r="R1285">
        <v>2</v>
      </c>
      <c r="S1285">
        <v>1</v>
      </c>
      <c r="T1285">
        <v>11</v>
      </c>
      <c r="U1285">
        <v>56.151899999999898</v>
      </c>
      <c r="V1285">
        <v>339727.6</v>
      </c>
    </row>
    <row r="1286" spans="1:22" x14ac:dyDescent="0.25">
      <c r="A1286" t="s">
        <v>1766</v>
      </c>
      <c r="B1286" t="s">
        <v>1767</v>
      </c>
      <c r="C1286">
        <v>84</v>
      </c>
      <c r="D1286">
        <v>99</v>
      </c>
      <c r="E1286">
        <v>99</v>
      </c>
      <c r="F1286" t="s">
        <v>1768</v>
      </c>
      <c r="G1286" t="s">
        <v>1768</v>
      </c>
      <c r="H1286">
        <f t="shared" si="23"/>
        <v>15</v>
      </c>
      <c r="M1286" s="1">
        <v>9.5071196556091309E-3</v>
      </c>
      <c r="N1286">
        <v>1887.95739746094</v>
      </c>
      <c r="O1286">
        <v>630.32640000000004</v>
      </c>
      <c r="P1286">
        <v>1887.94787597656</v>
      </c>
      <c r="Q1286">
        <v>630.3232421875</v>
      </c>
      <c r="R1286">
        <v>3</v>
      </c>
      <c r="S1286">
        <v>1</v>
      </c>
      <c r="T1286">
        <v>10</v>
      </c>
      <c r="U1286">
        <v>47.348700000000001</v>
      </c>
      <c r="V1286">
        <v>73005.75</v>
      </c>
    </row>
    <row r="1287" spans="1:22" x14ac:dyDescent="0.25">
      <c r="A1287" t="s">
        <v>2598</v>
      </c>
      <c r="B1287" t="s">
        <v>2599</v>
      </c>
      <c r="C1287">
        <v>214</v>
      </c>
      <c r="D1287">
        <v>99</v>
      </c>
      <c r="E1287">
        <v>99</v>
      </c>
      <c r="F1287" t="s">
        <v>2600</v>
      </c>
      <c r="G1287" t="s">
        <v>2600</v>
      </c>
      <c r="H1287">
        <f t="shared" si="23"/>
        <v>15</v>
      </c>
      <c r="M1287" s="1">
        <v>1.1362600140273601E-2</v>
      </c>
      <c r="N1287">
        <v>1804.83813476563</v>
      </c>
      <c r="O1287">
        <v>602.62</v>
      </c>
      <c r="P1287">
        <v>1804.82678222656</v>
      </c>
      <c r="Q1287">
        <v>602.6162109375</v>
      </c>
      <c r="R1287">
        <v>3</v>
      </c>
      <c r="S1287">
        <v>2</v>
      </c>
      <c r="T1287">
        <v>16</v>
      </c>
      <c r="U1287">
        <v>44.153570000000002</v>
      </c>
      <c r="V1287">
        <v>193860.6</v>
      </c>
    </row>
    <row r="1288" spans="1:22" x14ac:dyDescent="0.25">
      <c r="A1288" t="s">
        <v>2598</v>
      </c>
      <c r="B1288" t="s">
        <v>2599</v>
      </c>
      <c r="C1288">
        <v>214</v>
      </c>
      <c r="D1288">
        <v>99</v>
      </c>
      <c r="E1288">
        <v>99</v>
      </c>
      <c r="F1288" t="s">
        <v>2601</v>
      </c>
      <c r="G1288" t="s">
        <v>2601</v>
      </c>
      <c r="H1288">
        <f t="shared" si="23"/>
        <v>17</v>
      </c>
      <c r="M1288" s="1">
        <v>1.33401004131882E-3</v>
      </c>
      <c r="N1288">
        <v>1753.86889648438</v>
      </c>
      <c r="O1288">
        <v>877.94169999999895</v>
      </c>
      <c r="P1288">
        <v>1753.86755371094</v>
      </c>
      <c r="Q1288">
        <v>877.94104003906205</v>
      </c>
      <c r="R1288">
        <v>2</v>
      </c>
      <c r="S1288">
        <v>2</v>
      </c>
      <c r="T1288">
        <v>10</v>
      </c>
      <c r="U1288">
        <v>39.864330000000002</v>
      </c>
      <c r="V1288">
        <v>288884.3</v>
      </c>
    </row>
    <row r="1289" spans="1:22" x14ac:dyDescent="0.25">
      <c r="A1289" t="s">
        <v>2598</v>
      </c>
      <c r="B1289" t="s">
        <v>2599</v>
      </c>
      <c r="C1289">
        <v>214</v>
      </c>
      <c r="D1289">
        <v>99</v>
      </c>
      <c r="E1289">
        <v>99</v>
      </c>
      <c r="F1289" t="s">
        <v>2602</v>
      </c>
      <c r="G1289" t="s">
        <v>2602</v>
      </c>
      <c r="H1289">
        <f t="shared" si="23"/>
        <v>18</v>
      </c>
      <c r="M1289" s="1">
        <v>5.82493003457785E-3</v>
      </c>
      <c r="N1289">
        <v>1400.77221679688</v>
      </c>
      <c r="O1289">
        <v>701.39340000000004</v>
      </c>
      <c r="P1289">
        <v>1400.76635742188</v>
      </c>
      <c r="Q1289">
        <v>701.39044189453102</v>
      </c>
      <c r="R1289">
        <v>2</v>
      </c>
      <c r="S1289">
        <v>1</v>
      </c>
      <c r="T1289">
        <v>11</v>
      </c>
      <c r="U1289">
        <v>50.545079999999899</v>
      </c>
      <c r="V1289">
        <v>151068.799999999</v>
      </c>
    </row>
    <row r="1290" spans="1:22" x14ac:dyDescent="0.25">
      <c r="A1290" t="s">
        <v>2598</v>
      </c>
      <c r="B1290" t="s">
        <v>2599</v>
      </c>
      <c r="C1290">
        <v>213</v>
      </c>
      <c r="D1290">
        <v>97.3</v>
      </c>
      <c r="E1290">
        <v>97.26</v>
      </c>
      <c r="F1290" t="s">
        <v>2603</v>
      </c>
      <c r="G1290" t="s">
        <v>2603</v>
      </c>
      <c r="H1290">
        <f t="shared" si="23"/>
        <v>19</v>
      </c>
      <c r="M1290" s="1">
        <v>3.8697998970746899E-3</v>
      </c>
      <c r="N1290">
        <v>1654.63232421875</v>
      </c>
      <c r="O1290">
        <v>828.32339999999897</v>
      </c>
      <c r="P1290">
        <v>1654.62841796875</v>
      </c>
      <c r="Q1290">
        <v>828.32147216796795</v>
      </c>
      <c r="R1290">
        <v>2</v>
      </c>
      <c r="S1290">
        <v>1</v>
      </c>
      <c r="T1290">
        <v>12</v>
      </c>
      <c r="U1290">
        <v>41.984250000000003</v>
      </c>
      <c r="V1290">
        <v>690352.3</v>
      </c>
    </row>
    <row r="1291" spans="1:22" x14ac:dyDescent="0.25">
      <c r="A1291" t="s">
        <v>2598</v>
      </c>
      <c r="B1291" t="s">
        <v>2599</v>
      </c>
      <c r="C1291">
        <v>172</v>
      </c>
      <c r="D1291">
        <v>97.2</v>
      </c>
      <c r="E1291">
        <v>97.21</v>
      </c>
      <c r="F1291" t="s">
        <v>2604</v>
      </c>
      <c r="G1291" t="s">
        <v>2604</v>
      </c>
      <c r="H1291">
        <f t="shared" si="23"/>
        <v>15</v>
      </c>
      <c r="M1291" s="1">
        <v>-1.27515997737646E-2</v>
      </c>
      <c r="N1291">
        <v>1344.69104003906</v>
      </c>
      <c r="O1291">
        <v>673.3528</v>
      </c>
      <c r="P1291">
        <v>1344.70373535156</v>
      </c>
      <c r="Q1291">
        <v>673.359130859375</v>
      </c>
      <c r="R1291">
        <v>2</v>
      </c>
      <c r="S1291">
        <v>2</v>
      </c>
      <c r="T1291">
        <v>11</v>
      </c>
      <c r="U1291">
        <v>42.56944</v>
      </c>
      <c r="V1291">
        <v>1564585</v>
      </c>
    </row>
    <row r="1292" spans="1:22" x14ac:dyDescent="0.25">
      <c r="A1292" t="s">
        <v>2598</v>
      </c>
      <c r="B1292" t="s">
        <v>2599</v>
      </c>
      <c r="C1292">
        <v>215</v>
      </c>
      <c r="D1292">
        <v>99</v>
      </c>
      <c r="E1292">
        <v>99</v>
      </c>
      <c r="F1292" t="s">
        <v>2605</v>
      </c>
      <c r="G1292" t="s">
        <v>2605</v>
      </c>
      <c r="H1292">
        <f t="shared" si="23"/>
        <v>14</v>
      </c>
      <c r="M1292">
        <v>-2.3280000000000002E-3</v>
      </c>
      <c r="N1292">
        <v>1904.00207519531</v>
      </c>
      <c r="O1292">
        <v>635.67460000000005</v>
      </c>
      <c r="P1292">
        <v>1904.00439453125</v>
      </c>
      <c r="Q1292">
        <v>635.67541503906205</v>
      </c>
      <c r="R1292">
        <v>3</v>
      </c>
      <c r="S1292">
        <v>1</v>
      </c>
      <c r="T1292">
        <v>17</v>
      </c>
      <c r="U1292">
        <v>38.97045</v>
      </c>
      <c r="V1292">
        <v>406086.8</v>
      </c>
    </row>
    <row r="1293" spans="1:22" x14ac:dyDescent="0.25">
      <c r="A1293" t="s">
        <v>2598</v>
      </c>
      <c r="B1293" t="s">
        <v>2599</v>
      </c>
      <c r="C1293">
        <v>214</v>
      </c>
      <c r="D1293">
        <v>99</v>
      </c>
      <c r="E1293">
        <v>99</v>
      </c>
      <c r="F1293" t="s">
        <v>2606</v>
      </c>
      <c r="G1293" t="s">
        <v>2606</v>
      </c>
      <c r="H1293">
        <f t="shared" si="23"/>
        <v>16</v>
      </c>
      <c r="M1293" s="1">
        <v>8.0056898295879295E-3</v>
      </c>
      <c r="N1293">
        <v>1342.75366210938</v>
      </c>
      <c r="O1293">
        <v>672.38409999999897</v>
      </c>
      <c r="P1293">
        <v>1342.74560546875</v>
      </c>
      <c r="Q1293">
        <v>672.38006591796795</v>
      </c>
      <c r="R1293">
        <v>2</v>
      </c>
      <c r="S1293">
        <v>1</v>
      </c>
      <c r="T1293">
        <v>11</v>
      </c>
      <c r="U1293">
        <v>40.211080000000003</v>
      </c>
      <c r="V1293">
        <v>386950.9</v>
      </c>
    </row>
    <row r="1294" spans="1:22" x14ac:dyDescent="0.25">
      <c r="A1294" t="s">
        <v>2598</v>
      </c>
      <c r="B1294" t="s">
        <v>2599</v>
      </c>
      <c r="C1294">
        <v>213</v>
      </c>
      <c r="D1294">
        <v>99</v>
      </c>
      <c r="E1294">
        <v>99</v>
      </c>
      <c r="F1294" t="s">
        <v>2607</v>
      </c>
      <c r="G1294" t="s">
        <v>2607</v>
      </c>
      <c r="H1294">
        <f t="shared" si="23"/>
        <v>16</v>
      </c>
      <c r="M1294">
        <v>8.2690000000000003E-3</v>
      </c>
      <c r="N1294">
        <v>1580.88317871094</v>
      </c>
      <c r="O1294">
        <v>527.9683</v>
      </c>
      <c r="P1294">
        <v>1580.87487792969</v>
      </c>
      <c r="Q1294">
        <v>527.965576171875</v>
      </c>
      <c r="R1294">
        <v>3</v>
      </c>
      <c r="S1294">
        <v>1</v>
      </c>
      <c r="T1294">
        <v>10</v>
      </c>
      <c r="U1294">
        <v>46.965829999999897</v>
      </c>
      <c r="V1294">
        <v>106706</v>
      </c>
    </row>
    <row r="1295" spans="1:22" x14ac:dyDescent="0.25">
      <c r="A1295" t="s">
        <v>807</v>
      </c>
      <c r="B1295" t="s">
        <v>808</v>
      </c>
      <c r="C1295">
        <v>56</v>
      </c>
      <c r="D1295">
        <v>99</v>
      </c>
      <c r="E1295">
        <v>99</v>
      </c>
      <c r="F1295" t="s">
        <v>809</v>
      </c>
      <c r="G1295" t="s">
        <v>809</v>
      </c>
      <c r="H1295">
        <f t="shared" si="23"/>
        <v>15</v>
      </c>
      <c r="M1295" s="1">
        <v>-2.00742995366453E-3</v>
      </c>
      <c r="N1295">
        <v>1490.87731933594</v>
      </c>
      <c r="O1295">
        <v>497.96640000000002</v>
      </c>
      <c r="P1295">
        <v>1490.87939453125</v>
      </c>
      <c r="Q1295">
        <v>497.96707153320301</v>
      </c>
      <c r="R1295">
        <v>3</v>
      </c>
      <c r="S1295">
        <v>1</v>
      </c>
      <c r="T1295">
        <v>12</v>
      </c>
      <c r="U1295">
        <v>21.409880000000001</v>
      </c>
      <c r="V1295">
        <v>498974</v>
      </c>
    </row>
    <row r="1296" spans="1:22" x14ac:dyDescent="0.25">
      <c r="A1296" t="s">
        <v>1072</v>
      </c>
      <c r="B1296" t="s">
        <v>1073</v>
      </c>
      <c r="C1296">
        <v>2387</v>
      </c>
      <c r="D1296">
        <v>97.9</v>
      </c>
      <c r="E1296">
        <v>97.94</v>
      </c>
      <c r="F1296" t="s">
        <v>1074</v>
      </c>
      <c r="G1296" t="s">
        <v>1074</v>
      </c>
      <c r="H1296">
        <f t="shared" si="23"/>
        <v>9</v>
      </c>
      <c r="M1296" s="1">
        <v>-7.7567799016833201E-3</v>
      </c>
      <c r="N1296">
        <v>990.54547119140602</v>
      </c>
      <c r="O1296">
        <v>496.28</v>
      </c>
      <c r="P1296">
        <v>990.55322265625</v>
      </c>
      <c r="Q1296">
        <v>496.28387451171801</v>
      </c>
      <c r="R1296">
        <v>2</v>
      </c>
      <c r="S1296">
        <v>1</v>
      </c>
      <c r="T1296">
        <v>13</v>
      </c>
      <c r="U1296">
        <v>21.566870000000002</v>
      </c>
      <c r="V1296">
        <v>1060550</v>
      </c>
    </row>
    <row r="1297" spans="1:22" x14ac:dyDescent="0.25">
      <c r="A1297" t="s">
        <v>2936</v>
      </c>
      <c r="B1297" t="s">
        <v>2937</v>
      </c>
      <c r="C1297">
        <v>1940</v>
      </c>
      <c r="D1297">
        <v>99</v>
      </c>
      <c r="E1297">
        <v>99</v>
      </c>
      <c r="F1297" t="s">
        <v>2938</v>
      </c>
      <c r="G1297" t="s">
        <v>2938</v>
      </c>
      <c r="H1297">
        <f t="shared" si="23"/>
        <v>18</v>
      </c>
      <c r="M1297" s="1">
        <v>4.8993700183928004E-3</v>
      </c>
      <c r="N1297">
        <v>1030.59729003906</v>
      </c>
      <c r="O1297">
        <v>516.30589999999904</v>
      </c>
      <c r="P1297">
        <v>1030.59240722656</v>
      </c>
      <c r="Q1297">
        <v>516.303466796875</v>
      </c>
      <c r="R1297">
        <v>2</v>
      </c>
      <c r="S1297">
        <v>2</v>
      </c>
      <c r="T1297">
        <v>10</v>
      </c>
      <c r="U1297">
        <v>26.653600000000001</v>
      </c>
      <c r="V1297">
        <v>1025823</v>
      </c>
    </row>
    <row r="1298" spans="1:22" x14ac:dyDescent="0.25">
      <c r="A1298" t="s">
        <v>2936</v>
      </c>
      <c r="B1298" t="s">
        <v>2937</v>
      </c>
      <c r="C1298">
        <v>979</v>
      </c>
      <c r="D1298">
        <v>99</v>
      </c>
      <c r="E1298">
        <v>99</v>
      </c>
      <c r="F1298" t="s">
        <v>2939</v>
      </c>
      <c r="G1298" t="s">
        <v>2939</v>
      </c>
      <c r="H1298">
        <f t="shared" si="23"/>
        <v>9</v>
      </c>
      <c r="M1298" s="1">
        <v>9.8282396793365392E-3</v>
      </c>
      <c r="N1298">
        <v>2056.06884765625</v>
      </c>
      <c r="O1298">
        <v>686.36350000000004</v>
      </c>
      <c r="P1298">
        <v>2056.05883789063</v>
      </c>
      <c r="Q1298">
        <v>686.36022949218705</v>
      </c>
      <c r="R1298">
        <v>3</v>
      </c>
      <c r="S1298">
        <v>1</v>
      </c>
      <c r="T1298">
        <v>15</v>
      </c>
      <c r="U1298">
        <v>46.652999999999899</v>
      </c>
      <c r="V1298">
        <v>109807.4</v>
      </c>
    </row>
    <row r="1299" spans="1:22" x14ac:dyDescent="0.25">
      <c r="A1299" t="s">
        <v>2936</v>
      </c>
      <c r="B1299" t="s">
        <v>2937</v>
      </c>
      <c r="C1299">
        <v>1940</v>
      </c>
      <c r="D1299">
        <v>99</v>
      </c>
      <c r="E1299">
        <v>99</v>
      </c>
      <c r="F1299" t="s">
        <v>2940</v>
      </c>
      <c r="G1299" t="s">
        <v>2940</v>
      </c>
      <c r="H1299">
        <f t="shared" si="23"/>
        <v>20</v>
      </c>
      <c r="M1299" s="1">
        <v>1.9579099025577198E-3</v>
      </c>
      <c r="N1299">
        <v>1486.68542480469</v>
      </c>
      <c r="O1299">
        <v>744.35</v>
      </c>
      <c r="P1299">
        <v>1486.68347167969</v>
      </c>
      <c r="Q1299">
        <v>744.34899902343705</v>
      </c>
      <c r="R1299">
        <v>2</v>
      </c>
      <c r="S1299">
        <v>1</v>
      </c>
      <c r="T1299">
        <v>11</v>
      </c>
      <c r="U1299">
        <v>29.84638</v>
      </c>
      <c r="V1299">
        <v>432705.7</v>
      </c>
    </row>
    <row r="1300" spans="1:22" x14ac:dyDescent="0.25">
      <c r="A1300" t="s">
        <v>2936</v>
      </c>
      <c r="B1300" t="s">
        <v>2937</v>
      </c>
      <c r="C1300">
        <v>979</v>
      </c>
      <c r="D1300">
        <v>99</v>
      </c>
      <c r="E1300">
        <v>99</v>
      </c>
      <c r="F1300" t="s">
        <v>2939</v>
      </c>
      <c r="G1300" t="s">
        <v>2939</v>
      </c>
      <c r="H1300">
        <f t="shared" si="23"/>
        <v>9</v>
      </c>
      <c r="L1300" t="s">
        <v>295</v>
      </c>
      <c r="M1300" s="1">
        <v>3.6417900118976801E-3</v>
      </c>
      <c r="N1300">
        <v>1500.73193359375</v>
      </c>
      <c r="O1300">
        <v>751.3732</v>
      </c>
      <c r="P1300">
        <v>1500.72827148438</v>
      </c>
      <c r="Q1300">
        <v>751.37139892578102</v>
      </c>
      <c r="R1300">
        <v>2</v>
      </c>
      <c r="S1300">
        <v>1</v>
      </c>
      <c r="T1300">
        <v>10</v>
      </c>
      <c r="U1300">
        <v>38.834330000000001</v>
      </c>
      <c r="V1300">
        <v>110402.9</v>
      </c>
    </row>
    <row r="1301" spans="1:22" x14ac:dyDescent="0.25">
      <c r="A1301" t="s">
        <v>895</v>
      </c>
      <c r="B1301" t="s">
        <v>896</v>
      </c>
      <c r="C1301">
        <v>222</v>
      </c>
      <c r="D1301">
        <v>99</v>
      </c>
      <c r="E1301">
        <v>99</v>
      </c>
      <c r="F1301" t="s">
        <v>897</v>
      </c>
      <c r="G1301" t="s">
        <v>897</v>
      </c>
      <c r="H1301">
        <f t="shared" si="23"/>
        <v>14</v>
      </c>
      <c r="M1301" s="1">
        <v>6.3858199864625801E-3</v>
      </c>
      <c r="N1301">
        <v>1759.89172363281</v>
      </c>
      <c r="O1301">
        <v>880.95309999999904</v>
      </c>
      <c r="P1301">
        <v>1759.88525390625</v>
      </c>
      <c r="Q1301">
        <v>880.949951171875</v>
      </c>
      <c r="R1301">
        <v>2</v>
      </c>
      <c r="S1301">
        <v>1</v>
      </c>
      <c r="T1301">
        <v>8</v>
      </c>
      <c r="U1301">
        <v>43.37473</v>
      </c>
      <c r="V1301">
        <v>65368.97</v>
      </c>
    </row>
    <row r="1302" spans="1:22" x14ac:dyDescent="0.25">
      <c r="A1302" t="s">
        <v>895</v>
      </c>
      <c r="B1302" t="s">
        <v>896</v>
      </c>
      <c r="C1302">
        <v>418</v>
      </c>
      <c r="D1302">
        <v>99</v>
      </c>
      <c r="E1302">
        <v>99</v>
      </c>
      <c r="F1302" t="s">
        <v>898</v>
      </c>
      <c r="G1302" t="s">
        <v>898</v>
      </c>
      <c r="H1302">
        <f t="shared" si="23"/>
        <v>17</v>
      </c>
      <c r="M1302" s="1">
        <v>1.03081995621324E-2</v>
      </c>
      <c r="N1302">
        <v>1404.76171875</v>
      </c>
      <c r="O1302">
        <v>703.38810000000001</v>
      </c>
      <c r="P1302">
        <v>1404.75134277344</v>
      </c>
      <c r="Q1302">
        <v>703.38299560546795</v>
      </c>
      <c r="R1302">
        <v>2</v>
      </c>
      <c r="S1302">
        <v>1</v>
      </c>
      <c r="T1302">
        <v>9</v>
      </c>
      <c r="U1302">
        <v>39.25665</v>
      </c>
      <c r="V1302">
        <v>67484.11</v>
      </c>
    </row>
    <row r="1303" spans="1:22" x14ac:dyDescent="0.25">
      <c r="A1303" t="s">
        <v>3871</v>
      </c>
      <c r="B1303" t="s">
        <v>3872</v>
      </c>
      <c r="C1303">
        <v>857</v>
      </c>
      <c r="D1303">
        <v>97.9</v>
      </c>
      <c r="E1303">
        <v>97.91</v>
      </c>
      <c r="F1303" t="s">
        <v>3873</v>
      </c>
      <c r="G1303" t="s">
        <v>3873</v>
      </c>
      <c r="H1303">
        <f t="shared" si="23"/>
        <v>11</v>
      </c>
      <c r="M1303" s="1">
        <v>5.7700998149812204E-3</v>
      </c>
      <c r="N1303">
        <v>1727.96276855469</v>
      </c>
      <c r="O1303">
        <v>576.99490000000003</v>
      </c>
      <c r="P1303">
        <v>1727.95703125</v>
      </c>
      <c r="Q1303">
        <v>576.992919921875</v>
      </c>
      <c r="R1303">
        <v>3</v>
      </c>
      <c r="S1303">
        <v>1</v>
      </c>
      <c r="T1303">
        <v>9</v>
      </c>
      <c r="U1303">
        <v>41.596629999999898</v>
      </c>
      <c r="V1303">
        <v>157624.299999999</v>
      </c>
    </row>
    <row r="1304" spans="1:22" x14ac:dyDescent="0.25">
      <c r="A1304" t="s">
        <v>493</v>
      </c>
      <c r="B1304" t="s">
        <v>494</v>
      </c>
      <c r="C1304">
        <v>568</v>
      </c>
      <c r="D1304">
        <v>98.7</v>
      </c>
      <c r="E1304">
        <v>98.73</v>
      </c>
      <c r="F1304" t="s">
        <v>2924</v>
      </c>
      <c r="G1304" t="s">
        <v>2924</v>
      </c>
      <c r="H1304">
        <f t="shared" si="23"/>
        <v>15</v>
      </c>
      <c r="M1304" s="1">
        <v>7.9252403229475004E-3</v>
      </c>
      <c r="N1304">
        <v>2101.9453125</v>
      </c>
      <c r="O1304">
        <v>1051.98</v>
      </c>
      <c r="P1304">
        <v>2101.9375</v>
      </c>
      <c r="Q1304">
        <v>1051.97607421875</v>
      </c>
      <c r="R1304">
        <v>2</v>
      </c>
      <c r="S1304">
        <v>1</v>
      </c>
      <c r="T1304">
        <v>12</v>
      </c>
      <c r="U1304">
        <v>45.950980000000001</v>
      </c>
      <c r="V1304">
        <v>227504.6</v>
      </c>
    </row>
    <row r="1305" spans="1:22" x14ac:dyDescent="0.25">
      <c r="A1305" t="s">
        <v>569</v>
      </c>
      <c r="B1305" t="s">
        <v>570</v>
      </c>
      <c r="C1305">
        <v>74</v>
      </c>
      <c r="D1305">
        <v>98.8</v>
      </c>
      <c r="E1305">
        <v>98.79</v>
      </c>
      <c r="F1305" t="s">
        <v>1928</v>
      </c>
      <c r="G1305" t="s">
        <v>1928</v>
      </c>
      <c r="H1305">
        <f t="shared" si="23"/>
        <v>11</v>
      </c>
      <c r="M1305" s="1">
        <v>4.4113500043749801E-3</v>
      </c>
      <c r="N1305">
        <v>1665.85925292969</v>
      </c>
      <c r="O1305">
        <v>556.29369999999903</v>
      </c>
      <c r="P1305">
        <v>1665.85485839844</v>
      </c>
      <c r="Q1305">
        <v>556.292236328125</v>
      </c>
      <c r="R1305">
        <v>3</v>
      </c>
      <c r="S1305">
        <v>1</v>
      </c>
      <c r="T1305">
        <v>9</v>
      </c>
      <c r="U1305">
        <v>48.691679999999899</v>
      </c>
      <c r="V1305">
        <v>128700</v>
      </c>
    </row>
    <row r="1306" spans="1:22" x14ac:dyDescent="0.25">
      <c r="A1306" t="s">
        <v>3683</v>
      </c>
      <c r="B1306" t="s">
        <v>3684</v>
      </c>
      <c r="C1306">
        <v>230</v>
      </c>
      <c r="D1306">
        <v>98.1</v>
      </c>
      <c r="E1306">
        <v>98.12</v>
      </c>
      <c r="F1306" t="s">
        <v>3685</v>
      </c>
      <c r="G1306" t="s">
        <v>3685</v>
      </c>
      <c r="H1306">
        <f t="shared" si="23"/>
        <v>9</v>
      </c>
      <c r="M1306" s="1">
        <v>3.7598300259560199E-3</v>
      </c>
      <c r="N1306">
        <v>1778.88903808594</v>
      </c>
      <c r="O1306">
        <v>890.45180000000005</v>
      </c>
      <c r="P1306">
        <v>1778.88525390625</v>
      </c>
      <c r="Q1306">
        <v>890.44989013671795</v>
      </c>
      <c r="R1306">
        <v>2</v>
      </c>
      <c r="S1306">
        <v>2</v>
      </c>
      <c r="T1306">
        <v>11</v>
      </c>
      <c r="U1306">
        <v>32.778500000000001</v>
      </c>
      <c r="V1306">
        <v>155374.70000000001</v>
      </c>
    </row>
    <row r="1307" spans="1:22" x14ac:dyDescent="0.25">
      <c r="A1307" t="s">
        <v>2213</v>
      </c>
      <c r="B1307" t="s">
        <v>2214</v>
      </c>
      <c r="C1307">
        <v>21</v>
      </c>
      <c r="D1307">
        <v>98.7</v>
      </c>
      <c r="E1307">
        <v>98.67</v>
      </c>
      <c r="F1307" t="s">
        <v>2215</v>
      </c>
      <c r="G1307" t="s">
        <v>2215</v>
      </c>
      <c r="H1307">
        <f t="shared" si="23"/>
        <v>15</v>
      </c>
      <c r="M1307" s="1">
        <v>7.9364599660038792E-3</v>
      </c>
      <c r="N1307">
        <v>1857.93005371094</v>
      </c>
      <c r="O1307">
        <v>929.97230000000002</v>
      </c>
      <c r="P1307">
        <v>1857.92211914063</v>
      </c>
      <c r="Q1307">
        <v>929.96832275390602</v>
      </c>
      <c r="R1307">
        <v>2</v>
      </c>
      <c r="S1307">
        <v>1</v>
      </c>
      <c r="T1307">
        <v>9</v>
      </c>
      <c r="U1307">
        <v>32.934269999999898</v>
      </c>
      <c r="V1307">
        <v>193231.4</v>
      </c>
    </row>
    <row r="1308" spans="1:22" x14ac:dyDescent="0.25">
      <c r="A1308" t="s">
        <v>2213</v>
      </c>
      <c r="B1308" t="s">
        <v>2214</v>
      </c>
      <c r="C1308">
        <v>21</v>
      </c>
      <c r="D1308">
        <v>99</v>
      </c>
      <c r="E1308">
        <v>99</v>
      </c>
      <c r="F1308" t="s">
        <v>2216</v>
      </c>
      <c r="G1308" t="s">
        <v>2216</v>
      </c>
      <c r="H1308">
        <f t="shared" si="23"/>
        <v>16</v>
      </c>
      <c r="M1308" s="1">
        <v>3.17652011290192E-3</v>
      </c>
      <c r="N1308">
        <v>984.590087890625</v>
      </c>
      <c r="O1308">
        <v>493.3023</v>
      </c>
      <c r="P1308">
        <v>984.5869140625</v>
      </c>
      <c r="Q1308">
        <v>493.30072021484301</v>
      </c>
      <c r="R1308">
        <v>2</v>
      </c>
      <c r="S1308">
        <v>2</v>
      </c>
      <c r="T1308">
        <v>10</v>
      </c>
      <c r="U1308">
        <v>27.266449999999899</v>
      </c>
      <c r="V1308">
        <v>478151.5</v>
      </c>
    </row>
    <row r="1309" spans="1:22" x14ac:dyDescent="0.25">
      <c r="A1309" t="s">
        <v>3393</v>
      </c>
      <c r="B1309" t="s">
        <v>3394</v>
      </c>
      <c r="C1309">
        <v>514</v>
      </c>
      <c r="D1309">
        <v>99</v>
      </c>
      <c r="E1309">
        <v>99</v>
      </c>
      <c r="F1309" t="s">
        <v>421</v>
      </c>
      <c r="G1309" t="s">
        <v>421</v>
      </c>
      <c r="H1309">
        <f t="shared" si="23"/>
        <v>9</v>
      </c>
      <c r="M1309" s="1">
        <v>5.8154901489615302E-3</v>
      </c>
      <c r="N1309">
        <v>1283.72961425781</v>
      </c>
      <c r="O1309">
        <v>642.87210000000005</v>
      </c>
      <c r="P1309">
        <v>1283.72375488281</v>
      </c>
      <c r="Q1309">
        <v>642.869140625</v>
      </c>
      <c r="R1309">
        <v>2</v>
      </c>
      <c r="S1309">
        <v>3</v>
      </c>
      <c r="T1309">
        <v>7</v>
      </c>
      <c r="U1309">
        <v>49.71895</v>
      </c>
      <c r="V1309">
        <v>45195.24</v>
      </c>
    </row>
    <row r="1310" spans="1:22" x14ac:dyDescent="0.25">
      <c r="A1310" t="s">
        <v>4558</v>
      </c>
      <c r="B1310" t="s">
        <v>4559</v>
      </c>
      <c r="C1310">
        <v>469</v>
      </c>
      <c r="D1310">
        <v>99</v>
      </c>
      <c r="E1310">
        <v>99</v>
      </c>
      <c r="F1310" t="s">
        <v>108</v>
      </c>
      <c r="G1310" t="s">
        <v>108</v>
      </c>
      <c r="H1310">
        <f t="shared" si="23"/>
        <v>9</v>
      </c>
      <c r="M1310" s="1">
        <v>1.05373999103904E-2</v>
      </c>
      <c r="N1310">
        <v>1809.02136230469</v>
      </c>
      <c r="O1310">
        <v>604.01440000000002</v>
      </c>
      <c r="P1310">
        <v>1809.01086425781</v>
      </c>
      <c r="Q1310">
        <v>604.01086425781205</v>
      </c>
      <c r="R1310">
        <v>3</v>
      </c>
      <c r="S1310">
        <v>1</v>
      </c>
      <c r="T1310">
        <v>11</v>
      </c>
      <c r="U1310">
        <v>42.833019999999898</v>
      </c>
      <c r="V1310">
        <v>47493.42</v>
      </c>
    </row>
    <row r="1311" spans="1:22" x14ac:dyDescent="0.25">
      <c r="A1311" t="s">
        <v>1049</v>
      </c>
      <c r="B1311" t="s">
        <v>1050</v>
      </c>
      <c r="C1311">
        <v>60</v>
      </c>
      <c r="D1311">
        <v>98.8</v>
      </c>
      <c r="E1311">
        <v>98.78</v>
      </c>
      <c r="F1311" t="s">
        <v>1051</v>
      </c>
      <c r="G1311" t="s">
        <v>1051</v>
      </c>
      <c r="H1311">
        <f t="shared" si="23"/>
        <v>11</v>
      </c>
      <c r="M1311" s="1">
        <v>-1.8436299636959901E-2</v>
      </c>
      <c r="N1311">
        <v>1891.95812988281</v>
      </c>
      <c r="O1311">
        <v>631.66</v>
      </c>
      <c r="P1311">
        <v>1891.9765625</v>
      </c>
      <c r="Q1311">
        <v>631.66613769531205</v>
      </c>
      <c r="R1311">
        <v>3</v>
      </c>
      <c r="S1311">
        <v>1</v>
      </c>
      <c r="T1311">
        <v>10</v>
      </c>
      <c r="U1311">
        <v>21.529119999999899</v>
      </c>
      <c r="V1311">
        <v>413704.3</v>
      </c>
    </row>
    <row r="1312" spans="1:22" x14ac:dyDescent="0.25">
      <c r="A1312" t="s">
        <v>2572</v>
      </c>
      <c r="B1312" t="s">
        <v>2573</v>
      </c>
      <c r="C1312">
        <v>200</v>
      </c>
      <c r="D1312">
        <v>99</v>
      </c>
      <c r="E1312">
        <v>99</v>
      </c>
      <c r="F1312" t="s">
        <v>2574</v>
      </c>
      <c r="G1312" t="s">
        <v>2574</v>
      </c>
      <c r="H1312">
        <f t="shared" si="23"/>
        <v>17</v>
      </c>
      <c r="L1312" t="s">
        <v>116</v>
      </c>
      <c r="M1312" s="1">
        <v>-1.4612600207328801E-3</v>
      </c>
      <c r="N1312">
        <v>1391.67004394531</v>
      </c>
      <c r="O1312">
        <v>696.84230000000002</v>
      </c>
      <c r="P1312">
        <v>1391.67150878906</v>
      </c>
      <c r="Q1312">
        <v>696.843017578125</v>
      </c>
      <c r="R1312">
        <v>2</v>
      </c>
      <c r="S1312">
        <v>1</v>
      </c>
      <c r="T1312">
        <v>12</v>
      </c>
      <c r="U1312">
        <v>20.049600000000002</v>
      </c>
      <c r="V1312">
        <v>133521.5</v>
      </c>
    </row>
    <row r="1313" spans="1:22" x14ac:dyDescent="0.25">
      <c r="A1313" t="s">
        <v>2539</v>
      </c>
      <c r="B1313" t="s">
        <v>2540</v>
      </c>
      <c r="C1313">
        <v>452</v>
      </c>
      <c r="D1313">
        <v>99</v>
      </c>
      <c r="E1313">
        <v>99</v>
      </c>
      <c r="F1313" t="s">
        <v>2541</v>
      </c>
      <c r="G1313" t="s">
        <v>2541</v>
      </c>
      <c r="H1313">
        <f t="shared" si="23"/>
        <v>11</v>
      </c>
      <c r="M1313">
        <v>-6.6E-4</v>
      </c>
      <c r="N1313">
        <v>1979.00793457031</v>
      </c>
      <c r="O1313">
        <v>660.67660000000001</v>
      </c>
      <c r="P1313">
        <v>1979.00854492188</v>
      </c>
      <c r="Q1313">
        <v>660.67681884765602</v>
      </c>
      <c r="R1313">
        <v>3</v>
      </c>
      <c r="S1313">
        <v>3</v>
      </c>
      <c r="T1313">
        <v>17</v>
      </c>
      <c r="U1313">
        <v>21.5425</v>
      </c>
      <c r="V1313">
        <v>2315613</v>
      </c>
    </row>
    <row r="1314" spans="1:22" x14ac:dyDescent="0.25">
      <c r="A1314" t="s">
        <v>2539</v>
      </c>
      <c r="B1314" t="s">
        <v>2540</v>
      </c>
      <c r="C1314">
        <v>450</v>
      </c>
      <c r="D1314">
        <v>99</v>
      </c>
      <c r="E1314">
        <v>99</v>
      </c>
      <c r="F1314" t="s">
        <v>2542</v>
      </c>
      <c r="G1314" t="s">
        <v>2542</v>
      </c>
      <c r="H1314">
        <f t="shared" si="23"/>
        <v>13</v>
      </c>
      <c r="M1314" s="1">
        <v>-5.2663199603557604E-3</v>
      </c>
      <c r="N1314">
        <v>1258.64782714844</v>
      </c>
      <c r="O1314">
        <v>630.33119999999894</v>
      </c>
      <c r="P1314">
        <v>1258.65307617188</v>
      </c>
      <c r="Q1314">
        <v>630.33380126953102</v>
      </c>
      <c r="R1314">
        <v>2</v>
      </c>
      <c r="S1314">
        <v>1</v>
      </c>
      <c r="T1314">
        <v>12</v>
      </c>
      <c r="U1314">
        <v>18.249500000000001</v>
      </c>
      <c r="V1314">
        <v>84612.81</v>
      </c>
    </row>
    <row r="1315" spans="1:22" x14ac:dyDescent="0.25">
      <c r="A1315" t="s">
        <v>2539</v>
      </c>
      <c r="B1315" t="s">
        <v>2540</v>
      </c>
      <c r="C1315">
        <v>711</v>
      </c>
      <c r="D1315">
        <v>99</v>
      </c>
      <c r="E1315">
        <v>99</v>
      </c>
      <c r="F1315" t="s">
        <v>2543</v>
      </c>
      <c r="G1315" t="s">
        <v>2543</v>
      </c>
      <c r="H1315">
        <f t="shared" si="23"/>
        <v>16</v>
      </c>
      <c r="M1315" s="1">
        <v>1.28894001245499E-2</v>
      </c>
      <c r="N1315">
        <v>1731.87817382813</v>
      </c>
      <c r="O1315">
        <v>578.29999999999905</v>
      </c>
      <c r="P1315">
        <v>1731.865234375</v>
      </c>
      <c r="Q1315">
        <v>578.29571533203102</v>
      </c>
      <c r="R1315">
        <v>3</v>
      </c>
      <c r="S1315">
        <v>1</v>
      </c>
      <c r="T1315">
        <v>11</v>
      </c>
      <c r="U1315">
        <v>18.26127</v>
      </c>
      <c r="V1315">
        <v>64774.66</v>
      </c>
    </row>
    <row r="1316" spans="1:22" x14ac:dyDescent="0.25">
      <c r="A1316" t="s">
        <v>2539</v>
      </c>
      <c r="B1316" t="s">
        <v>2540</v>
      </c>
      <c r="C1316">
        <v>711</v>
      </c>
      <c r="D1316">
        <v>99</v>
      </c>
      <c r="E1316">
        <v>99</v>
      </c>
      <c r="F1316" t="s">
        <v>2544</v>
      </c>
      <c r="G1316" t="s">
        <v>2544</v>
      </c>
      <c r="H1316">
        <f t="shared" si="23"/>
        <v>15</v>
      </c>
      <c r="L1316" t="s">
        <v>1104</v>
      </c>
      <c r="M1316" s="1">
        <v>1.9029900431633E-3</v>
      </c>
      <c r="N1316">
        <v>1220.62829589844</v>
      </c>
      <c r="O1316">
        <v>611.32140000000004</v>
      </c>
      <c r="P1316">
        <v>1220.62634277344</v>
      </c>
      <c r="Q1316">
        <v>611.32043457031205</v>
      </c>
      <c r="R1316">
        <v>2</v>
      </c>
      <c r="S1316">
        <v>9</v>
      </c>
      <c r="T1316">
        <v>10</v>
      </c>
      <c r="U1316">
        <v>45.746180000000003</v>
      </c>
      <c r="V1316">
        <v>345916.2</v>
      </c>
    </row>
    <row r="1317" spans="1:22" x14ac:dyDescent="0.25">
      <c r="A1317" t="s">
        <v>1882</v>
      </c>
      <c r="B1317" t="s">
        <v>1883</v>
      </c>
      <c r="C1317">
        <v>2</v>
      </c>
      <c r="D1317">
        <v>99</v>
      </c>
      <c r="E1317">
        <v>99</v>
      </c>
      <c r="F1317" t="s">
        <v>1884</v>
      </c>
      <c r="G1317" t="s">
        <v>1884</v>
      </c>
      <c r="H1317">
        <f t="shared" si="23"/>
        <v>10</v>
      </c>
      <c r="M1317" s="1">
        <v>2.9312699916772501E-4</v>
      </c>
      <c r="N1317">
        <v>915.51409912109295</v>
      </c>
      <c r="O1317">
        <v>458.76429999999903</v>
      </c>
      <c r="P1317">
        <v>915.51379394531205</v>
      </c>
      <c r="Q1317">
        <v>458.76416015625</v>
      </c>
      <c r="R1317">
        <v>2</v>
      </c>
      <c r="S1317">
        <v>1</v>
      </c>
      <c r="T1317">
        <v>10</v>
      </c>
      <c r="U1317">
        <v>26.51802</v>
      </c>
      <c r="V1317">
        <v>376178.6</v>
      </c>
    </row>
    <row r="1318" spans="1:22" x14ac:dyDescent="0.25">
      <c r="A1318" t="s">
        <v>2056</v>
      </c>
      <c r="B1318" t="s">
        <v>2057</v>
      </c>
      <c r="C1318">
        <v>839</v>
      </c>
      <c r="D1318">
        <v>97.2</v>
      </c>
      <c r="E1318">
        <v>97.15</v>
      </c>
      <c r="F1318" t="s">
        <v>2058</v>
      </c>
      <c r="G1318" t="s">
        <v>2058</v>
      </c>
      <c r="H1318">
        <f t="shared" si="23"/>
        <v>9</v>
      </c>
      <c r="M1318" s="1">
        <v>6.8628299050033101E-3</v>
      </c>
      <c r="N1318">
        <v>1408.72082519531</v>
      </c>
      <c r="O1318">
        <v>705.36770000000001</v>
      </c>
      <c r="P1318">
        <v>1408.71398925781</v>
      </c>
      <c r="Q1318">
        <v>705.3642578125</v>
      </c>
      <c r="R1318">
        <v>2</v>
      </c>
      <c r="S1318">
        <v>1</v>
      </c>
      <c r="T1318">
        <v>9</v>
      </c>
      <c r="U1318">
        <v>45.641300000000001</v>
      </c>
      <c r="V1318">
        <v>55291.39</v>
      </c>
    </row>
    <row r="1319" spans="1:22" x14ac:dyDescent="0.25">
      <c r="A1319" t="s">
        <v>2056</v>
      </c>
      <c r="B1319" t="s">
        <v>2057</v>
      </c>
      <c r="C1319">
        <v>1877</v>
      </c>
      <c r="D1319">
        <v>98.8</v>
      </c>
      <c r="E1319">
        <v>98.77</v>
      </c>
      <c r="F1319" t="s">
        <v>2059</v>
      </c>
      <c r="G1319" t="s">
        <v>2059</v>
      </c>
      <c r="H1319">
        <f t="shared" si="23"/>
        <v>9</v>
      </c>
      <c r="L1319" t="s">
        <v>47</v>
      </c>
      <c r="M1319" s="1">
        <v>1.3090300373733E-2</v>
      </c>
      <c r="N1319">
        <v>2222.07739257813</v>
      </c>
      <c r="O1319">
        <v>1112.046</v>
      </c>
      <c r="P1319">
        <v>2222.064453125</v>
      </c>
      <c r="Q1319">
        <v>1112.03942871094</v>
      </c>
      <c r="R1319">
        <v>2</v>
      </c>
      <c r="S1319">
        <v>1</v>
      </c>
      <c r="T1319">
        <v>12</v>
      </c>
      <c r="U1319">
        <v>55.68618</v>
      </c>
      <c r="V1319">
        <v>73670.899999999907</v>
      </c>
    </row>
    <row r="1320" spans="1:22" x14ac:dyDescent="0.25">
      <c r="A1320" t="s">
        <v>4400</v>
      </c>
      <c r="B1320" t="s">
        <v>4401</v>
      </c>
      <c r="C1320">
        <v>379</v>
      </c>
      <c r="D1320">
        <v>99</v>
      </c>
      <c r="E1320">
        <v>99</v>
      </c>
      <c r="F1320" t="s">
        <v>151</v>
      </c>
      <c r="G1320" t="s">
        <v>151</v>
      </c>
      <c r="H1320">
        <f t="shared" si="23"/>
        <v>9</v>
      </c>
      <c r="M1320" s="1">
        <v>1.67828999110498E-4</v>
      </c>
      <c r="N1320">
        <v>1087.57763671875</v>
      </c>
      <c r="O1320">
        <v>544.79610000000002</v>
      </c>
      <c r="P1320">
        <v>1087.57739257813</v>
      </c>
      <c r="Q1320">
        <v>544.79602050781205</v>
      </c>
      <c r="R1320">
        <v>2</v>
      </c>
      <c r="S1320">
        <v>3</v>
      </c>
      <c r="T1320">
        <v>12</v>
      </c>
      <c r="U1320">
        <v>20.54693</v>
      </c>
      <c r="V1320">
        <v>10708510</v>
      </c>
    </row>
    <row r="1321" spans="1:22" x14ac:dyDescent="0.25">
      <c r="A1321" t="s">
        <v>3999</v>
      </c>
      <c r="B1321" t="s">
        <v>4000</v>
      </c>
      <c r="C1321">
        <v>187</v>
      </c>
      <c r="D1321">
        <v>99</v>
      </c>
      <c r="E1321">
        <v>99</v>
      </c>
      <c r="F1321" t="s">
        <v>4001</v>
      </c>
      <c r="G1321" t="s">
        <v>4001</v>
      </c>
      <c r="H1321">
        <f t="shared" si="23"/>
        <v>16</v>
      </c>
      <c r="M1321" s="1">
        <v>6.6003999672830001E-3</v>
      </c>
      <c r="N1321">
        <v>1068.54187011719</v>
      </c>
      <c r="O1321">
        <v>535.27819999999895</v>
      </c>
      <c r="P1321">
        <v>1068.53527832031</v>
      </c>
      <c r="Q1321">
        <v>535.27490234375</v>
      </c>
      <c r="R1321">
        <v>2</v>
      </c>
      <c r="S1321">
        <v>1</v>
      </c>
      <c r="T1321">
        <v>10</v>
      </c>
      <c r="U1321">
        <v>37.949089999999899</v>
      </c>
      <c r="V1321">
        <v>621759.30000000005</v>
      </c>
    </row>
    <row r="1322" spans="1:22" x14ac:dyDescent="0.25">
      <c r="A1322" t="s">
        <v>3999</v>
      </c>
      <c r="B1322" t="s">
        <v>4000</v>
      </c>
      <c r="C1322">
        <v>186</v>
      </c>
      <c r="D1322">
        <v>99</v>
      </c>
      <c r="E1322">
        <v>99</v>
      </c>
      <c r="F1322" t="s">
        <v>4002</v>
      </c>
      <c r="G1322" t="s">
        <v>4002</v>
      </c>
      <c r="H1322">
        <f t="shared" si="23"/>
        <v>17</v>
      </c>
      <c r="M1322" s="1">
        <v>9.0307099744677405E-3</v>
      </c>
      <c r="N1322">
        <v>1164.63818359375</v>
      </c>
      <c r="O1322">
        <v>389.22</v>
      </c>
      <c r="P1322">
        <v>1164.62915039063</v>
      </c>
      <c r="Q1322">
        <v>389.21697998046801</v>
      </c>
      <c r="R1322">
        <v>3</v>
      </c>
      <c r="S1322">
        <v>5</v>
      </c>
      <c r="T1322">
        <v>10</v>
      </c>
      <c r="U1322">
        <v>36.882129999999897</v>
      </c>
      <c r="V1322">
        <v>405030.8</v>
      </c>
    </row>
    <row r="1323" spans="1:22" x14ac:dyDescent="0.25">
      <c r="A1323" t="s">
        <v>3583</v>
      </c>
      <c r="B1323" t="s">
        <v>3584</v>
      </c>
      <c r="C1323">
        <v>181</v>
      </c>
      <c r="D1323">
        <v>99</v>
      </c>
      <c r="E1323">
        <v>99</v>
      </c>
      <c r="F1323" t="s">
        <v>3585</v>
      </c>
      <c r="G1323" t="s">
        <v>3585</v>
      </c>
      <c r="H1323">
        <f t="shared" si="23"/>
        <v>18</v>
      </c>
      <c r="M1323" s="1">
        <v>9.6406899392604706E-3</v>
      </c>
      <c r="N1323">
        <v>1841.81982421875</v>
      </c>
      <c r="O1323">
        <v>921.91719999999896</v>
      </c>
      <c r="P1323">
        <v>1841.81018066406</v>
      </c>
      <c r="Q1323">
        <v>921.912353515625</v>
      </c>
      <c r="R1323">
        <v>2</v>
      </c>
      <c r="S1323">
        <v>2</v>
      </c>
      <c r="T1323">
        <v>13</v>
      </c>
      <c r="U1323">
        <v>41.261220000000002</v>
      </c>
      <c r="V1323">
        <v>84836.31</v>
      </c>
    </row>
    <row r="1324" spans="1:22" x14ac:dyDescent="0.25">
      <c r="A1324" t="s">
        <v>641</v>
      </c>
      <c r="B1324" t="s">
        <v>642</v>
      </c>
      <c r="C1324">
        <v>450</v>
      </c>
      <c r="D1324">
        <v>98.6</v>
      </c>
      <c r="E1324">
        <v>98.57</v>
      </c>
      <c r="F1324" t="s">
        <v>1999</v>
      </c>
      <c r="G1324" t="s">
        <v>1999</v>
      </c>
      <c r="H1324">
        <f t="shared" si="23"/>
        <v>15</v>
      </c>
      <c r="M1324" s="1">
        <v>1.0771700181067E-2</v>
      </c>
      <c r="N1324">
        <v>1758.89099121094</v>
      </c>
      <c r="O1324">
        <v>440.73</v>
      </c>
      <c r="P1324">
        <v>1758.88012695313</v>
      </c>
      <c r="Q1324">
        <v>440.72732543945301</v>
      </c>
      <c r="R1324">
        <v>4</v>
      </c>
      <c r="S1324">
        <v>1</v>
      </c>
      <c r="T1324">
        <v>8</v>
      </c>
      <c r="U1324">
        <v>24.922149999999899</v>
      </c>
      <c r="V1324">
        <v>195928.4</v>
      </c>
    </row>
    <row r="1325" spans="1:22" x14ac:dyDescent="0.25">
      <c r="A1325" t="s">
        <v>641</v>
      </c>
      <c r="B1325" t="s">
        <v>642</v>
      </c>
      <c r="C1325">
        <v>79</v>
      </c>
      <c r="D1325">
        <v>98.2</v>
      </c>
      <c r="E1325">
        <v>98.22</v>
      </c>
      <c r="F1325" t="s">
        <v>2000</v>
      </c>
      <c r="G1325" t="s">
        <v>2000</v>
      </c>
      <c r="H1325">
        <f t="shared" si="23"/>
        <v>9</v>
      </c>
      <c r="M1325" s="1">
        <v>7.2063198313117001E-3</v>
      </c>
      <c r="N1325">
        <v>1702.90026855469</v>
      </c>
      <c r="O1325">
        <v>568.64070000000004</v>
      </c>
      <c r="P1325">
        <v>1702.89306640625</v>
      </c>
      <c r="Q1325">
        <v>568.63830566406205</v>
      </c>
      <c r="R1325">
        <v>3</v>
      </c>
      <c r="S1325">
        <v>1</v>
      </c>
      <c r="T1325">
        <v>10</v>
      </c>
      <c r="U1325">
        <v>38.008180000000003</v>
      </c>
      <c r="V1325">
        <v>241615.3</v>
      </c>
    </row>
    <row r="1326" spans="1:22" x14ac:dyDescent="0.25">
      <c r="A1326" t="s">
        <v>1113</v>
      </c>
      <c r="B1326" t="s">
        <v>1114</v>
      </c>
      <c r="C1326">
        <v>202</v>
      </c>
      <c r="D1326">
        <v>99</v>
      </c>
      <c r="E1326">
        <v>99</v>
      </c>
      <c r="F1326" t="s">
        <v>1115</v>
      </c>
      <c r="G1326" t="s">
        <v>1115</v>
      </c>
      <c r="H1326">
        <f t="shared" si="23"/>
        <v>19</v>
      </c>
      <c r="M1326" s="1">
        <v>3.8515001069754401E-3</v>
      </c>
      <c r="N1326">
        <v>1900.90344238281</v>
      </c>
      <c r="O1326">
        <v>951.45899999999904</v>
      </c>
      <c r="P1326">
        <v>1900.89953613281</v>
      </c>
      <c r="Q1326">
        <v>951.45703125</v>
      </c>
      <c r="R1326">
        <v>2</v>
      </c>
      <c r="S1326">
        <v>1</v>
      </c>
      <c r="T1326">
        <v>7</v>
      </c>
      <c r="U1326">
        <v>54.973480000000002</v>
      </c>
      <c r="V1326">
        <v>108372.2</v>
      </c>
    </row>
    <row r="1327" spans="1:22" x14ac:dyDescent="0.25">
      <c r="A1327" t="s">
        <v>1113</v>
      </c>
      <c r="B1327" t="s">
        <v>1114</v>
      </c>
      <c r="C1327">
        <v>206</v>
      </c>
      <c r="D1327">
        <v>99</v>
      </c>
      <c r="E1327">
        <v>99</v>
      </c>
      <c r="F1327" t="s">
        <v>1116</v>
      </c>
      <c r="G1327" t="s">
        <v>1116</v>
      </c>
      <c r="H1327">
        <f t="shared" si="23"/>
        <v>15</v>
      </c>
      <c r="M1327" s="1">
        <v>8.7213302031159401E-3</v>
      </c>
      <c r="N1327">
        <v>1534.771484375</v>
      </c>
      <c r="O1327">
        <v>768.39300000000003</v>
      </c>
      <c r="P1327">
        <v>1534.7626953125</v>
      </c>
      <c r="Q1327">
        <v>768.388671875</v>
      </c>
      <c r="R1327">
        <v>2</v>
      </c>
      <c r="S1327">
        <v>1</v>
      </c>
      <c r="T1327">
        <v>8</v>
      </c>
      <c r="U1327">
        <v>46.970170000000003</v>
      </c>
      <c r="V1327">
        <v>62431.02</v>
      </c>
    </row>
    <row r="1328" spans="1:22" x14ac:dyDescent="0.25">
      <c r="A1328" t="s">
        <v>1655</v>
      </c>
      <c r="B1328" t="s">
        <v>1656</v>
      </c>
      <c r="C1328">
        <v>178</v>
      </c>
      <c r="D1328">
        <v>99</v>
      </c>
      <c r="E1328">
        <v>99</v>
      </c>
      <c r="F1328" t="s">
        <v>1657</v>
      </c>
      <c r="G1328" t="s">
        <v>1657</v>
      </c>
      <c r="H1328">
        <f t="shared" si="23"/>
        <v>14</v>
      </c>
      <c r="M1328" s="1">
        <v>6.3439002260565801E-3</v>
      </c>
      <c r="N1328">
        <v>1350.73193359375</v>
      </c>
      <c r="O1328">
        <v>676.3732</v>
      </c>
      <c r="P1328">
        <v>1350.7255859375</v>
      </c>
      <c r="Q1328">
        <v>676.37005615234295</v>
      </c>
      <c r="R1328">
        <v>2</v>
      </c>
      <c r="S1328">
        <v>1</v>
      </c>
      <c r="T1328">
        <v>8</v>
      </c>
      <c r="U1328">
        <v>53.163730000000001</v>
      </c>
      <c r="V1328">
        <v>81609.16</v>
      </c>
    </row>
    <row r="1329" spans="1:22" x14ac:dyDescent="0.25">
      <c r="A1329" t="s">
        <v>1655</v>
      </c>
      <c r="B1329" t="s">
        <v>1656</v>
      </c>
      <c r="C1329">
        <v>180</v>
      </c>
      <c r="D1329">
        <v>99</v>
      </c>
      <c r="E1329">
        <v>99</v>
      </c>
      <c r="F1329" t="s">
        <v>1658</v>
      </c>
      <c r="G1329" t="s">
        <v>1658</v>
      </c>
      <c r="H1329">
        <f t="shared" si="23"/>
        <v>13</v>
      </c>
      <c r="M1329" s="1">
        <v>1.0848300298675799E-3</v>
      </c>
      <c r="N1329">
        <v>1188.57861328125</v>
      </c>
      <c r="O1329">
        <v>595.29660000000001</v>
      </c>
      <c r="P1329">
        <v>1188.57751464844</v>
      </c>
      <c r="Q1329">
        <v>595.29602050781205</v>
      </c>
      <c r="R1329">
        <v>2</v>
      </c>
      <c r="S1329">
        <v>1</v>
      </c>
      <c r="T1329">
        <v>10</v>
      </c>
      <c r="U1329">
        <v>39.922330000000002</v>
      </c>
      <c r="V1329">
        <v>247426.3</v>
      </c>
    </row>
    <row r="1330" spans="1:22" x14ac:dyDescent="0.25">
      <c r="A1330" t="s">
        <v>3787</v>
      </c>
      <c r="B1330" t="s">
        <v>3788</v>
      </c>
      <c r="C1330">
        <v>126</v>
      </c>
      <c r="D1330">
        <v>99</v>
      </c>
      <c r="E1330">
        <v>99</v>
      </c>
      <c r="F1330" t="s">
        <v>3789</v>
      </c>
      <c r="G1330" t="s">
        <v>3789</v>
      </c>
      <c r="H1330">
        <f t="shared" si="23"/>
        <v>17</v>
      </c>
      <c r="M1330">
        <v>8.6960000000000006E-3</v>
      </c>
      <c r="N1330">
        <v>1512.787109375</v>
      </c>
      <c r="O1330">
        <v>757.4008</v>
      </c>
      <c r="P1330">
        <v>1512.77844238281</v>
      </c>
      <c r="Q1330">
        <v>757.396484375</v>
      </c>
      <c r="R1330">
        <v>2</v>
      </c>
      <c r="S1330">
        <v>2</v>
      </c>
      <c r="T1330">
        <v>8</v>
      </c>
      <c r="U1330">
        <v>44.3450899999999</v>
      </c>
      <c r="V1330">
        <v>63118.29</v>
      </c>
    </row>
    <row r="1331" spans="1:22" x14ac:dyDescent="0.25">
      <c r="A1331" t="s">
        <v>3787</v>
      </c>
      <c r="B1331" t="s">
        <v>3788</v>
      </c>
      <c r="C1331">
        <v>125</v>
      </c>
      <c r="D1331">
        <v>99</v>
      </c>
      <c r="E1331">
        <v>99</v>
      </c>
      <c r="F1331" t="s">
        <v>3790</v>
      </c>
      <c r="G1331" t="s">
        <v>3790</v>
      </c>
      <c r="H1331">
        <f t="shared" si="23"/>
        <v>18</v>
      </c>
      <c r="M1331" s="1">
        <v>-1.16344005800784E-3</v>
      </c>
      <c r="N1331">
        <v>1320.73901367188</v>
      </c>
      <c r="O1331">
        <v>661.3768</v>
      </c>
      <c r="P1331">
        <v>1320.74011230469</v>
      </c>
      <c r="Q1331">
        <v>661.37738037109295</v>
      </c>
      <c r="R1331">
        <v>2</v>
      </c>
      <c r="S1331">
        <v>1</v>
      </c>
      <c r="T1331">
        <v>14</v>
      </c>
      <c r="U1331">
        <v>21.861820000000002</v>
      </c>
      <c r="V1331">
        <v>278674.59999999899</v>
      </c>
    </row>
    <row r="1332" spans="1:22" x14ac:dyDescent="0.25">
      <c r="A1332" t="s">
        <v>3787</v>
      </c>
      <c r="B1332" t="s">
        <v>3788</v>
      </c>
      <c r="C1332">
        <v>125</v>
      </c>
      <c r="D1332">
        <v>99</v>
      </c>
      <c r="E1332">
        <v>99</v>
      </c>
      <c r="F1332" t="s">
        <v>3791</v>
      </c>
      <c r="G1332" t="s">
        <v>3791</v>
      </c>
      <c r="H1332">
        <f t="shared" si="23"/>
        <v>19</v>
      </c>
      <c r="M1332" s="1">
        <v>9.0618496760725906E-3</v>
      </c>
      <c r="N1332">
        <v>1159.65930175781</v>
      </c>
      <c r="O1332">
        <v>580.83690000000001</v>
      </c>
      <c r="P1332">
        <v>1159.65026855469</v>
      </c>
      <c r="Q1332">
        <v>580.83239746093705</v>
      </c>
      <c r="R1332">
        <v>2</v>
      </c>
      <c r="S1332">
        <v>1</v>
      </c>
      <c r="T1332">
        <v>12</v>
      </c>
      <c r="U1332">
        <v>38.5190699999999</v>
      </c>
      <c r="V1332">
        <v>3746883</v>
      </c>
    </row>
    <row r="1333" spans="1:22" x14ac:dyDescent="0.25">
      <c r="A1333" t="s">
        <v>3787</v>
      </c>
      <c r="B1333" t="s">
        <v>3788</v>
      </c>
      <c r="C1333">
        <v>127</v>
      </c>
      <c r="D1333">
        <v>99</v>
      </c>
      <c r="E1333">
        <v>99</v>
      </c>
      <c r="F1333" t="s">
        <v>3792</v>
      </c>
      <c r="G1333" t="s">
        <v>3792</v>
      </c>
      <c r="H1333">
        <f t="shared" si="23"/>
        <v>16</v>
      </c>
      <c r="M1333" s="1">
        <v>8.14724015071988E-4</v>
      </c>
      <c r="N1333">
        <v>847.503662109375</v>
      </c>
      <c r="O1333">
        <v>424.75909999999902</v>
      </c>
      <c r="P1333">
        <v>847.50280761718705</v>
      </c>
      <c r="Q1333">
        <v>424.75869750976602</v>
      </c>
      <c r="R1333">
        <v>2</v>
      </c>
      <c r="S1333">
        <v>2</v>
      </c>
      <c r="T1333">
        <v>8</v>
      </c>
      <c r="U1333">
        <v>24.6251199999999</v>
      </c>
      <c r="V1333">
        <v>1445536</v>
      </c>
    </row>
    <row r="1334" spans="1:22" x14ac:dyDescent="0.25">
      <c r="A1334" t="s">
        <v>3507</v>
      </c>
      <c r="B1334" t="s">
        <v>3508</v>
      </c>
      <c r="C1334">
        <v>661</v>
      </c>
      <c r="D1334">
        <v>99</v>
      </c>
      <c r="E1334">
        <v>99</v>
      </c>
      <c r="F1334" t="s">
        <v>3509</v>
      </c>
      <c r="G1334" t="s">
        <v>3509</v>
      </c>
      <c r="H1334">
        <f t="shared" si="23"/>
        <v>12</v>
      </c>
      <c r="M1334" s="1">
        <v>5.2320100367069201E-3</v>
      </c>
      <c r="N1334">
        <v>1757.92651367188</v>
      </c>
      <c r="O1334">
        <v>586.9828</v>
      </c>
      <c r="P1334">
        <v>1757.92126464844</v>
      </c>
      <c r="Q1334">
        <v>586.98101806640602</v>
      </c>
      <c r="R1334">
        <v>3</v>
      </c>
      <c r="S1334">
        <v>1</v>
      </c>
      <c r="T1334">
        <v>10</v>
      </c>
      <c r="U1334">
        <v>27.486080000000001</v>
      </c>
      <c r="V1334">
        <v>270196.3</v>
      </c>
    </row>
    <row r="1335" spans="1:22" x14ac:dyDescent="0.25">
      <c r="A1335" t="s">
        <v>285</v>
      </c>
      <c r="B1335" t="s">
        <v>286</v>
      </c>
      <c r="C1335">
        <v>670</v>
      </c>
      <c r="D1335">
        <v>99</v>
      </c>
      <c r="E1335">
        <v>99</v>
      </c>
      <c r="F1335" t="s">
        <v>287</v>
      </c>
      <c r="G1335" t="s">
        <v>287</v>
      </c>
      <c r="H1335">
        <f t="shared" si="23"/>
        <v>11</v>
      </c>
      <c r="M1335" s="1">
        <v>6.1068697832524802E-3</v>
      </c>
      <c r="N1335">
        <v>2136.21166992188</v>
      </c>
      <c r="O1335">
        <v>713.07780000000002</v>
      </c>
      <c r="P1335">
        <v>2136.20556640625</v>
      </c>
      <c r="Q1335">
        <v>713.07580566406205</v>
      </c>
      <c r="R1335">
        <v>3</v>
      </c>
      <c r="S1335">
        <v>1</v>
      </c>
      <c r="T1335">
        <v>14</v>
      </c>
      <c r="U1335">
        <v>29.5630799999999</v>
      </c>
      <c r="V1335">
        <v>1102966</v>
      </c>
    </row>
    <row r="1336" spans="1:22" x14ac:dyDescent="0.25">
      <c r="A1336" t="s">
        <v>3465</v>
      </c>
      <c r="B1336" t="s">
        <v>3466</v>
      </c>
      <c r="C1336">
        <v>546</v>
      </c>
      <c r="D1336">
        <v>99</v>
      </c>
      <c r="E1336">
        <v>99</v>
      </c>
      <c r="F1336" t="s">
        <v>3467</v>
      </c>
      <c r="G1336" t="s">
        <v>3467</v>
      </c>
      <c r="H1336">
        <f t="shared" si="23"/>
        <v>9</v>
      </c>
      <c r="M1336" s="1">
        <v>2.1887600887566801E-3</v>
      </c>
      <c r="N1336">
        <v>1080.61022949219</v>
      </c>
      <c r="O1336">
        <v>541.31240000000003</v>
      </c>
      <c r="P1336">
        <v>1080.60803222656</v>
      </c>
      <c r="Q1336">
        <v>541.311279296875</v>
      </c>
      <c r="R1336">
        <v>2</v>
      </c>
      <c r="S1336">
        <v>1</v>
      </c>
      <c r="T1336">
        <v>11</v>
      </c>
      <c r="U1336">
        <v>29.709820000000001</v>
      </c>
      <c r="V1336">
        <v>634481.9</v>
      </c>
    </row>
    <row r="1337" spans="1:22" x14ac:dyDescent="0.25">
      <c r="A1337" t="s">
        <v>1547</v>
      </c>
      <c r="B1337" t="s">
        <v>1548</v>
      </c>
      <c r="C1337">
        <v>75</v>
      </c>
      <c r="D1337">
        <v>99</v>
      </c>
      <c r="E1337">
        <v>99</v>
      </c>
      <c r="F1337" t="s">
        <v>1549</v>
      </c>
      <c r="G1337" t="s">
        <v>1549</v>
      </c>
      <c r="H1337">
        <f t="shared" si="23"/>
        <v>14</v>
      </c>
      <c r="M1337" s="1">
        <v>3.8467100821435399E-3</v>
      </c>
      <c r="N1337">
        <v>1115.55847167969</v>
      </c>
      <c r="O1337">
        <v>558.78650000000005</v>
      </c>
      <c r="P1337">
        <v>1115.55456542969</v>
      </c>
      <c r="Q1337">
        <v>558.78454589843705</v>
      </c>
      <c r="R1337">
        <v>2</v>
      </c>
      <c r="S1337">
        <v>11</v>
      </c>
      <c r="T1337">
        <v>12</v>
      </c>
      <c r="U1337">
        <v>27.1737299999999</v>
      </c>
      <c r="V1337">
        <v>942196.2</v>
      </c>
    </row>
    <row r="1338" spans="1:22" x14ac:dyDescent="0.25">
      <c r="A1338" t="s">
        <v>1547</v>
      </c>
      <c r="B1338" t="s">
        <v>1548</v>
      </c>
      <c r="C1338">
        <v>76</v>
      </c>
      <c r="D1338">
        <v>99</v>
      </c>
      <c r="E1338">
        <v>99</v>
      </c>
      <c r="F1338" t="s">
        <v>1550</v>
      </c>
      <c r="G1338" t="s">
        <v>1550</v>
      </c>
      <c r="H1338">
        <f t="shared" si="23"/>
        <v>13</v>
      </c>
      <c r="M1338" s="1">
        <v>-2.8450301033444703E-4</v>
      </c>
      <c r="N1338">
        <v>1095.607421875</v>
      </c>
      <c r="O1338">
        <v>548.81100000000004</v>
      </c>
      <c r="P1338">
        <v>1095.60766601563</v>
      </c>
      <c r="Q1338">
        <v>548.81109619140602</v>
      </c>
      <c r="R1338">
        <v>2</v>
      </c>
      <c r="S1338">
        <v>12</v>
      </c>
      <c r="T1338">
        <v>13</v>
      </c>
      <c r="U1338">
        <v>38.857950000000002</v>
      </c>
      <c r="V1338">
        <v>10310270</v>
      </c>
    </row>
    <row r="1339" spans="1:22" x14ac:dyDescent="0.25">
      <c r="A1339" t="s">
        <v>1547</v>
      </c>
      <c r="B1339" t="s">
        <v>1548</v>
      </c>
      <c r="C1339">
        <v>563</v>
      </c>
      <c r="D1339">
        <v>99</v>
      </c>
      <c r="E1339">
        <v>99</v>
      </c>
      <c r="F1339" t="s">
        <v>1551</v>
      </c>
      <c r="G1339" t="s">
        <v>1551</v>
      </c>
      <c r="H1339">
        <f t="shared" si="23"/>
        <v>17</v>
      </c>
      <c r="M1339">
        <v>1.284E-3</v>
      </c>
      <c r="N1339">
        <v>1102.59704589844</v>
      </c>
      <c r="O1339">
        <v>552.30579999999895</v>
      </c>
      <c r="P1339">
        <v>1102.595703125</v>
      </c>
      <c r="Q1339">
        <v>552.30511474609295</v>
      </c>
      <c r="R1339">
        <v>2</v>
      </c>
      <c r="S1339">
        <v>2</v>
      </c>
      <c r="T1339">
        <v>11</v>
      </c>
      <c r="U1339">
        <v>23.946470000000001</v>
      </c>
      <c r="V1339">
        <v>1844869</v>
      </c>
    </row>
    <row r="1340" spans="1:22" x14ac:dyDescent="0.25">
      <c r="A1340" t="s">
        <v>1547</v>
      </c>
      <c r="B1340" t="s">
        <v>1548</v>
      </c>
      <c r="C1340">
        <v>295</v>
      </c>
      <c r="D1340">
        <v>99</v>
      </c>
      <c r="E1340">
        <v>99</v>
      </c>
      <c r="F1340" t="s">
        <v>1552</v>
      </c>
      <c r="G1340" t="s">
        <v>1552</v>
      </c>
      <c r="H1340">
        <f t="shared" si="23"/>
        <v>15</v>
      </c>
      <c r="M1340" s="1">
        <v>8.8764196261763607E-3</v>
      </c>
      <c r="N1340">
        <v>1864.82446289063</v>
      </c>
      <c r="O1340">
        <v>933.41949999999895</v>
      </c>
      <c r="P1340">
        <v>1864.81555175781</v>
      </c>
      <c r="Q1340">
        <v>933.4150390625</v>
      </c>
      <c r="R1340">
        <v>2</v>
      </c>
      <c r="S1340">
        <v>1</v>
      </c>
      <c r="T1340">
        <v>11</v>
      </c>
      <c r="U1340">
        <v>45.748600000000003</v>
      </c>
      <c r="V1340">
        <v>301618</v>
      </c>
    </row>
    <row r="1341" spans="1:22" x14ac:dyDescent="0.25">
      <c r="A1341" t="s">
        <v>1547</v>
      </c>
      <c r="B1341" t="s">
        <v>1548</v>
      </c>
      <c r="C1341">
        <v>74</v>
      </c>
      <c r="D1341">
        <v>99</v>
      </c>
      <c r="E1341">
        <v>99</v>
      </c>
      <c r="F1341" t="s">
        <v>1553</v>
      </c>
      <c r="G1341" t="s">
        <v>1553</v>
      </c>
      <c r="H1341">
        <f t="shared" si="23"/>
        <v>15</v>
      </c>
      <c r="M1341" s="1">
        <v>2.8009200468659401E-3</v>
      </c>
      <c r="N1341">
        <v>1213.529296875</v>
      </c>
      <c r="O1341">
        <v>607.77189999999905</v>
      </c>
      <c r="P1341">
        <v>1213.52648925781</v>
      </c>
      <c r="Q1341">
        <v>607.7705078125</v>
      </c>
      <c r="R1341">
        <v>2</v>
      </c>
      <c r="S1341">
        <v>1</v>
      </c>
      <c r="T1341">
        <v>12</v>
      </c>
      <c r="U1341">
        <v>25.90307</v>
      </c>
      <c r="V1341">
        <v>161300.6</v>
      </c>
    </row>
    <row r="1342" spans="1:22" x14ac:dyDescent="0.25">
      <c r="A1342" t="s">
        <v>1547</v>
      </c>
      <c r="B1342" t="s">
        <v>1548</v>
      </c>
      <c r="C1342">
        <v>529</v>
      </c>
      <c r="D1342">
        <v>97.7</v>
      </c>
      <c r="E1342">
        <v>97.73</v>
      </c>
      <c r="F1342" t="s">
        <v>1554</v>
      </c>
      <c r="G1342" t="s">
        <v>1554</v>
      </c>
      <c r="H1342">
        <f t="shared" si="23"/>
        <v>21</v>
      </c>
      <c r="L1342" t="s">
        <v>555</v>
      </c>
      <c r="M1342" s="1">
        <v>6.3123400323092903E-3</v>
      </c>
      <c r="N1342">
        <v>2066.9794921875</v>
      </c>
      <c r="O1342">
        <v>690.00040000000001</v>
      </c>
      <c r="P1342">
        <v>2066.97314453125</v>
      </c>
      <c r="Q1342">
        <v>689.99835205078102</v>
      </c>
      <c r="R1342">
        <v>3</v>
      </c>
      <c r="S1342">
        <v>1</v>
      </c>
      <c r="T1342">
        <v>13</v>
      </c>
      <c r="U1342">
        <v>32.99109</v>
      </c>
      <c r="V1342">
        <v>168916.4</v>
      </c>
    </row>
    <row r="1343" spans="1:22" x14ac:dyDescent="0.25">
      <c r="A1343" t="s">
        <v>1547</v>
      </c>
      <c r="B1343" t="s">
        <v>1548</v>
      </c>
      <c r="C1343">
        <v>530</v>
      </c>
      <c r="D1343">
        <v>99</v>
      </c>
      <c r="E1343">
        <v>99</v>
      </c>
      <c r="F1343" t="s">
        <v>1555</v>
      </c>
      <c r="G1343" t="s">
        <v>1555</v>
      </c>
      <c r="H1343">
        <f t="shared" si="23"/>
        <v>20</v>
      </c>
      <c r="L1343" t="s">
        <v>1556</v>
      </c>
      <c r="M1343" s="1">
        <v>1.37026002630591E-3</v>
      </c>
      <c r="N1343">
        <v>1664.62744140625</v>
      </c>
      <c r="O1343">
        <v>833.32100000000003</v>
      </c>
      <c r="P1343">
        <v>1664.62609863281</v>
      </c>
      <c r="Q1343">
        <v>833.3203125</v>
      </c>
      <c r="R1343">
        <v>2</v>
      </c>
      <c r="S1343">
        <v>1</v>
      </c>
      <c r="T1343">
        <v>10</v>
      </c>
      <c r="U1343">
        <v>37.159350000000003</v>
      </c>
      <c r="V1343">
        <v>142202.1</v>
      </c>
    </row>
    <row r="1344" spans="1:22" x14ac:dyDescent="0.25">
      <c r="A1344" t="s">
        <v>1611</v>
      </c>
      <c r="B1344" t="s">
        <v>1612</v>
      </c>
      <c r="C1344">
        <v>181</v>
      </c>
      <c r="D1344">
        <v>99</v>
      </c>
      <c r="E1344">
        <v>99</v>
      </c>
      <c r="F1344" t="s">
        <v>1613</v>
      </c>
      <c r="G1344" t="s">
        <v>1613</v>
      </c>
      <c r="H1344">
        <f t="shared" si="23"/>
        <v>17</v>
      </c>
      <c r="M1344" s="1">
        <v>1.8017099937424101E-3</v>
      </c>
      <c r="N1344">
        <v>2046.87390136719</v>
      </c>
      <c r="O1344">
        <v>683.29859999999906</v>
      </c>
      <c r="P1344">
        <v>2046.8720703125</v>
      </c>
      <c r="Q1344">
        <v>683.29797363281205</v>
      </c>
      <c r="R1344">
        <v>3</v>
      </c>
      <c r="S1344">
        <v>2</v>
      </c>
      <c r="T1344">
        <v>12</v>
      </c>
      <c r="U1344">
        <v>28.847470000000001</v>
      </c>
      <c r="V1344">
        <v>594419.80000000005</v>
      </c>
    </row>
    <row r="1345" spans="1:22" x14ac:dyDescent="0.25">
      <c r="A1345" t="s">
        <v>1611</v>
      </c>
      <c r="B1345" t="s">
        <v>1612</v>
      </c>
      <c r="C1345">
        <v>46</v>
      </c>
      <c r="D1345">
        <v>98</v>
      </c>
      <c r="E1345">
        <v>98.03</v>
      </c>
      <c r="F1345" t="s">
        <v>1614</v>
      </c>
      <c r="G1345" t="s">
        <v>1614</v>
      </c>
      <c r="H1345">
        <f t="shared" si="23"/>
        <v>15</v>
      </c>
      <c r="M1345" s="1">
        <v>1.15974002983421E-3</v>
      </c>
      <c r="N1345">
        <v>1194.55822753906</v>
      </c>
      <c r="O1345">
        <v>598.28639999999905</v>
      </c>
      <c r="P1345">
        <v>1194.55700683594</v>
      </c>
      <c r="Q1345">
        <v>598.28576660156205</v>
      </c>
      <c r="R1345">
        <v>2</v>
      </c>
      <c r="S1345">
        <v>1</v>
      </c>
      <c r="T1345">
        <v>14</v>
      </c>
      <c r="U1345">
        <v>29.693269999999899</v>
      </c>
      <c r="V1345">
        <v>1921064</v>
      </c>
    </row>
    <row r="1346" spans="1:22" x14ac:dyDescent="0.25">
      <c r="A1346" t="s">
        <v>1611</v>
      </c>
      <c r="B1346" t="s">
        <v>1612</v>
      </c>
      <c r="C1346">
        <v>40</v>
      </c>
      <c r="D1346">
        <v>99</v>
      </c>
      <c r="E1346">
        <v>99</v>
      </c>
      <c r="F1346" t="s">
        <v>1615</v>
      </c>
      <c r="G1346" t="s">
        <v>1615</v>
      </c>
      <c r="H1346">
        <f t="shared" si="23"/>
        <v>13</v>
      </c>
      <c r="M1346" s="1">
        <v>3.45947011373937E-3</v>
      </c>
      <c r="N1346">
        <v>1350.66162109375</v>
      </c>
      <c r="O1346">
        <v>451.2278</v>
      </c>
      <c r="P1346">
        <v>1350.658203125</v>
      </c>
      <c r="Q1346">
        <v>451.22665405273301</v>
      </c>
      <c r="R1346">
        <v>3</v>
      </c>
      <c r="S1346">
        <v>1</v>
      </c>
      <c r="T1346">
        <v>10</v>
      </c>
      <c r="U1346">
        <v>24.6393799999999</v>
      </c>
      <c r="V1346">
        <v>149315.4</v>
      </c>
    </row>
    <row r="1347" spans="1:22" x14ac:dyDescent="0.25">
      <c r="A1347" t="s">
        <v>1611</v>
      </c>
      <c r="B1347" t="s">
        <v>1612</v>
      </c>
      <c r="C1347">
        <v>182</v>
      </c>
      <c r="D1347">
        <v>99</v>
      </c>
      <c r="E1347">
        <v>99</v>
      </c>
      <c r="F1347" t="s">
        <v>1616</v>
      </c>
      <c r="G1347" t="s">
        <v>1616</v>
      </c>
      <c r="H1347">
        <f t="shared" ref="H1347:H1410" si="24">LEN(G1347)</f>
        <v>14</v>
      </c>
      <c r="M1347" s="1">
        <v>5.8152601122856001E-3</v>
      </c>
      <c r="N1347">
        <v>1545.73828125</v>
      </c>
      <c r="O1347">
        <v>773.87639999999897</v>
      </c>
      <c r="P1347">
        <v>1545.732421875</v>
      </c>
      <c r="Q1347">
        <v>773.87347412109295</v>
      </c>
      <c r="R1347">
        <v>2</v>
      </c>
      <c r="S1347">
        <v>1</v>
      </c>
      <c r="T1347">
        <v>10</v>
      </c>
      <c r="U1347">
        <v>32.358020000000003</v>
      </c>
      <c r="V1347">
        <v>269352.90000000002</v>
      </c>
    </row>
    <row r="1348" spans="1:22" x14ac:dyDescent="0.25">
      <c r="A1348" t="s">
        <v>4166</v>
      </c>
      <c r="B1348" t="s">
        <v>4167</v>
      </c>
      <c r="C1348">
        <v>274</v>
      </c>
      <c r="D1348">
        <v>97.5</v>
      </c>
      <c r="E1348">
        <v>97.47</v>
      </c>
      <c r="F1348" t="s">
        <v>4168</v>
      </c>
      <c r="G1348" t="s">
        <v>4168</v>
      </c>
      <c r="H1348">
        <f t="shared" si="24"/>
        <v>19</v>
      </c>
      <c r="M1348" s="1">
        <v>3.80759011022747E-3</v>
      </c>
      <c r="N1348">
        <v>1692.8046875</v>
      </c>
      <c r="O1348">
        <v>847.40959999999905</v>
      </c>
      <c r="P1348">
        <v>1692.80090332031</v>
      </c>
      <c r="Q1348">
        <v>847.40771484375</v>
      </c>
      <c r="R1348">
        <v>2</v>
      </c>
      <c r="S1348">
        <v>1</v>
      </c>
      <c r="T1348">
        <v>11</v>
      </c>
      <c r="U1348">
        <v>39.02543</v>
      </c>
      <c r="V1348">
        <v>234522.2</v>
      </c>
    </row>
    <row r="1349" spans="1:22" x14ac:dyDescent="0.25">
      <c r="A1349" t="s">
        <v>4166</v>
      </c>
      <c r="B1349" t="s">
        <v>4167</v>
      </c>
      <c r="C1349">
        <v>270</v>
      </c>
      <c r="D1349">
        <v>99</v>
      </c>
      <c r="E1349">
        <v>99</v>
      </c>
      <c r="F1349" t="s">
        <v>4169</v>
      </c>
      <c r="G1349" t="s">
        <v>4169</v>
      </c>
      <c r="H1349">
        <f t="shared" si="24"/>
        <v>23</v>
      </c>
      <c r="L1349" t="s">
        <v>295</v>
      </c>
      <c r="M1349" s="1">
        <v>-2.6123200077563398E-3</v>
      </c>
      <c r="N1349">
        <v>2160.1083984375</v>
      </c>
      <c r="O1349">
        <v>721.04340000000002</v>
      </c>
      <c r="P1349">
        <v>2160.11108398438</v>
      </c>
      <c r="Q1349">
        <v>721.04425048828102</v>
      </c>
      <c r="R1349">
        <v>3</v>
      </c>
      <c r="S1349">
        <v>1</v>
      </c>
      <c r="T1349">
        <v>13</v>
      </c>
      <c r="U1349">
        <v>17.769380000000002</v>
      </c>
      <c r="V1349">
        <v>52220.21</v>
      </c>
    </row>
    <row r="1350" spans="1:22" x14ac:dyDescent="0.25">
      <c r="A1350" t="s">
        <v>522</v>
      </c>
      <c r="B1350" t="s">
        <v>523</v>
      </c>
      <c r="C1350">
        <v>840</v>
      </c>
      <c r="D1350">
        <v>99</v>
      </c>
      <c r="E1350">
        <v>99</v>
      </c>
      <c r="F1350" t="s">
        <v>524</v>
      </c>
      <c r="G1350" t="s">
        <v>524</v>
      </c>
      <c r="H1350">
        <f t="shared" si="24"/>
        <v>8</v>
      </c>
      <c r="M1350">
        <v>1.681E-3</v>
      </c>
      <c r="N1350">
        <v>1172.65832519531</v>
      </c>
      <c r="O1350">
        <v>391.89339999999902</v>
      </c>
      <c r="P1350">
        <v>1172.65673828125</v>
      </c>
      <c r="Q1350">
        <v>391.89285278320301</v>
      </c>
      <c r="R1350">
        <v>3</v>
      </c>
      <c r="S1350">
        <v>2</v>
      </c>
      <c r="T1350">
        <v>12</v>
      </c>
      <c r="U1350">
        <v>30.27582</v>
      </c>
      <c r="V1350">
        <v>2617360</v>
      </c>
    </row>
    <row r="1351" spans="1:22" x14ac:dyDescent="0.25">
      <c r="A1351" t="s">
        <v>2932</v>
      </c>
      <c r="B1351" t="s">
        <v>2933</v>
      </c>
      <c r="C1351">
        <v>1964</v>
      </c>
      <c r="D1351">
        <v>98.5</v>
      </c>
      <c r="E1351">
        <v>98.52</v>
      </c>
      <c r="F1351" t="s">
        <v>2934</v>
      </c>
      <c r="G1351" t="s">
        <v>2934</v>
      </c>
      <c r="H1351">
        <f t="shared" si="24"/>
        <v>9</v>
      </c>
      <c r="M1351" s="1">
        <v>1.38826004695146E-3</v>
      </c>
      <c r="N1351">
        <v>1277.61669921875</v>
      </c>
      <c r="O1351">
        <v>639.81560000000002</v>
      </c>
      <c r="P1351">
        <v>1277.615234375</v>
      </c>
      <c r="Q1351">
        <v>639.81494140625</v>
      </c>
      <c r="R1351">
        <v>2</v>
      </c>
      <c r="S1351">
        <v>3</v>
      </c>
      <c r="T1351">
        <v>12</v>
      </c>
      <c r="U1351">
        <v>24.7087299999999</v>
      </c>
      <c r="V1351">
        <v>479901.4</v>
      </c>
    </row>
    <row r="1352" spans="1:22" x14ac:dyDescent="0.25">
      <c r="A1352" t="s">
        <v>2932</v>
      </c>
      <c r="B1352" t="s">
        <v>2933</v>
      </c>
      <c r="C1352">
        <v>2849</v>
      </c>
      <c r="D1352">
        <v>98.9</v>
      </c>
      <c r="E1352">
        <v>98.94</v>
      </c>
      <c r="F1352" t="s">
        <v>2935</v>
      </c>
      <c r="G1352" t="s">
        <v>2935</v>
      </c>
      <c r="H1352">
        <f t="shared" si="24"/>
        <v>9</v>
      </c>
      <c r="M1352" s="1">
        <v>-1.8742999527603401E-3</v>
      </c>
      <c r="N1352">
        <v>1179.587890625</v>
      </c>
      <c r="O1352">
        <v>590.80119999999897</v>
      </c>
      <c r="P1352">
        <v>1179.58972167969</v>
      </c>
      <c r="Q1352">
        <v>590.80212402343705</v>
      </c>
      <c r="R1352">
        <v>2</v>
      </c>
      <c r="S1352">
        <v>1</v>
      </c>
      <c r="T1352">
        <v>11</v>
      </c>
      <c r="U1352">
        <v>20.702100000000002</v>
      </c>
      <c r="V1352">
        <v>1047593</v>
      </c>
    </row>
    <row r="1353" spans="1:22" x14ac:dyDescent="0.25">
      <c r="A1353" t="s">
        <v>3373</v>
      </c>
      <c r="B1353" t="s">
        <v>3374</v>
      </c>
      <c r="C1353">
        <v>671</v>
      </c>
      <c r="D1353">
        <v>97.7</v>
      </c>
      <c r="E1353">
        <v>97.74</v>
      </c>
      <c r="F1353" t="s">
        <v>3375</v>
      </c>
      <c r="G1353" t="s">
        <v>3375</v>
      </c>
      <c r="H1353">
        <f t="shared" si="24"/>
        <v>10</v>
      </c>
      <c r="M1353" s="1">
        <v>4.27366001531482E-3</v>
      </c>
      <c r="N1353">
        <v>1251.611328125</v>
      </c>
      <c r="O1353">
        <v>626.81290000000001</v>
      </c>
      <c r="P1353">
        <v>1251.60705566406</v>
      </c>
      <c r="Q1353">
        <v>626.810791015625</v>
      </c>
      <c r="R1353">
        <v>2</v>
      </c>
      <c r="S1353">
        <v>3</v>
      </c>
      <c r="T1353">
        <v>13</v>
      </c>
      <c r="U1353">
        <v>28.88983</v>
      </c>
      <c r="V1353">
        <v>814597.9</v>
      </c>
    </row>
    <row r="1354" spans="1:22" x14ac:dyDescent="0.25">
      <c r="A1354" t="s">
        <v>2950</v>
      </c>
      <c r="B1354" t="s">
        <v>2951</v>
      </c>
      <c r="C1354">
        <v>300</v>
      </c>
      <c r="D1354">
        <v>99</v>
      </c>
      <c r="E1354">
        <v>99</v>
      </c>
      <c r="F1354" t="s">
        <v>2952</v>
      </c>
      <c r="G1354" t="s">
        <v>2952</v>
      </c>
      <c r="H1354">
        <f t="shared" si="24"/>
        <v>15</v>
      </c>
      <c r="M1354" s="1">
        <v>2.1976600401103501E-3</v>
      </c>
      <c r="N1354">
        <v>1169.63269042969</v>
      </c>
      <c r="O1354">
        <v>1170.6400000000001</v>
      </c>
      <c r="P1354">
        <v>1169.63049316406</v>
      </c>
      <c r="Q1354">
        <v>1170.63781738281</v>
      </c>
      <c r="R1354">
        <v>1</v>
      </c>
      <c r="S1354">
        <v>2</v>
      </c>
      <c r="T1354">
        <v>10</v>
      </c>
      <c r="U1354">
        <v>29.4298</v>
      </c>
      <c r="V1354">
        <v>6910792</v>
      </c>
    </row>
    <row r="1355" spans="1:22" x14ac:dyDescent="0.25">
      <c r="A1355" t="s">
        <v>2953</v>
      </c>
      <c r="B1355" t="s">
        <v>2954</v>
      </c>
      <c r="C1355">
        <v>302</v>
      </c>
      <c r="D1355">
        <v>99</v>
      </c>
      <c r="E1355">
        <v>99</v>
      </c>
      <c r="F1355" t="s">
        <v>2955</v>
      </c>
      <c r="G1355" t="s">
        <v>2955</v>
      </c>
      <c r="H1355">
        <f t="shared" si="24"/>
        <v>17</v>
      </c>
      <c r="M1355" s="1">
        <v>-6.4304200932383503E-3</v>
      </c>
      <c r="N1355">
        <v>1427.76818847656</v>
      </c>
      <c r="O1355">
        <v>476.93</v>
      </c>
      <c r="P1355">
        <v>1427.77453613281</v>
      </c>
      <c r="Q1355">
        <v>476.93212890625</v>
      </c>
      <c r="R1355">
        <v>3</v>
      </c>
      <c r="S1355">
        <v>1</v>
      </c>
      <c r="T1355">
        <v>11</v>
      </c>
      <c r="U1355">
        <v>18.285730000000001</v>
      </c>
      <c r="V1355">
        <v>198102.6</v>
      </c>
    </row>
    <row r="1356" spans="1:22" x14ac:dyDescent="0.25">
      <c r="A1356" t="s">
        <v>2953</v>
      </c>
      <c r="B1356" t="s">
        <v>2954</v>
      </c>
      <c r="C1356">
        <v>53</v>
      </c>
      <c r="D1356">
        <v>99</v>
      </c>
      <c r="E1356">
        <v>99</v>
      </c>
      <c r="F1356" t="s">
        <v>2956</v>
      </c>
      <c r="G1356" t="s">
        <v>2956</v>
      </c>
      <c r="H1356">
        <f t="shared" si="24"/>
        <v>9</v>
      </c>
      <c r="M1356" s="1">
        <v>2.2585000842809599E-3</v>
      </c>
      <c r="N1356">
        <v>1188.61743164063</v>
      </c>
      <c r="O1356">
        <v>397.2131</v>
      </c>
      <c r="P1356">
        <v>1188.615234375</v>
      </c>
      <c r="Q1356">
        <v>397.21234130859301</v>
      </c>
      <c r="R1356">
        <v>3</v>
      </c>
      <c r="S1356">
        <v>1</v>
      </c>
      <c r="T1356">
        <v>10</v>
      </c>
      <c r="U1356">
        <v>26.393650000000001</v>
      </c>
      <c r="V1356">
        <v>317589.09999999899</v>
      </c>
    </row>
    <row r="1357" spans="1:22" x14ac:dyDescent="0.25">
      <c r="A1357" t="s">
        <v>4448</v>
      </c>
      <c r="B1357" t="s">
        <v>4449</v>
      </c>
      <c r="C1357">
        <v>447</v>
      </c>
      <c r="D1357">
        <v>99</v>
      </c>
      <c r="E1357">
        <v>99</v>
      </c>
      <c r="F1357" t="s">
        <v>4450</v>
      </c>
      <c r="G1357" t="s">
        <v>4450</v>
      </c>
      <c r="H1357">
        <f t="shared" si="24"/>
        <v>9</v>
      </c>
      <c r="M1357" s="1">
        <v>2.6661499869078402E-3</v>
      </c>
      <c r="N1357">
        <v>1154.56481933594</v>
      </c>
      <c r="O1357">
        <v>578.28970000000004</v>
      </c>
      <c r="P1357">
        <v>1154.56213378906</v>
      </c>
      <c r="Q1357">
        <v>578.288330078125</v>
      </c>
      <c r="R1357">
        <v>2</v>
      </c>
      <c r="S1357">
        <v>4</v>
      </c>
      <c r="T1357">
        <v>12</v>
      </c>
      <c r="U1357">
        <v>28.725919999999899</v>
      </c>
      <c r="V1357">
        <v>3588410</v>
      </c>
    </row>
    <row r="1358" spans="1:22" x14ac:dyDescent="0.25">
      <c r="A1358" t="s">
        <v>1519</v>
      </c>
      <c r="B1358" t="s">
        <v>1520</v>
      </c>
      <c r="C1358">
        <v>151</v>
      </c>
      <c r="D1358">
        <v>99</v>
      </c>
      <c r="E1358">
        <v>99</v>
      </c>
      <c r="F1358" t="s">
        <v>1521</v>
      </c>
      <c r="G1358" t="s">
        <v>1521</v>
      </c>
      <c r="H1358">
        <f t="shared" si="24"/>
        <v>17</v>
      </c>
      <c r="M1358">
        <v>6.6000000000000005E-5</v>
      </c>
      <c r="N1358">
        <v>1156.62548828125</v>
      </c>
      <c r="O1358">
        <v>579.32000000000005</v>
      </c>
      <c r="P1358">
        <v>1156.62536621094</v>
      </c>
      <c r="Q1358">
        <v>579.31994628906205</v>
      </c>
      <c r="R1358">
        <v>2</v>
      </c>
      <c r="S1358">
        <v>3</v>
      </c>
      <c r="T1358">
        <v>11</v>
      </c>
      <c r="U1358">
        <v>23.02318</v>
      </c>
      <c r="V1358">
        <v>135380.4</v>
      </c>
    </row>
    <row r="1359" spans="1:22" x14ac:dyDescent="0.25">
      <c r="A1359" t="s">
        <v>1519</v>
      </c>
      <c r="B1359" t="s">
        <v>1520</v>
      </c>
      <c r="C1359">
        <v>151</v>
      </c>
      <c r="D1359">
        <v>99</v>
      </c>
      <c r="E1359">
        <v>99</v>
      </c>
      <c r="F1359" t="s">
        <v>1522</v>
      </c>
      <c r="G1359" t="s">
        <v>1522</v>
      </c>
      <c r="H1359">
        <f t="shared" si="24"/>
        <v>16</v>
      </c>
      <c r="L1359" t="s">
        <v>1523</v>
      </c>
      <c r="M1359" s="1">
        <v>1.0085600428283201E-2</v>
      </c>
      <c r="N1359">
        <v>2270.25244140625</v>
      </c>
      <c r="O1359">
        <v>568.57039999999904</v>
      </c>
      <c r="P1359">
        <v>2270.2421875</v>
      </c>
      <c r="Q1359">
        <v>568.56787109375</v>
      </c>
      <c r="R1359">
        <v>4</v>
      </c>
      <c r="S1359">
        <v>2</v>
      </c>
      <c r="T1359">
        <v>12</v>
      </c>
      <c r="U1359">
        <v>46.5349</v>
      </c>
      <c r="V1359">
        <v>575731.6</v>
      </c>
    </row>
    <row r="1360" spans="1:22" x14ac:dyDescent="0.25">
      <c r="A1360" t="s">
        <v>1519</v>
      </c>
      <c r="B1360" t="s">
        <v>1520</v>
      </c>
      <c r="C1360">
        <v>151</v>
      </c>
      <c r="D1360">
        <v>99</v>
      </c>
      <c r="E1360">
        <v>99</v>
      </c>
      <c r="F1360" t="s">
        <v>1521</v>
      </c>
      <c r="G1360" t="s">
        <v>1521</v>
      </c>
      <c r="H1360">
        <f t="shared" si="24"/>
        <v>17</v>
      </c>
      <c r="L1360" t="s">
        <v>541</v>
      </c>
      <c r="M1360" s="1">
        <v>9.8342599812895103E-4</v>
      </c>
      <c r="N1360">
        <v>1704.82165527344</v>
      </c>
      <c r="O1360">
        <v>853.41809999999896</v>
      </c>
      <c r="P1360">
        <v>1704.82067871094</v>
      </c>
      <c r="Q1360">
        <v>853.41760253906205</v>
      </c>
      <c r="R1360">
        <v>2</v>
      </c>
      <c r="S1360">
        <v>1</v>
      </c>
      <c r="T1360">
        <v>12</v>
      </c>
      <c r="U1360">
        <v>33.068820000000002</v>
      </c>
      <c r="V1360">
        <v>379247.1</v>
      </c>
    </row>
    <row r="1361" spans="1:22" x14ac:dyDescent="0.25">
      <c r="A1361" t="s">
        <v>1519</v>
      </c>
      <c r="B1361" t="s">
        <v>1520</v>
      </c>
      <c r="C1361">
        <v>151</v>
      </c>
      <c r="D1361">
        <v>99</v>
      </c>
      <c r="E1361">
        <v>99</v>
      </c>
      <c r="F1361" t="s">
        <v>1521</v>
      </c>
      <c r="G1361" t="s">
        <v>1521</v>
      </c>
      <c r="H1361">
        <f t="shared" si="24"/>
        <v>17</v>
      </c>
      <c r="L1361" t="s">
        <v>116</v>
      </c>
      <c r="M1361" s="1">
        <v>1.20491003617644E-2</v>
      </c>
      <c r="N1361">
        <v>1812.98547363281</v>
      </c>
      <c r="O1361">
        <v>907.5</v>
      </c>
      <c r="P1361">
        <v>1812.97338867188</v>
      </c>
      <c r="Q1361">
        <v>907.49395751953102</v>
      </c>
      <c r="R1361">
        <v>2</v>
      </c>
      <c r="S1361">
        <v>1</v>
      </c>
      <c r="T1361">
        <v>12</v>
      </c>
      <c r="U1361">
        <v>50.356250000000003</v>
      </c>
      <c r="V1361">
        <v>78252.39</v>
      </c>
    </row>
    <row r="1362" spans="1:22" x14ac:dyDescent="0.25">
      <c r="A1362" t="s">
        <v>1519</v>
      </c>
      <c r="B1362" t="s">
        <v>1520</v>
      </c>
      <c r="C1362">
        <v>151</v>
      </c>
      <c r="D1362">
        <v>99</v>
      </c>
      <c r="E1362">
        <v>99</v>
      </c>
      <c r="F1362" t="s">
        <v>1521</v>
      </c>
      <c r="G1362" t="s">
        <v>1521</v>
      </c>
      <c r="H1362">
        <f t="shared" si="24"/>
        <v>17</v>
      </c>
      <c r="L1362" t="s">
        <v>1523</v>
      </c>
      <c r="M1362" s="1">
        <v>1.7450599698349801E-3</v>
      </c>
      <c r="N1362">
        <v>1969.07629394531</v>
      </c>
      <c r="O1362">
        <v>657.36599999999896</v>
      </c>
      <c r="P1362">
        <v>1969.07446289063</v>
      </c>
      <c r="Q1362">
        <v>657.36541748046795</v>
      </c>
      <c r="R1362">
        <v>3</v>
      </c>
      <c r="S1362">
        <v>2</v>
      </c>
      <c r="T1362">
        <v>14</v>
      </c>
      <c r="U1362">
        <v>44.015279999999898</v>
      </c>
      <c r="V1362">
        <v>490642.1</v>
      </c>
    </row>
    <row r="1363" spans="1:22" x14ac:dyDescent="0.25">
      <c r="A1363" t="s">
        <v>1519</v>
      </c>
      <c r="B1363" t="s">
        <v>1520</v>
      </c>
      <c r="C1363">
        <v>384</v>
      </c>
      <c r="D1363">
        <v>98.4</v>
      </c>
      <c r="E1363">
        <v>98.4</v>
      </c>
      <c r="F1363" t="s">
        <v>1524</v>
      </c>
      <c r="G1363" t="s">
        <v>1524</v>
      </c>
      <c r="H1363">
        <f t="shared" si="24"/>
        <v>9</v>
      </c>
      <c r="L1363" t="s">
        <v>295</v>
      </c>
      <c r="M1363" s="1">
        <v>-3.1678699888289001E-3</v>
      </c>
      <c r="N1363">
        <v>1473.72143554688</v>
      </c>
      <c r="O1363">
        <v>737.86800000000005</v>
      </c>
      <c r="P1363">
        <v>1473.724609375</v>
      </c>
      <c r="Q1363">
        <v>737.86956787109295</v>
      </c>
      <c r="R1363">
        <v>2</v>
      </c>
      <c r="S1363">
        <v>1</v>
      </c>
      <c r="T1363">
        <v>10</v>
      </c>
      <c r="U1363">
        <v>21.015650000000001</v>
      </c>
      <c r="V1363">
        <v>116322.1</v>
      </c>
    </row>
    <row r="1364" spans="1:22" x14ac:dyDescent="0.25">
      <c r="A1364" t="s">
        <v>1519</v>
      </c>
      <c r="B1364" t="s">
        <v>1520</v>
      </c>
      <c r="C1364">
        <v>153</v>
      </c>
      <c r="D1364">
        <v>99</v>
      </c>
      <c r="E1364">
        <v>99</v>
      </c>
      <c r="F1364" t="s">
        <v>1525</v>
      </c>
      <c r="G1364" t="s">
        <v>1525</v>
      </c>
      <c r="H1364">
        <f t="shared" si="24"/>
        <v>15</v>
      </c>
      <c r="L1364" t="s">
        <v>87</v>
      </c>
      <c r="M1364" s="1">
        <v>6.2955501489341302E-3</v>
      </c>
      <c r="N1364">
        <v>1900.98522949219</v>
      </c>
      <c r="O1364">
        <v>634.66899999999896</v>
      </c>
      <c r="P1364">
        <v>1900.97888183594</v>
      </c>
      <c r="Q1364">
        <v>634.66693115234295</v>
      </c>
      <c r="R1364">
        <v>3</v>
      </c>
      <c r="S1364">
        <v>2</v>
      </c>
      <c r="T1364">
        <v>14</v>
      </c>
      <c r="U1364">
        <v>36.064549999999898</v>
      </c>
      <c r="V1364">
        <v>623065.19999999902</v>
      </c>
    </row>
    <row r="1365" spans="1:22" x14ac:dyDescent="0.25">
      <c r="A1365" t="s">
        <v>1519</v>
      </c>
      <c r="B1365" t="s">
        <v>1520</v>
      </c>
      <c r="C1365">
        <v>153</v>
      </c>
      <c r="D1365">
        <v>99</v>
      </c>
      <c r="E1365">
        <v>99</v>
      </c>
      <c r="F1365" t="s">
        <v>1525</v>
      </c>
      <c r="G1365" t="s">
        <v>1525</v>
      </c>
      <c r="H1365">
        <f t="shared" si="24"/>
        <v>15</v>
      </c>
      <c r="L1365" t="s">
        <v>47</v>
      </c>
      <c r="M1365" s="1">
        <v>3.9151799865066901E-3</v>
      </c>
      <c r="N1365">
        <v>1900.98278808594</v>
      </c>
      <c r="O1365">
        <v>634.66819999999905</v>
      </c>
      <c r="P1365">
        <v>1900.97888183594</v>
      </c>
      <c r="Q1365">
        <v>634.66693115234295</v>
      </c>
      <c r="R1365">
        <v>3</v>
      </c>
      <c r="S1365">
        <v>2</v>
      </c>
      <c r="T1365">
        <v>17</v>
      </c>
      <c r="U1365">
        <v>36.046970000000002</v>
      </c>
      <c r="V1365">
        <v>950472.3</v>
      </c>
    </row>
    <row r="1366" spans="1:22" x14ac:dyDescent="0.25">
      <c r="A1366" t="s">
        <v>4079</v>
      </c>
      <c r="B1366" t="s">
        <v>4080</v>
      </c>
      <c r="C1366">
        <v>427</v>
      </c>
      <c r="D1366">
        <v>99</v>
      </c>
      <c r="E1366">
        <v>99</v>
      </c>
      <c r="F1366" t="s">
        <v>4081</v>
      </c>
      <c r="G1366" t="s">
        <v>4081</v>
      </c>
      <c r="H1366">
        <f t="shared" si="24"/>
        <v>16</v>
      </c>
      <c r="L1366" t="s">
        <v>1104</v>
      </c>
      <c r="M1366" s="1">
        <v>3.2195299863815199E-3</v>
      </c>
      <c r="N1366">
        <v>1151.60412597656</v>
      </c>
      <c r="O1366">
        <v>576.80930000000001</v>
      </c>
      <c r="P1366">
        <v>1151.60083007813</v>
      </c>
      <c r="Q1366">
        <v>576.80773925781205</v>
      </c>
      <c r="R1366">
        <v>2</v>
      </c>
      <c r="S1366">
        <v>9</v>
      </c>
      <c r="T1366">
        <v>12</v>
      </c>
      <c r="U1366">
        <v>44.8670499999999</v>
      </c>
      <c r="V1366">
        <v>6426018</v>
      </c>
    </row>
    <row r="1367" spans="1:22" x14ac:dyDescent="0.25">
      <c r="A1367" t="s">
        <v>3945</v>
      </c>
      <c r="B1367" t="s">
        <v>3946</v>
      </c>
      <c r="C1367">
        <v>85</v>
      </c>
      <c r="D1367">
        <v>99</v>
      </c>
      <c r="E1367">
        <v>99</v>
      </c>
      <c r="F1367" t="s">
        <v>3947</v>
      </c>
      <c r="G1367" t="s">
        <v>3947</v>
      </c>
      <c r="H1367">
        <f t="shared" si="24"/>
        <v>15</v>
      </c>
      <c r="M1367">
        <v>-3.0000000000000001E-6</v>
      </c>
      <c r="N1367">
        <v>1210.64721679688</v>
      </c>
      <c r="O1367">
        <v>606.33090000000004</v>
      </c>
      <c r="P1367">
        <v>1210.64721679688</v>
      </c>
      <c r="Q1367">
        <v>606.33087158203102</v>
      </c>
      <c r="R1367">
        <v>2</v>
      </c>
      <c r="S1367">
        <v>6</v>
      </c>
      <c r="T1367">
        <v>11</v>
      </c>
      <c r="U1367">
        <v>26.095669999999899</v>
      </c>
      <c r="V1367">
        <v>1544765</v>
      </c>
    </row>
    <row r="1368" spans="1:22" x14ac:dyDescent="0.25">
      <c r="A1368" t="s">
        <v>4198</v>
      </c>
      <c r="B1368" t="s">
        <v>4199</v>
      </c>
      <c r="C1368">
        <v>619</v>
      </c>
      <c r="D1368">
        <v>99</v>
      </c>
      <c r="E1368">
        <v>99</v>
      </c>
      <c r="F1368" t="s">
        <v>4200</v>
      </c>
      <c r="G1368" t="s">
        <v>4200</v>
      </c>
      <c r="H1368">
        <f t="shared" si="24"/>
        <v>9</v>
      </c>
      <c r="M1368" s="1">
        <v>1.6450500115752201E-3</v>
      </c>
      <c r="N1368">
        <v>1190.6689453125</v>
      </c>
      <c r="O1368">
        <v>397.89690000000002</v>
      </c>
      <c r="P1368">
        <v>1190.66723632813</v>
      </c>
      <c r="Q1368">
        <v>397.89636230468801</v>
      </c>
      <c r="R1368">
        <v>3</v>
      </c>
      <c r="S1368">
        <v>1</v>
      </c>
      <c r="T1368">
        <v>11</v>
      </c>
      <c r="U1368">
        <v>23.46763</v>
      </c>
      <c r="V1368">
        <v>4823637</v>
      </c>
    </row>
    <row r="1369" spans="1:22" x14ac:dyDescent="0.25">
      <c r="A1369" t="s">
        <v>965</v>
      </c>
      <c r="B1369" t="s">
        <v>966</v>
      </c>
      <c r="C1369">
        <v>167</v>
      </c>
      <c r="D1369">
        <v>99</v>
      </c>
      <c r="E1369">
        <v>99</v>
      </c>
      <c r="F1369" t="s">
        <v>967</v>
      </c>
      <c r="G1369" t="s">
        <v>967</v>
      </c>
      <c r="H1369">
        <f t="shared" si="24"/>
        <v>13</v>
      </c>
      <c r="M1369" s="1">
        <v>1.73259002622217E-3</v>
      </c>
      <c r="N1369">
        <v>1071.56652832031</v>
      </c>
      <c r="O1369">
        <v>536.79049999999904</v>
      </c>
      <c r="P1369">
        <v>1071.56481933594</v>
      </c>
      <c r="Q1369">
        <v>536.78967285156205</v>
      </c>
      <c r="R1369">
        <v>2</v>
      </c>
      <c r="S1369">
        <v>1</v>
      </c>
      <c r="T1369">
        <v>11</v>
      </c>
      <c r="U1369">
        <v>23.983750000000001</v>
      </c>
      <c r="V1369">
        <v>3298776</v>
      </c>
    </row>
    <row r="1370" spans="1:22" x14ac:dyDescent="0.25">
      <c r="A1370" t="s">
        <v>965</v>
      </c>
      <c r="B1370" t="s">
        <v>966</v>
      </c>
      <c r="C1370">
        <v>167</v>
      </c>
      <c r="D1370">
        <v>98.7</v>
      </c>
      <c r="E1370">
        <v>98.73</v>
      </c>
      <c r="F1370" t="s">
        <v>968</v>
      </c>
      <c r="G1370" t="s">
        <v>968</v>
      </c>
      <c r="H1370">
        <f t="shared" si="24"/>
        <v>15</v>
      </c>
      <c r="M1370" s="1">
        <v>-2.0710099488496802E-3</v>
      </c>
      <c r="N1370">
        <v>1055.5703125</v>
      </c>
      <c r="O1370">
        <v>528.79240000000004</v>
      </c>
      <c r="P1370">
        <v>1055.57238769531</v>
      </c>
      <c r="Q1370">
        <v>528.79345703125</v>
      </c>
      <c r="R1370">
        <v>2</v>
      </c>
      <c r="S1370">
        <v>2</v>
      </c>
      <c r="T1370">
        <v>12</v>
      </c>
      <c r="U1370">
        <v>19.924499999999899</v>
      </c>
      <c r="V1370">
        <v>1979404</v>
      </c>
    </row>
    <row r="1371" spans="1:22" x14ac:dyDescent="0.25">
      <c r="A1371" t="s">
        <v>965</v>
      </c>
      <c r="B1371" t="s">
        <v>966</v>
      </c>
      <c r="C1371">
        <v>167</v>
      </c>
      <c r="D1371">
        <v>99</v>
      </c>
      <c r="E1371">
        <v>99</v>
      </c>
      <c r="F1371" t="s">
        <v>969</v>
      </c>
      <c r="G1371" t="s">
        <v>969</v>
      </c>
      <c r="H1371">
        <f t="shared" si="24"/>
        <v>16</v>
      </c>
      <c r="M1371" s="1">
        <v>1.16927002090961E-3</v>
      </c>
      <c r="N1371">
        <v>1209.65649414063</v>
      </c>
      <c r="O1371">
        <v>404.22609999999901</v>
      </c>
      <c r="P1371">
        <v>1209.6552734375</v>
      </c>
      <c r="Q1371">
        <v>404.22570800781301</v>
      </c>
      <c r="R1371">
        <v>3</v>
      </c>
      <c r="S1371">
        <v>1</v>
      </c>
      <c r="T1371">
        <v>11</v>
      </c>
      <c r="U1371">
        <v>31.258019999999899</v>
      </c>
      <c r="V1371">
        <v>528431.80000000005</v>
      </c>
    </row>
    <row r="1372" spans="1:22" x14ac:dyDescent="0.25">
      <c r="A1372" t="s">
        <v>965</v>
      </c>
      <c r="B1372" t="s">
        <v>966</v>
      </c>
      <c r="C1372">
        <v>170</v>
      </c>
      <c r="D1372">
        <v>99</v>
      </c>
      <c r="E1372">
        <v>99</v>
      </c>
      <c r="F1372" t="s">
        <v>970</v>
      </c>
      <c r="G1372" t="s">
        <v>970</v>
      </c>
      <c r="H1372">
        <f t="shared" si="24"/>
        <v>13</v>
      </c>
      <c r="M1372" s="1">
        <v>2.46652006171643E-3</v>
      </c>
      <c r="N1372">
        <v>1054.55847167969</v>
      </c>
      <c r="O1372">
        <v>528.28650000000005</v>
      </c>
      <c r="P1372">
        <v>1054.55603027344</v>
      </c>
      <c r="Q1372">
        <v>528.28527832031205</v>
      </c>
      <c r="R1372">
        <v>2</v>
      </c>
      <c r="S1372">
        <v>3</v>
      </c>
      <c r="T1372">
        <v>10</v>
      </c>
      <c r="U1372">
        <v>28.8436799999999</v>
      </c>
      <c r="V1372">
        <v>2130814</v>
      </c>
    </row>
    <row r="1373" spans="1:22" x14ac:dyDescent="0.25">
      <c r="A1373" t="s">
        <v>965</v>
      </c>
      <c r="B1373" t="s">
        <v>966</v>
      </c>
      <c r="C1373">
        <v>180</v>
      </c>
      <c r="D1373">
        <v>98.8</v>
      </c>
      <c r="E1373">
        <v>98.79</v>
      </c>
      <c r="F1373" t="s">
        <v>971</v>
      </c>
      <c r="G1373" t="s">
        <v>971</v>
      </c>
      <c r="H1373">
        <f t="shared" si="24"/>
        <v>9</v>
      </c>
      <c r="M1373" s="1">
        <v>-6.5536802867427501E-4</v>
      </c>
      <c r="N1373">
        <v>1130.64147949219</v>
      </c>
      <c r="O1373">
        <v>566.32799999999895</v>
      </c>
      <c r="P1373">
        <v>1130.64208984375</v>
      </c>
      <c r="Q1373">
        <v>566.32830810546795</v>
      </c>
      <c r="R1373">
        <v>2</v>
      </c>
      <c r="S1373">
        <v>1</v>
      </c>
      <c r="T1373">
        <v>11</v>
      </c>
      <c r="U1373">
        <v>17.981670000000001</v>
      </c>
      <c r="V1373">
        <v>217182.8</v>
      </c>
    </row>
    <row r="1374" spans="1:22" x14ac:dyDescent="0.25">
      <c r="A1374" t="s">
        <v>965</v>
      </c>
      <c r="B1374" t="s">
        <v>966</v>
      </c>
      <c r="C1374">
        <v>167</v>
      </c>
      <c r="D1374">
        <v>98.1</v>
      </c>
      <c r="E1374">
        <v>98.1</v>
      </c>
      <c r="F1374" t="s">
        <v>972</v>
      </c>
      <c r="G1374" t="s">
        <v>972</v>
      </c>
      <c r="H1374">
        <f t="shared" si="24"/>
        <v>22</v>
      </c>
      <c r="M1374" s="1">
        <v>1.4985100133344501E-3</v>
      </c>
      <c r="N1374">
        <v>1042.52111816406</v>
      </c>
      <c r="O1374">
        <v>522.26779999999906</v>
      </c>
      <c r="P1374">
        <v>1042.51965332031</v>
      </c>
      <c r="Q1374">
        <v>522.26708984375</v>
      </c>
      <c r="R1374">
        <v>2</v>
      </c>
      <c r="S1374">
        <v>1</v>
      </c>
      <c r="T1374">
        <v>11</v>
      </c>
      <c r="U1374">
        <v>28.840820000000001</v>
      </c>
      <c r="V1374">
        <v>1773041</v>
      </c>
    </row>
    <row r="1375" spans="1:22" x14ac:dyDescent="0.25">
      <c r="A1375" t="s">
        <v>2036</v>
      </c>
      <c r="B1375" t="s">
        <v>2037</v>
      </c>
      <c r="C1375">
        <v>168</v>
      </c>
      <c r="D1375">
        <v>99</v>
      </c>
      <c r="E1375">
        <v>99</v>
      </c>
      <c r="F1375" t="s">
        <v>2038</v>
      </c>
      <c r="G1375" t="s">
        <v>2038</v>
      </c>
      <c r="H1375">
        <f t="shared" si="24"/>
        <v>9</v>
      </c>
      <c r="M1375">
        <v>9.1000000000000003E-5</v>
      </c>
      <c r="N1375">
        <v>1182.73498535156</v>
      </c>
      <c r="O1375">
        <v>395.25229999999902</v>
      </c>
      <c r="P1375">
        <v>1182.73498535156</v>
      </c>
      <c r="Q1375">
        <v>395.25225830078102</v>
      </c>
      <c r="R1375">
        <v>3</v>
      </c>
      <c r="S1375">
        <v>2</v>
      </c>
      <c r="T1375">
        <v>12</v>
      </c>
      <c r="U1375">
        <v>23.34478</v>
      </c>
      <c r="V1375">
        <v>1917614</v>
      </c>
    </row>
    <row r="1376" spans="1:22" x14ac:dyDescent="0.25">
      <c r="A1376" t="s">
        <v>41</v>
      </c>
      <c r="B1376" t="s">
        <v>42</v>
      </c>
      <c r="C1376">
        <v>81</v>
      </c>
      <c r="D1376">
        <v>98.9</v>
      </c>
      <c r="E1376">
        <v>98.87</v>
      </c>
      <c r="F1376" t="s">
        <v>3227</v>
      </c>
      <c r="G1376" t="s">
        <v>3227</v>
      </c>
      <c r="H1376">
        <f t="shared" si="24"/>
        <v>9</v>
      </c>
      <c r="M1376" s="1">
        <v>-4.5418501831591103E-3</v>
      </c>
      <c r="N1376">
        <v>1332.59143066406</v>
      </c>
      <c r="O1376">
        <v>667.303</v>
      </c>
      <c r="P1376">
        <v>1332.59594726563</v>
      </c>
      <c r="Q1376">
        <v>667.30523681640602</v>
      </c>
      <c r="R1376">
        <v>2</v>
      </c>
      <c r="S1376">
        <v>1</v>
      </c>
      <c r="T1376">
        <v>13</v>
      </c>
      <c r="U1376">
        <v>19.912669999999899</v>
      </c>
      <c r="V1376">
        <v>246067.5</v>
      </c>
    </row>
    <row r="1377" spans="1:22" x14ac:dyDescent="0.25">
      <c r="A1377" t="s">
        <v>918</v>
      </c>
      <c r="B1377" t="s">
        <v>919</v>
      </c>
      <c r="C1377">
        <v>9</v>
      </c>
      <c r="D1377">
        <v>99</v>
      </c>
      <c r="E1377">
        <v>99</v>
      </c>
      <c r="F1377" t="s">
        <v>920</v>
      </c>
      <c r="G1377" t="s">
        <v>920</v>
      </c>
      <c r="H1377">
        <f t="shared" si="24"/>
        <v>16</v>
      </c>
      <c r="M1377" s="1">
        <v>-4.1804001666605403E-3</v>
      </c>
      <c r="N1377">
        <v>966.47424316406205</v>
      </c>
      <c r="O1377">
        <v>484.24439999999902</v>
      </c>
      <c r="P1377">
        <v>966.47839355468705</v>
      </c>
      <c r="Q1377">
        <v>484.24645996093801</v>
      </c>
      <c r="R1377">
        <v>2</v>
      </c>
      <c r="S1377">
        <v>2</v>
      </c>
      <c r="T1377">
        <v>7</v>
      </c>
      <c r="U1377">
        <v>18.17942</v>
      </c>
      <c r="V1377">
        <v>117470.9</v>
      </c>
    </row>
    <row r="1378" spans="1:22" x14ac:dyDescent="0.25">
      <c r="A1378" t="s">
        <v>4251</v>
      </c>
      <c r="B1378" t="s">
        <v>4252</v>
      </c>
      <c r="C1378">
        <v>103</v>
      </c>
      <c r="D1378">
        <v>99</v>
      </c>
      <c r="E1378">
        <v>98.98</v>
      </c>
      <c r="F1378" t="s">
        <v>4253</v>
      </c>
      <c r="G1378" t="s">
        <v>4253</v>
      </c>
      <c r="H1378">
        <f t="shared" si="24"/>
        <v>9</v>
      </c>
      <c r="M1378" s="1">
        <v>1.44308002199978E-3</v>
      </c>
      <c r="N1378">
        <v>988.510498046875</v>
      </c>
      <c r="O1378">
        <v>495.26249999999902</v>
      </c>
      <c r="P1378">
        <v>988.509033203125</v>
      </c>
      <c r="Q1378">
        <v>495.26177978515602</v>
      </c>
      <c r="R1378">
        <v>2</v>
      </c>
      <c r="S1378">
        <v>1</v>
      </c>
      <c r="T1378">
        <v>11</v>
      </c>
      <c r="U1378">
        <v>24.85765</v>
      </c>
      <c r="V1378">
        <v>2121663</v>
      </c>
    </row>
    <row r="1379" spans="1:22" x14ac:dyDescent="0.25">
      <c r="A1379" t="s">
        <v>789</v>
      </c>
      <c r="B1379" t="s">
        <v>790</v>
      </c>
      <c r="C1379">
        <v>53</v>
      </c>
      <c r="D1379">
        <v>99</v>
      </c>
      <c r="E1379">
        <v>99</v>
      </c>
      <c r="F1379" t="s">
        <v>791</v>
      </c>
      <c r="G1379" t="s">
        <v>791</v>
      </c>
      <c r="H1379">
        <f t="shared" si="24"/>
        <v>16</v>
      </c>
      <c r="M1379" s="1">
        <v>3.0583399347960901E-3</v>
      </c>
      <c r="N1379">
        <v>1654.90869140625</v>
      </c>
      <c r="O1379">
        <v>552.64350000000002</v>
      </c>
      <c r="P1379">
        <v>1654.90563964844</v>
      </c>
      <c r="Q1379">
        <v>552.64245605468705</v>
      </c>
      <c r="R1379">
        <v>3</v>
      </c>
      <c r="S1379">
        <v>1</v>
      </c>
      <c r="T1379">
        <v>11</v>
      </c>
      <c r="U1379">
        <v>23.859500000000001</v>
      </c>
      <c r="V1379">
        <v>180784.1</v>
      </c>
    </row>
    <row r="1380" spans="1:22" x14ac:dyDescent="0.25">
      <c r="A1380" t="s">
        <v>789</v>
      </c>
      <c r="B1380" t="s">
        <v>790</v>
      </c>
      <c r="C1380">
        <v>54</v>
      </c>
      <c r="D1380">
        <v>99</v>
      </c>
      <c r="E1380">
        <v>99</v>
      </c>
      <c r="F1380" t="s">
        <v>792</v>
      </c>
      <c r="G1380" t="s">
        <v>792</v>
      </c>
      <c r="H1380">
        <f t="shared" si="24"/>
        <v>15</v>
      </c>
      <c r="M1380">
        <v>6.3E-5</v>
      </c>
      <c r="N1380">
        <v>1843.98059082031</v>
      </c>
      <c r="O1380">
        <v>615.66750000000002</v>
      </c>
      <c r="P1380">
        <v>1843.98059082031</v>
      </c>
      <c r="Q1380">
        <v>615.66748046875</v>
      </c>
      <c r="R1380">
        <v>3</v>
      </c>
      <c r="S1380">
        <v>1</v>
      </c>
      <c r="T1380">
        <v>13</v>
      </c>
      <c r="U1380">
        <v>30.413270000000001</v>
      </c>
      <c r="V1380">
        <v>266768.09999999899</v>
      </c>
    </row>
    <row r="1381" spans="1:22" x14ac:dyDescent="0.25">
      <c r="A1381" t="s">
        <v>2179</v>
      </c>
      <c r="B1381" t="s">
        <v>2180</v>
      </c>
      <c r="C1381">
        <v>271</v>
      </c>
      <c r="D1381">
        <v>99</v>
      </c>
      <c r="E1381">
        <v>99</v>
      </c>
      <c r="F1381" t="s">
        <v>2181</v>
      </c>
      <c r="G1381" t="s">
        <v>2181</v>
      </c>
      <c r="H1381">
        <f t="shared" si="24"/>
        <v>13</v>
      </c>
      <c r="M1381">
        <v>2.0430000000000001E-3</v>
      </c>
      <c r="N1381">
        <v>1141.6376953125</v>
      </c>
      <c r="O1381">
        <v>571.8261</v>
      </c>
      <c r="P1381">
        <v>1141.63562011719</v>
      </c>
      <c r="Q1381">
        <v>571.82507324218705</v>
      </c>
      <c r="R1381">
        <v>2</v>
      </c>
      <c r="S1381">
        <v>1</v>
      </c>
      <c r="T1381">
        <v>12</v>
      </c>
      <c r="U1381">
        <v>26.92897</v>
      </c>
      <c r="V1381">
        <v>11523660</v>
      </c>
    </row>
    <row r="1382" spans="1:22" x14ac:dyDescent="0.25">
      <c r="A1382" t="s">
        <v>2084</v>
      </c>
      <c r="B1382" t="s">
        <v>2085</v>
      </c>
      <c r="C1382">
        <v>262</v>
      </c>
      <c r="D1382">
        <v>98.6</v>
      </c>
      <c r="E1382">
        <v>98.58</v>
      </c>
      <c r="F1382" t="s">
        <v>240</v>
      </c>
      <c r="G1382" t="s">
        <v>240</v>
      </c>
      <c r="H1382">
        <f t="shared" si="24"/>
        <v>9</v>
      </c>
      <c r="M1382" s="1">
        <v>-1.2006099568679901E-3</v>
      </c>
      <c r="N1382">
        <v>1099.68542480469</v>
      </c>
      <c r="O1382">
        <v>550.85</v>
      </c>
      <c r="P1382">
        <v>1099.68664550781</v>
      </c>
      <c r="Q1382">
        <v>550.8505859375</v>
      </c>
      <c r="R1382">
        <v>2</v>
      </c>
      <c r="S1382">
        <v>1</v>
      </c>
      <c r="T1382">
        <v>10</v>
      </c>
      <c r="U1382">
        <v>18.105550000000001</v>
      </c>
      <c r="V1382">
        <v>373742.4</v>
      </c>
    </row>
    <row r="1383" spans="1:22" x14ac:dyDescent="0.25">
      <c r="A1383" t="s">
        <v>456</v>
      </c>
      <c r="B1383" t="s">
        <v>457</v>
      </c>
      <c r="C1383">
        <v>343</v>
      </c>
      <c r="D1383">
        <v>99</v>
      </c>
      <c r="E1383">
        <v>99</v>
      </c>
      <c r="F1383" t="s">
        <v>458</v>
      </c>
      <c r="G1383" t="s">
        <v>458</v>
      </c>
      <c r="H1383">
        <f t="shared" si="24"/>
        <v>9</v>
      </c>
      <c r="M1383" s="1">
        <v>-8.7795704603195208E-3</v>
      </c>
      <c r="N1383">
        <v>1173.60546875</v>
      </c>
      <c r="O1383">
        <v>587.80999999999904</v>
      </c>
      <c r="P1383">
        <v>1173.6142578125</v>
      </c>
      <c r="Q1383">
        <v>587.81439208984295</v>
      </c>
      <c r="R1383">
        <v>2</v>
      </c>
      <c r="S1383">
        <v>2</v>
      </c>
      <c r="T1383">
        <v>11</v>
      </c>
      <c r="U1383">
        <v>24.285450000000001</v>
      </c>
      <c r="V1383">
        <v>2397390</v>
      </c>
    </row>
    <row r="1384" spans="1:22" x14ac:dyDescent="0.25">
      <c r="A1384" t="s">
        <v>456</v>
      </c>
      <c r="B1384" t="s">
        <v>457</v>
      </c>
      <c r="C1384">
        <v>204</v>
      </c>
      <c r="D1384">
        <v>99</v>
      </c>
      <c r="E1384">
        <v>98.95</v>
      </c>
      <c r="F1384" t="s">
        <v>4096</v>
      </c>
      <c r="G1384" t="s">
        <v>4096</v>
      </c>
      <c r="H1384">
        <f t="shared" si="24"/>
        <v>9</v>
      </c>
      <c r="M1384" s="1">
        <v>7.0966300554573501E-3</v>
      </c>
      <c r="N1384">
        <v>1114.59948730469</v>
      </c>
      <c r="O1384">
        <v>558.30700000000002</v>
      </c>
      <c r="P1384">
        <v>1114.59240722656</v>
      </c>
      <c r="Q1384">
        <v>558.303466796875</v>
      </c>
      <c r="R1384">
        <v>2</v>
      </c>
      <c r="S1384">
        <v>1</v>
      </c>
      <c r="T1384">
        <v>12</v>
      </c>
      <c r="U1384">
        <v>39.843069999999898</v>
      </c>
      <c r="V1384">
        <v>1315847</v>
      </c>
    </row>
    <row r="1385" spans="1:22" x14ac:dyDescent="0.25">
      <c r="A1385" t="s">
        <v>1627</v>
      </c>
      <c r="B1385" t="s">
        <v>1628</v>
      </c>
      <c r="C1385">
        <v>585</v>
      </c>
      <c r="D1385">
        <v>99</v>
      </c>
      <c r="E1385">
        <v>99</v>
      </c>
      <c r="F1385" t="s">
        <v>1629</v>
      </c>
      <c r="G1385" t="s">
        <v>1629</v>
      </c>
      <c r="H1385">
        <f t="shared" si="24"/>
        <v>12</v>
      </c>
      <c r="M1385">
        <v>-2.0569999999999998E-3</v>
      </c>
      <c r="N1385">
        <v>1206.68127441406</v>
      </c>
      <c r="O1385">
        <v>604.34789999999896</v>
      </c>
      <c r="P1385">
        <v>1206.68334960938</v>
      </c>
      <c r="Q1385">
        <v>604.34893798828102</v>
      </c>
      <c r="R1385">
        <v>2</v>
      </c>
      <c r="S1385">
        <v>1</v>
      </c>
      <c r="T1385">
        <v>8</v>
      </c>
      <c r="U1385">
        <v>18.25187</v>
      </c>
      <c r="V1385">
        <v>43651.17</v>
      </c>
    </row>
    <row r="1386" spans="1:22" x14ac:dyDescent="0.25">
      <c r="A1386" t="s">
        <v>1627</v>
      </c>
      <c r="B1386" t="s">
        <v>1628</v>
      </c>
      <c r="C1386">
        <v>585</v>
      </c>
      <c r="D1386">
        <v>98.5</v>
      </c>
      <c r="E1386">
        <v>98.48</v>
      </c>
      <c r="F1386" t="s">
        <v>1630</v>
      </c>
      <c r="G1386" t="s">
        <v>1630</v>
      </c>
      <c r="H1386">
        <f t="shared" si="24"/>
        <v>14</v>
      </c>
      <c r="L1386" t="s">
        <v>397</v>
      </c>
      <c r="M1386">
        <v>9.7160000000000007E-3</v>
      </c>
      <c r="N1386">
        <v>1732.91333007813</v>
      </c>
      <c r="O1386">
        <v>867.46389999999894</v>
      </c>
      <c r="P1386">
        <v>1732.90356445313</v>
      </c>
      <c r="Q1386">
        <v>867.45904541015602</v>
      </c>
      <c r="R1386">
        <v>2</v>
      </c>
      <c r="S1386">
        <v>1</v>
      </c>
      <c r="T1386">
        <v>10</v>
      </c>
      <c r="U1386">
        <v>48.109520000000003</v>
      </c>
      <c r="V1386">
        <v>110383.1</v>
      </c>
    </row>
    <row r="1387" spans="1:22" x14ac:dyDescent="0.25">
      <c r="A1387" t="s">
        <v>4591</v>
      </c>
      <c r="B1387" t="s">
        <v>4592</v>
      </c>
      <c r="C1387">
        <v>143</v>
      </c>
      <c r="D1387">
        <v>99</v>
      </c>
      <c r="E1387">
        <v>99</v>
      </c>
      <c r="F1387" t="s">
        <v>4593</v>
      </c>
      <c r="G1387" t="s">
        <v>4593</v>
      </c>
      <c r="H1387">
        <f t="shared" si="24"/>
        <v>9</v>
      </c>
      <c r="M1387" s="1">
        <v>6.9311601109802602E-3</v>
      </c>
      <c r="N1387">
        <v>1433.76574707031</v>
      </c>
      <c r="O1387">
        <v>478.92919999999901</v>
      </c>
      <c r="P1387">
        <v>1433.7587890625</v>
      </c>
      <c r="Q1387">
        <v>478.92687988281301</v>
      </c>
      <c r="R1387">
        <v>3</v>
      </c>
      <c r="S1387">
        <v>1</v>
      </c>
      <c r="T1387">
        <v>11</v>
      </c>
      <c r="U1387">
        <v>32.090220000000002</v>
      </c>
      <c r="V1387">
        <v>110779.6</v>
      </c>
    </row>
    <row r="1388" spans="1:22" x14ac:dyDescent="0.25">
      <c r="A1388" t="s">
        <v>1808</v>
      </c>
      <c r="B1388" t="s">
        <v>1809</v>
      </c>
      <c r="C1388">
        <v>235</v>
      </c>
      <c r="D1388">
        <v>98.9</v>
      </c>
      <c r="E1388">
        <v>98.86</v>
      </c>
      <c r="F1388" t="s">
        <v>1810</v>
      </c>
      <c r="G1388" t="s">
        <v>1810</v>
      </c>
      <c r="H1388">
        <f t="shared" si="24"/>
        <v>9</v>
      </c>
      <c r="M1388" s="1">
        <v>7.6014301739633101E-3</v>
      </c>
      <c r="N1388">
        <v>1647.83666992188</v>
      </c>
      <c r="O1388">
        <v>824.92560000000003</v>
      </c>
      <c r="P1388">
        <v>1647.8291015625</v>
      </c>
      <c r="Q1388">
        <v>824.92181396484295</v>
      </c>
      <c r="R1388">
        <v>2</v>
      </c>
      <c r="S1388">
        <v>1</v>
      </c>
      <c r="T1388">
        <v>8</v>
      </c>
      <c r="U1388">
        <v>33.28105</v>
      </c>
      <c r="V1388">
        <v>101159.8</v>
      </c>
    </row>
    <row r="1389" spans="1:22" x14ac:dyDescent="0.25">
      <c r="A1389" t="s">
        <v>1808</v>
      </c>
      <c r="B1389" t="s">
        <v>1809</v>
      </c>
      <c r="C1389">
        <v>235</v>
      </c>
      <c r="D1389">
        <v>99</v>
      </c>
      <c r="E1389">
        <v>99</v>
      </c>
      <c r="F1389" t="s">
        <v>1810</v>
      </c>
      <c r="G1389" t="s">
        <v>1810</v>
      </c>
      <c r="H1389">
        <f t="shared" si="24"/>
        <v>9</v>
      </c>
      <c r="L1389" t="s">
        <v>116</v>
      </c>
      <c r="M1389" s="1">
        <v>7.58606987074017E-3</v>
      </c>
      <c r="N1389">
        <v>1451.64672851563</v>
      </c>
      <c r="O1389">
        <v>726.8306</v>
      </c>
      <c r="P1389">
        <v>1451.63916015625</v>
      </c>
      <c r="Q1389">
        <v>726.82684326171795</v>
      </c>
      <c r="R1389">
        <v>2</v>
      </c>
      <c r="S1389">
        <v>1</v>
      </c>
      <c r="T1389">
        <v>7</v>
      </c>
      <c r="U1389">
        <v>55.390279999999898</v>
      </c>
      <c r="V1389">
        <v>60614.79</v>
      </c>
    </row>
    <row r="1390" spans="1:22" x14ac:dyDescent="0.25">
      <c r="A1390" t="s">
        <v>148</v>
      </c>
      <c r="B1390" t="s">
        <v>149</v>
      </c>
      <c r="C1390">
        <v>258</v>
      </c>
      <c r="D1390">
        <v>96.8</v>
      </c>
      <c r="E1390">
        <v>96.83</v>
      </c>
      <c r="F1390" t="s">
        <v>150</v>
      </c>
      <c r="G1390" t="s">
        <v>150</v>
      </c>
      <c r="H1390">
        <f t="shared" si="24"/>
        <v>9</v>
      </c>
      <c r="M1390" s="1">
        <v>5.302709992975E-3</v>
      </c>
      <c r="N1390">
        <v>983.65447998046795</v>
      </c>
      <c r="O1390">
        <v>492.83449999999903</v>
      </c>
      <c r="P1390">
        <v>983.649169921875</v>
      </c>
      <c r="Q1390">
        <v>492.83184814453102</v>
      </c>
      <c r="R1390">
        <v>2</v>
      </c>
      <c r="S1390">
        <v>1</v>
      </c>
      <c r="T1390">
        <v>12</v>
      </c>
      <c r="U1390">
        <v>28.1661199999999</v>
      </c>
      <c r="V1390">
        <v>354754.3</v>
      </c>
    </row>
    <row r="1391" spans="1:22" x14ac:dyDescent="0.25">
      <c r="A1391" t="s">
        <v>4632</v>
      </c>
      <c r="B1391" t="s">
        <v>4633</v>
      </c>
      <c r="C1391">
        <v>2398</v>
      </c>
      <c r="D1391">
        <v>99</v>
      </c>
      <c r="E1391">
        <v>99</v>
      </c>
      <c r="F1391" t="s">
        <v>147</v>
      </c>
      <c r="G1391" t="s">
        <v>147</v>
      </c>
      <c r="H1391">
        <f t="shared" si="24"/>
        <v>9</v>
      </c>
      <c r="M1391" s="1">
        <v>3.25670000165701E-3</v>
      </c>
      <c r="N1391">
        <v>998.652099609375</v>
      </c>
      <c r="O1391">
        <v>500.33330000000001</v>
      </c>
      <c r="P1391">
        <v>998.64880371093705</v>
      </c>
      <c r="Q1391">
        <v>500.33169555664102</v>
      </c>
      <c r="R1391">
        <v>2</v>
      </c>
      <c r="S1391">
        <v>3</v>
      </c>
      <c r="T1391">
        <v>7</v>
      </c>
      <c r="U1391">
        <v>50.64537</v>
      </c>
      <c r="V1391">
        <v>62165.7</v>
      </c>
    </row>
    <row r="1392" spans="1:22" x14ac:dyDescent="0.25">
      <c r="A1392" t="s">
        <v>117</v>
      </c>
      <c r="B1392" t="s">
        <v>118</v>
      </c>
      <c r="C1392">
        <v>3865</v>
      </c>
      <c r="D1392">
        <v>98.1</v>
      </c>
      <c r="E1392">
        <v>98.1</v>
      </c>
      <c r="F1392" t="s">
        <v>119</v>
      </c>
      <c r="G1392" t="s">
        <v>119</v>
      </c>
      <c r="H1392">
        <f t="shared" si="24"/>
        <v>9</v>
      </c>
      <c r="M1392" s="1">
        <v>4.1698799468576804E-3</v>
      </c>
      <c r="N1392">
        <v>1114.58532714844</v>
      </c>
      <c r="O1392">
        <v>558.29989999999896</v>
      </c>
      <c r="P1392">
        <v>1114.58117675781</v>
      </c>
      <c r="Q1392">
        <v>558.2978515625</v>
      </c>
      <c r="R1392">
        <v>2</v>
      </c>
      <c r="S1392">
        <v>2</v>
      </c>
      <c r="T1392">
        <v>12</v>
      </c>
      <c r="U1392">
        <v>39.279620000000001</v>
      </c>
      <c r="V1392">
        <v>607792.9</v>
      </c>
    </row>
    <row r="1393" spans="1:22" x14ac:dyDescent="0.25">
      <c r="A1393" t="s">
        <v>117</v>
      </c>
      <c r="B1393" t="s">
        <v>118</v>
      </c>
      <c r="C1393">
        <v>61</v>
      </c>
      <c r="D1393">
        <v>99</v>
      </c>
      <c r="E1393">
        <v>99</v>
      </c>
      <c r="F1393" t="s">
        <v>2992</v>
      </c>
      <c r="G1393" t="s">
        <v>2992</v>
      </c>
      <c r="H1393">
        <f t="shared" si="24"/>
        <v>10</v>
      </c>
      <c r="L1393" t="s">
        <v>295</v>
      </c>
      <c r="M1393" s="1">
        <v>6.4290198497474202E-3</v>
      </c>
      <c r="N1393">
        <v>1377.66967773438</v>
      </c>
      <c r="O1393">
        <v>689.84209999999905</v>
      </c>
      <c r="P1393">
        <v>1377.66320800781</v>
      </c>
      <c r="Q1393">
        <v>689.8388671875</v>
      </c>
      <c r="R1393">
        <v>2</v>
      </c>
      <c r="S1393">
        <v>1</v>
      </c>
      <c r="T1393">
        <v>12</v>
      </c>
      <c r="U1393">
        <v>50.445450000000001</v>
      </c>
      <c r="V1393">
        <v>254708.9</v>
      </c>
    </row>
    <row r="1394" spans="1:22" x14ac:dyDescent="0.25">
      <c r="A1394" t="s">
        <v>3118</v>
      </c>
      <c r="B1394" t="s">
        <v>3119</v>
      </c>
      <c r="C1394">
        <v>239</v>
      </c>
      <c r="D1394">
        <v>98.5</v>
      </c>
      <c r="E1394">
        <v>98.45</v>
      </c>
      <c r="F1394" t="s">
        <v>3120</v>
      </c>
      <c r="G1394" t="s">
        <v>3120</v>
      </c>
      <c r="H1394">
        <f t="shared" si="24"/>
        <v>9</v>
      </c>
      <c r="M1394" s="1">
        <v>5.4814699105918303E-3</v>
      </c>
      <c r="N1394">
        <v>1669.88427734375</v>
      </c>
      <c r="O1394">
        <v>835.94939999999895</v>
      </c>
      <c r="P1394">
        <v>1669.87878417969</v>
      </c>
      <c r="Q1394">
        <v>835.94665527343705</v>
      </c>
      <c r="R1394">
        <v>2</v>
      </c>
      <c r="S1394">
        <v>1</v>
      </c>
      <c r="T1394">
        <v>15</v>
      </c>
      <c r="U1394">
        <v>28.334399999999899</v>
      </c>
      <c r="V1394">
        <v>166754.6</v>
      </c>
    </row>
    <row r="1395" spans="1:22" x14ac:dyDescent="0.25">
      <c r="A1395" t="s">
        <v>152</v>
      </c>
      <c r="B1395" t="s">
        <v>153</v>
      </c>
      <c r="C1395">
        <v>406</v>
      </c>
      <c r="D1395">
        <v>98.6</v>
      </c>
      <c r="E1395">
        <v>98.59</v>
      </c>
      <c r="F1395" t="s">
        <v>154</v>
      </c>
      <c r="G1395" t="s">
        <v>154</v>
      </c>
      <c r="H1395">
        <f t="shared" si="24"/>
        <v>9</v>
      </c>
      <c r="M1395" s="1">
        <v>1.2795399874448801E-2</v>
      </c>
      <c r="N1395">
        <v>2358.25732421875</v>
      </c>
      <c r="O1395">
        <v>787.09299999999905</v>
      </c>
      <c r="P1395">
        <v>2358.24438476563</v>
      </c>
      <c r="Q1395">
        <v>787.08874511718705</v>
      </c>
      <c r="R1395">
        <v>3</v>
      </c>
      <c r="S1395">
        <v>1</v>
      </c>
      <c r="T1395">
        <v>10</v>
      </c>
      <c r="U1395">
        <v>40.902749999999898</v>
      </c>
      <c r="V1395">
        <v>103866.5</v>
      </c>
    </row>
    <row r="1396" spans="1:22" x14ac:dyDescent="0.25">
      <c r="A1396" t="s">
        <v>3421</v>
      </c>
      <c r="B1396" t="s">
        <v>3422</v>
      </c>
      <c r="C1396">
        <v>169</v>
      </c>
      <c r="D1396">
        <v>99</v>
      </c>
      <c r="E1396">
        <v>99</v>
      </c>
      <c r="F1396" t="s">
        <v>3423</v>
      </c>
      <c r="G1396" t="s">
        <v>3423</v>
      </c>
      <c r="H1396">
        <f t="shared" si="24"/>
        <v>15</v>
      </c>
      <c r="M1396" s="1">
        <v>4.3232701718807203E-3</v>
      </c>
      <c r="N1396">
        <v>1696.94165039063</v>
      </c>
      <c r="O1396">
        <v>566.65449999999896</v>
      </c>
      <c r="P1396">
        <v>1696.93725585938</v>
      </c>
      <c r="Q1396">
        <v>566.65301513671795</v>
      </c>
      <c r="R1396">
        <v>3</v>
      </c>
      <c r="S1396">
        <v>1</v>
      </c>
      <c r="T1396">
        <v>14</v>
      </c>
      <c r="U1396">
        <v>37.04468</v>
      </c>
      <c r="V1396">
        <v>339906.6</v>
      </c>
    </row>
    <row r="1397" spans="1:22" x14ac:dyDescent="0.25">
      <c r="A1397" t="s">
        <v>2210</v>
      </c>
      <c r="B1397" t="s">
        <v>2211</v>
      </c>
      <c r="C1397">
        <v>1456</v>
      </c>
      <c r="D1397">
        <v>98.2</v>
      </c>
      <c r="E1397">
        <v>98.24</v>
      </c>
      <c r="F1397" t="s">
        <v>2212</v>
      </c>
      <c r="G1397" t="s">
        <v>2212</v>
      </c>
      <c r="H1397">
        <f t="shared" si="24"/>
        <v>9</v>
      </c>
      <c r="M1397" s="1">
        <v>1.54862003400922E-2</v>
      </c>
      <c r="N1397">
        <v>1967.1181640625</v>
      </c>
      <c r="O1397">
        <v>656.7133</v>
      </c>
      <c r="P1397">
        <v>1967.10266113281</v>
      </c>
      <c r="Q1397">
        <v>656.70812988281205</v>
      </c>
      <c r="R1397">
        <v>3</v>
      </c>
      <c r="S1397">
        <v>2</v>
      </c>
      <c r="T1397">
        <v>8</v>
      </c>
      <c r="U1397">
        <v>41.0296799999999</v>
      </c>
      <c r="V1397">
        <v>111837.4</v>
      </c>
    </row>
    <row r="1398" spans="1:22" x14ac:dyDescent="0.25">
      <c r="A1398" t="s">
        <v>3309</v>
      </c>
      <c r="B1398" t="s">
        <v>3310</v>
      </c>
      <c r="C1398">
        <v>2455</v>
      </c>
      <c r="D1398">
        <v>99</v>
      </c>
      <c r="E1398">
        <v>99</v>
      </c>
      <c r="F1398" t="s">
        <v>3311</v>
      </c>
      <c r="G1398" t="s">
        <v>3311</v>
      </c>
      <c r="H1398">
        <f t="shared" si="24"/>
        <v>11</v>
      </c>
      <c r="M1398" s="1">
        <v>-7.7189202420413505E-4</v>
      </c>
      <c r="N1398">
        <v>1569.89050292969</v>
      </c>
      <c r="O1398">
        <v>785.95249999999896</v>
      </c>
      <c r="P1398">
        <v>1569.89123535156</v>
      </c>
      <c r="Q1398">
        <v>785.952880859375</v>
      </c>
      <c r="R1398">
        <v>2</v>
      </c>
      <c r="S1398">
        <v>2</v>
      </c>
      <c r="T1398">
        <v>8</v>
      </c>
      <c r="U1398">
        <v>24.435379999999899</v>
      </c>
      <c r="V1398">
        <v>95089.88</v>
      </c>
    </row>
    <row r="1399" spans="1:22" x14ac:dyDescent="0.25">
      <c r="A1399" t="s">
        <v>3045</v>
      </c>
      <c r="B1399" t="s">
        <v>3046</v>
      </c>
      <c r="C1399">
        <v>161</v>
      </c>
      <c r="D1399">
        <v>98.9</v>
      </c>
      <c r="E1399">
        <v>98.87</v>
      </c>
      <c r="F1399" t="s">
        <v>3047</v>
      </c>
      <c r="G1399" t="s">
        <v>3047</v>
      </c>
      <c r="H1399">
        <f t="shared" si="24"/>
        <v>9</v>
      </c>
      <c r="L1399" t="s">
        <v>295</v>
      </c>
      <c r="M1399" s="1">
        <v>7.7315098606049902E-3</v>
      </c>
      <c r="N1399">
        <v>1907.87609863281</v>
      </c>
      <c r="O1399">
        <v>954.94529999999895</v>
      </c>
      <c r="P1399">
        <v>1907.86828613281</v>
      </c>
      <c r="Q1399">
        <v>954.94146728515602</v>
      </c>
      <c r="R1399">
        <v>2</v>
      </c>
      <c r="S1399">
        <v>4</v>
      </c>
      <c r="T1399">
        <v>18</v>
      </c>
      <c r="U1399">
        <v>31.371569999999899</v>
      </c>
      <c r="V1399">
        <v>343836.2</v>
      </c>
    </row>
    <row r="1400" spans="1:22" x14ac:dyDescent="0.25">
      <c r="A1400" t="s">
        <v>3798</v>
      </c>
      <c r="B1400" t="s">
        <v>3799</v>
      </c>
      <c r="C1400">
        <v>209</v>
      </c>
      <c r="D1400">
        <v>99</v>
      </c>
      <c r="E1400">
        <v>99</v>
      </c>
      <c r="F1400" t="s">
        <v>3800</v>
      </c>
      <c r="G1400" t="s">
        <v>3800</v>
      </c>
      <c r="H1400">
        <f t="shared" si="24"/>
        <v>13</v>
      </c>
      <c r="M1400" s="1">
        <v>3.4869799856096502E-3</v>
      </c>
      <c r="N1400">
        <v>976.64685058593705</v>
      </c>
      <c r="O1400">
        <v>489.33069999999901</v>
      </c>
      <c r="P1400">
        <v>976.643310546875</v>
      </c>
      <c r="Q1400">
        <v>489.32894897460801</v>
      </c>
      <c r="R1400">
        <v>2</v>
      </c>
      <c r="S1400">
        <v>2</v>
      </c>
      <c r="T1400">
        <v>12</v>
      </c>
      <c r="U1400">
        <v>51.191850000000002</v>
      </c>
      <c r="V1400">
        <v>3488041</v>
      </c>
    </row>
    <row r="1401" spans="1:22" x14ac:dyDescent="0.25">
      <c r="A1401" t="s">
        <v>4491</v>
      </c>
      <c r="B1401" t="s">
        <v>4492</v>
      </c>
      <c r="C1401">
        <v>581</v>
      </c>
      <c r="D1401">
        <v>99</v>
      </c>
      <c r="E1401">
        <v>99</v>
      </c>
      <c r="F1401" t="s">
        <v>4493</v>
      </c>
      <c r="G1401" t="s">
        <v>4493</v>
      </c>
      <c r="H1401">
        <f t="shared" si="24"/>
        <v>18</v>
      </c>
      <c r="M1401">
        <v>-5.7399999999999997E-4</v>
      </c>
      <c r="N1401">
        <v>970.53430175781205</v>
      </c>
      <c r="O1401">
        <v>486.27440000000001</v>
      </c>
      <c r="P1401">
        <v>970.53485107421795</v>
      </c>
      <c r="Q1401">
        <v>486.27468872070301</v>
      </c>
      <c r="R1401">
        <v>2</v>
      </c>
      <c r="S1401">
        <v>3</v>
      </c>
      <c r="T1401">
        <v>11</v>
      </c>
      <c r="U1401">
        <v>25.30865</v>
      </c>
      <c r="V1401">
        <v>3457437</v>
      </c>
    </row>
    <row r="1402" spans="1:22" x14ac:dyDescent="0.25">
      <c r="A1402" t="s">
        <v>4491</v>
      </c>
      <c r="B1402" t="s">
        <v>4492</v>
      </c>
      <c r="C1402">
        <v>580</v>
      </c>
      <c r="D1402">
        <v>99</v>
      </c>
      <c r="E1402">
        <v>99</v>
      </c>
      <c r="F1402" t="s">
        <v>4494</v>
      </c>
      <c r="G1402" t="s">
        <v>4494</v>
      </c>
      <c r="H1402">
        <f t="shared" si="24"/>
        <v>19</v>
      </c>
      <c r="M1402">
        <v>4.7999999999999996E-3</v>
      </c>
      <c r="N1402">
        <v>1663.85778808594</v>
      </c>
      <c r="O1402">
        <v>555.62649999999906</v>
      </c>
      <c r="P1402">
        <v>1663.85290527344</v>
      </c>
      <c r="Q1402">
        <v>555.62493896484295</v>
      </c>
      <c r="R1402">
        <v>3</v>
      </c>
      <c r="S1402">
        <v>1</v>
      </c>
      <c r="T1402">
        <v>16</v>
      </c>
      <c r="U1402">
        <v>35.524819999999899</v>
      </c>
      <c r="V1402">
        <v>134288.5</v>
      </c>
    </row>
    <row r="1403" spans="1:22" x14ac:dyDescent="0.25">
      <c r="A1403" t="s">
        <v>4572</v>
      </c>
      <c r="B1403" t="s">
        <v>4573</v>
      </c>
      <c r="C1403">
        <v>668</v>
      </c>
      <c r="D1403">
        <v>99</v>
      </c>
      <c r="E1403">
        <v>99</v>
      </c>
      <c r="F1403" t="s">
        <v>4574</v>
      </c>
      <c r="G1403" t="s">
        <v>4574</v>
      </c>
      <c r="H1403">
        <f t="shared" si="24"/>
        <v>16</v>
      </c>
      <c r="M1403" s="1">
        <v>3.6220399197191E-3</v>
      </c>
      <c r="N1403">
        <v>959.55889892578102</v>
      </c>
      <c r="O1403">
        <v>480.7867</v>
      </c>
      <c r="P1403">
        <v>959.55523681640602</v>
      </c>
      <c r="Q1403">
        <v>480.784912109375</v>
      </c>
      <c r="R1403">
        <v>2</v>
      </c>
      <c r="S1403">
        <v>2</v>
      </c>
      <c r="T1403">
        <v>12</v>
      </c>
      <c r="U1403">
        <v>28.11842</v>
      </c>
      <c r="V1403">
        <v>1167177</v>
      </c>
    </row>
    <row r="1404" spans="1:22" x14ac:dyDescent="0.25">
      <c r="A1404" t="s">
        <v>4572</v>
      </c>
      <c r="B1404" t="s">
        <v>4573</v>
      </c>
      <c r="C1404">
        <v>631</v>
      </c>
      <c r="D1404">
        <v>99</v>
      </c>
      <c r="E1404">
        <v>99</v>
      </c>
      <c r="F1404" t="s">
        <v>4575</v>
      </c>
      <c r="G1404" t="s">
        <v>4575</v>
      </c>
      <c r="H1404">
        <f t="shared" si="24"/>
        <v>16</v>
      </c>
      <c r="M1404" s="1">
        <v>4.3972898274660102E-3</v>
      </c>
      <c r="N1404">
        <v>1575.78381347656</v>
      </c>
      <c r="O1404">
        <v>788.89919999999904</v>
      </c>
      <c r="P1404">
        <v>1575.77941894531</v>
      </c>
      <c r="Q1404">
        <v>788.89697265625</v>
      </c>
      <c r="R1404">
        <v>2</v>
      </c>
      <c r="S1404">
        <v>1</v>
      </c>
      <c r="T1404">
        <v>9</v>
      </c>
      <c r="U1404">
        <v>36.6420999999999</v>
      </c>
      <c r="V1404">
        <v>103676.3</v>
      </c>
    </row>
    <row r="1405" spans="1:22" x14ac:dyDescent="0.25">
      <c r="A1405" t="s">
        <v>4572</v>
      </c>
      <c r="B1405" t="s">
        <v>4573</v>
      </c>
      <c r="C1405">
        <v>634</v>
      </c>
      <c r="D1405">
        <v>99</v>
      </c>
      <c r="E1405">
        <v>99</v>
      </c>
      <c r="F1405" t="s">
        <v>4576</v>
      </c>
      <c r="G1405" t="s">
        <v>4576</v>
      </c>
      <c r="H1405">
        <f t="shared" si="24"/>
        <v>13</v>
      </c>
      <c r="M1405" s="1">
        <v>1.58640998415649E-3</v>
      </c>
      <c r="N1405">
        <v>2125.14819335938</v>
      </c>
      <c r="O1405">
        <v>709.39</v>
      </c>
      <c r="P1405">
        <v>2125.14672851563</v>
      </c>
      <c r="Q1405">
        <v>709.38946533203102</v>
      </c>
      <c r="R1405">
        <v>3</v>
      </c>
      <c r="S1405">
        <v>1</v>
      </c>
      <c r="T1405">
        <v>8</v>
      </c>
      <c r="U1405">
        <v>23.758019999999899</v>
      </c>
      <c r="V1405">
        <v>213390.2</v>
      </c>
    </row>
    <row r="1406" spans="1:22" x14ac:dyDescent="0.25">
      <c r="A1406" t="s">
        <v>4572</v>
      </c>
      <c r="B1406" t="s">
        <v>4573</v>
      </c>
      <c r="C1406">
        <v>331</v>
      </c>
      <c r="D1406">
        <v>97.6</v>
      </c>
      <c r="E1406">
        <v>97.63</v>
      </c>
      <c r="F1406" t="s">
        <v>4577</v>
      </c>
      <c r="G1406" t="s">
        <v>4577</v>
      </c>
      <c r="H1406">
        <f t="shared" si="24"/>
        <v>9</v>
      </c>
      <c r="M1406" s="1">
        <v>6.7227701656520401E-3</v>
      </c>
      <c r="N1406">
        <v>1955.03186035156</v>
      </c>
      <c r="O1406">
        <v>652.68460000000005</v>
      </c>
      <c r="P1406">
        <v>1955.02514648438</v>
      </c>
      <c r="Q1406">
        <v>652.68231201171795</v>
      </c>
      <c r="R1406">
        <v>3</v>
      </c>
      <c r="S1406">
        <v>1</v>
      </c>
      <c r="T1406">
        <v>11</v>
      </c>
      <c r="U1406">
        <v>52.15025</v>
      </c>
      <c r="V1406">
        <v>82798.429999999906</v>
      </c>
    </row>
    <row r="1407" spans="1:22" x14ac:dyDescent="0.25">
      <c r="A1407" t="s">
        <v>3692</v>
      </c>
      <c r="B1407" t="s">
        <v>3693</v>
      </c>
      <c r="C1407">
        <v>646</v>
      </c>
      <c r="D1407">
        <v>96.8</v>
      </c>
      <c r="E1407">
        <v>96.8</v>
      </c>
      <c r="F1407" t="s">
        <v>3694</v>
      </c>
      <c r="G1407" t="s">
        <v>3694</v>
      </c>
      <c r="H1407">
        <f t="shared" si="24"/>
        <v>9</v>
      </c>
      <c r="M1407">
        <v>-3.676E-3</v>
      </c>
      <c r="N1407">
        <v>2045.0439453125</v>
      </c>
      <c r="O1407">
        <v>682.68859999999904</v>
      </c>
      <c r="P1407">
        <v>2045.04760742188</v>
      </c>
      <c r="Q1407">
        <v>682.68981933593705</v>
      </c>
      <c r="R1407">
        <v>3</v>
      </c>
      <c r="S1407">
        <v>2</v>
      </c>
      <c r="T1407">
        <v>12</v>
      </c>
      <c r="U1407">
        <v>18.1527999999999</v>
      </c>
      <c r="V1407">
        <v>144585.4</v>
      </c>
    </row>
    <row r="1408" spans="1:22" x14ac:dyDescent="0.25">
      <c r="A1408" t="s">
        <v>446</v>
      </c>
      <c r="B1408" t="s">
        <v>447</v>
      </c>
      <c r="C1408">
        <v>1162</v>
      </c>
      <c r="D1408">
        <v>97.1</v>
      </c>
      <c r="E1408">
        <v>97.1</v>
      </c>
      <c r="F1408" t="s">
        <v>448</v>
      </c>
      <c r="G1408" t="s">
        <v>448</v>
      </c>
      <c r="H1408">
        <f t="shared" si="24"/>
        <v>9</v>
      </c>
      <c r="M1408" s="1">
        <v>5.8320201933383803E-3</v>
      </c>
      <c r="N1408">
        <v>1740.97204589844</v>
      </c>
      <c r="O1408">
        <v>871.49329999999895</v>
      </c>
      <c r="P1408">
        <v>1740.96618652344</v>
      </c>
      <c r="Q1408">
        <v>871.49035644531205</v>
      </c>
      <c r="R1408">
        <v>2</v>
      </c>
      <c r="S1408">
        <v>1</v>
      </c>
      <c r="T1408">
        <v>7</v>
      </c>
      <c r="U1408">
        <v>56.363700000000001</v>
      </c>
      <c r="V1408">
        <v>67162.880000000005</v>
      </c>
    </row>
    <row r="1409" spans="1:22" x14ac:dyDescent="0.25">
      <c r="A1409" t="s">
        <v>698</v>
      </c>
      <c r="B1409" t="s">
        <v>699</v>
      </c>
      <c r="C1409">
        <v>94</v>
      </c>
      <c r="D1409">
        <v>97.2</v>
      </c>
      <c r="E1409">
        <v>97.19</v>
      </c>
      <c r="F1409" t="s">
        <v>700</v>
      </c>
      <c r="G1409" t="s">
        <v>700</v>
      </c>
      <c r="H1409">
        <f t="shared" si="24"/>
        <v>12</v>
      </c>
      <c r="M1409" s="1">
        <v>6.9878702051937502E-3</v>
      </c>
      <c r="N1409">
        <v>1823.97521972656</v>
      </c>
      <c r="O1409">
        <v>608.99900000000002</v>
      </c>
      <c r="P1409">
        <v>1823.96826171875</v>
      </c>
      <c r="Q1409">
        <v>608.99670410156205</v>
      </c>
      <c r="R1409">
        <v>3</v>
      </c>
      <c r="S1409">
        <v>2</v>
      </c>
      <c r="T1409">
        <v>13</v>
      </c>
      <c r="U1409">
        <v>37.229900000000001</v>
      </c>
      <c r="V1409">
        <v>142204.799999999</v>
      </c>
    </row>
    <row r="1410" spans="1:22" x14ac:dyDescent="0.25">
      <c r="A1410" t="s">
        <v>1336</v>
      </c>
      <c r="B1410" t="s">
        <v>1337</v>
      </c>
      <c r="C1410">
        <v>106</v>
      </c>
      <c r="D1410">
        <v>99</v>
      </c>
      <c r="E1410">
        <v>99</v>
      </c>
      <c r="F1410" t="s">
        <v>1338</v>
      </c>
      <c r="G1410" t="s">
        <v>1338</v>
      </c>
      <c r="H1410">
        <f t="shared" si="24"/>
        <v>16</v>
      </c>
      <c r="M1410" s="1">
        <v>-2.9454100877046601E-4</v>
      </c>
      <c r="N1410">
        <v>1118.66967773438</v>
      </c>
      <c r="O1410">
        <v>560.34209999999905</v>
      </c>
      <c r="P1410">
        <v>1118.669921875</v>
      </c>
      <c r="Q1410">
        <v>560.34222412109295</v>
      </c>
      <c r="R1410">
        <v>2</v>
      </c>
      <c r="S1410">
        <v>1</v>
      </c>
      <c r="T1410">
        <v>12</v>
      </c>
      <c r="U1410">
        <v>48.521749999999898</v>
      </c>
      <c r="V1410">
        <v>835376.8</v>
      </c>
    </row>
    <row r="1411" spans="1:22" x14ac:dyDescent="0.25">
      <c r="A1411" t="s">
        <v>474</v>
      </c>
      <c r="B1411" t="s">
        <v>475</v>
      </c>
      <c r="C1411">
        <v>279</v>
      </c>
      <c r="D1411">
        <v>99</v>
      </c>
      <c r="E1411">
        <v>99</v>
      </c>
      <c r="F1411" t="s">
        <v>476</v>
      </c>
      <c r="G1411" t="s">
        <v>476</v>
      </c>
      <c r="H1411">
        <f t="shared" ref="H1411:H1474" si="25">LEN(G1411)</f>
        <v>9</v>
      </c>
      <c r="M1411">
        <v>5.1190000000000003E-3</v>
      </c>
      <c r="N1411">
        <v>1774.95166015625</v>
      </c>
      <c r="O1411">
        <v>888.48310000000004</v>
      </c>
      <c r="P1411">
        <v>1774.94653320313</v>
      </c>
      <c r="Q1411">
        <v>888.48052978515602</v>
      </c>
      <c r="R1411">
        <v>2</v>
      </c>
      <c r="S1411">
        <v>1</v>
      </c>
      <c r="T1411">
        <v>12</v>
      </c>
      <c r="U1411">
        <v>46.133499999999898</v>
      </c>
      <c r="V1411">
        <v>109366.1</v>
      </c>
    </row>
    <row r="1412" spans="1:22" x14ac:dyDescent="0.25">
      <c r="A1412" t="s">
        <v>4223</v>
      </c>
      <c r="B1412" t="s">
        <v>4224</v>
      </c>
      <c r="C1412">
        <v>394</v>
      </c>
      <c r="D1412">
        <v>98.4</v>
      </c>
      <c r="E1412">
        <v>98.35</v>
      </c>
      <c r="F1412" t="s">
        <v>4225</v>
      </c>
      <c r="G1412" t="s">
        <v>4225</v>
      </c>
      <c r="H1412">
        <f t="shared" si="25"/>
        <v>16</v>
      </c>
      <c r="M1412" s="1">
        <v>-1.39442002400756E-2</v>
      </c>
      <c r="N1412">
        <v>1971.908203125</v>
      </c>
      <c r="O1412">
        <v>658.31</v>
      </c>
      <c r="P1412">
        <v>1971.92211914063</v>
      </c>
      <c r="Q1412">
        <v>658.31463623046795</v>
      </c>
      <c r="R1412">
        <v>3</v>
      </c>
      <c r="S1412">
        <v>1</v>
      </c>
      <c r="T1412">
        <v>11</v>
      </c>
      <c r="U1412">
        <v>31.281479999999899</v>
      </c>
      <c r="V1412">
        <v>499301.4</v>
      </c>
    </row>
    <row r="1413" spans="1:22" x14ac:dyDescent="0.25">
      <c r="A1413" t="s">
        <v>1976</v>
      </c>
      <c r="B1413" t="s">
        <v>1977</v>
      </c>
      <c r="C1413">
        <v>2</v>
      </c>
      <c r="D1413">
        <v>99</v>
      </c>
      <c r="E1413">
        <v>99</v>
      </c>
      <c r="F1413" t="s">
        <v>1978</v>
      </c>
      <c r="G1413" t="s">
        <v>1978</v>
      </c>
      <c r="H1413">
        <f t="shared" si="25"/>
        <v>14</v>
      </c>
      <c r="L1413" t="s">
        <v>227</v>
      </c>
      <c r="M1413" s="1">
        <v>6.8250601179897803E-3</v>
      </c>
      <c r="N1413">
        <v>1212.57312011719</v>
      </c>
      <c r="O1413">
        <v>607.29380000000003</v>
      </c>
      <c r="P1413">
        <v>1212.56628417969</v>
      </c>
      <c r="Q1413">
        <v>607.29040527343705</v>
      </c>
      <c r="R1413">
        <v>2</v>
      </c>
      <c r="S1413">
        <v>1</v>
      </c>
      <c r="T1413">
        <v>14</v>
      </c>
      <c r="U1413">
        <v>56.022790000000001</v>
      </c>
      <c r="V1413">
        <v>488430.2</v>
      </c>
    </row>
    <row r="1414" spans="1:22" x14ac:dyDescent="0.25">
      <c r="A1414" t="s">
        <v>3916</v>
      </c>
      <c r="B1414" t="s">
        <v>3917</v>
      </c>
      <c r="C1414">
        <v>284</v>
      </c>
      <c r="D1414">
        <v>99</v>
      </c>
      <c r="E1414">
        <v>98.99</v>
      </c>
      <c r="F1414" t="s">
        <v>3918</v>
      </c>
      <c r="G1414" t="s">
        <v>3918</v>
      </c>
      <c r="H1414">
        <f t="shared" si="25"/>
        <v>16</v>
      </c>
      <c r="M1414" s="1">
        <v>5.40832011029124E-3</v>
      </c>
      <c r="N1414">
        <v>1950.13562011719</v>
      </c>
      <c r="O1414">
        <v>651.05250000000001</v>
      </c>
      <c r="P1414">
        <v>1950.13024902344</v>
      </c>
      <c r="Q1414">
        <v>651.05065917968705</v>
      </c>
      <c r="R1414">
        <v>3</v>
      </c>
      <c r="S1414">
        <v>2</v>
      </c>
      <c r="T1414">
        <v>17</v>
      </c>
      <c r="U1414">
        <v>30.104970000000002</v>
      </c>
      <c r="V1414">
        <v>712156.2</v>
      </c>
    </row>
    <row r="1415" spans="1:22" x14ac:dyDescent="0.25">
      <c r="A1415" t="s">
        <v>3916</v>
      </c>
      <c r="B1415" t="s">
        <v>3917</v>
      </c>
      <c r="C1415">
        <v>47</v>
      </c>
      <c r="D1415">
        <v>96.9</v>
      </c>
      <c r="E1415">
        <v>96.9</v>
      </c>
      <c r="F1415" t="s">
        <v>3919</v>
      </c>
      <c r="G1415" t="s">
        <v>3919</v>
      </c>
      <c r="H1415">
        <f t="shared" si="25"/>
        <v>9</v>
      </c>
      <c r="M1415" s="1">
        <v>9.9750598892569507E-3</v>
      </c>
      <c r="N1415">
        <v>2191.3193359375</v>
      </c>
      <c r="O1415">
        <v>731.447</v>
      </c>
      <c r="P1415">
        <v>2191.30932617188</v>
      </c>
      <c r="Q1415">
        <v>731.44372558593705</v>
      </c>
      <c r="R1415">
        <v>3</v>
      </c>
      <c r="S1415">
        <v>2</v>
      </c>
      <c r="T1415">
        <v>15</v>
      </c>
      <c r="U1415">
        <v>31.463830000000002</v>
      </c>
      <c r="V1415">
        <v>289943.59999999899</v>
      </c>
    </row>
    <row r="1416" spans="1:22" x14ac:dyDescent="0.25">
      <c r="A1416" t="s">
        <v>2111</v>
      </c>
      <c r="B1416" t="s">
        <v>2112</v>
      </c>
      <c r="C1416">
        <v>203</v>
      </c>
      <c r="D1416">
        <v>97.3</v>
      </c>
      <c r="E1416">
        <v>97.34</v>
      </c>
      <c r="F1416" t="s">
        <v>2113</v>
      </c>
      <c r="G1416" t="s">
        <v>2113</v>
      </c>
      <c r="H1416">
        <f t="shared" si="25"/>
        <v>16</v>
      </c>
      <c r="M1416">
        <v>1.1379E-2</v>
      </c>
      <c r="N1416">
        <v>1699.97351074219</v>
      </c>
      <c r="O1416">
        <v>850.99400000000003</v>
      </c>
      <c r="P1416">
        <v>1699.96215820313</v>
      </c>
      <c r="Q1416">
        <v>850.98834228515602</v>
      </c>
      <c r="R1416">
        <v>2</v>
      </c>
      <c r="S1416">
        <v>2</v>
      </c>
      <c r="T1416">
        <v>16</v>
      </c>
      <c r="U1416">
        <v>44.475169999999899</v>
      </c>
      <c r="V1416">
        <v>378323.3</v>
      </c>
    </row>
    <row r="1417" spans="1:22" x14ac:dyDescent="0.25">
      <c r="A1417" t="s">
        <v>2111</v>
      </c>
      <c r="B1417" t="s">
        <v>2112</v>
      </c>
      <c r="C1417">
        <v>202</v>
      </c>
      <c r="D1417">
        <v>99</v>
      </c>
      <c r="E1417">
        <v>99</v>
      </c>
      <c r="F1417" t="s">
        <v>2114</v>
      </c>
      <c r="G1417" t="s">
        <v>2114</v>
      </c>
      <c r="H1417">
        <f t="shared" si="25"/>
        <v>17</v>
      </c>
      <c r="M1417" s="1">
        <v>5.4390202276408603E-3</v>
      </c>
      <c r="N1417">
        <v>1814.01049804688</v>
      </c>
      <c r="O1417">
        <v>908.01250000000005</v>
      </c>
      <c r="P1417">
        <v>1814.00500488281</v>
      </c>
      <c r="Q1417">
        <v>908.009765625</v>
      </c>
      <c r="R1417">
        <v>2</v>
      </c>
      <c r="S1417">
        <v>5</v>
      </c>
      <c r="T1417">
        <v>24</v>
      </c>
      <c r="U1417">
        <v>45.032319999999899</v>
      </c>
      <c r="V1417">
        <v>1625626</v>
      </c>
    </row>
    <row r="1418" spans="1:22" x14ac:dyDescent="0.25">
      <c r="A1418" t="s">
        <v>1979</v>
      </c>
      <c r="B1418" t="s">
        <v>1980</v>
      </c>
      <c r="C1418">
        <v>377</v>
      </c>
      <c r="D1418">
        <v>99</v>
      </c>
      <c r="E1418">
        <v>99</v>
      </c>
      <c r="F1418" t="s">
        <v>1981</v>
      </c>
      <c r="G1418" t="s">
        <v>1981</v>
      </c>
      <c r="H1418">
        <f t="shared" si="25"/>
        <v>9</v>
      </c>
      <c r="M1418" s="1">
        <v>2.9831300489604399E-3</v>
      </c>
      <c r="N1418">
        <v>1215.67541503906</v>
      </c>
      <c r="O1418">
        <v>608.84500000000003</v>
      </c>
      <c r="P1418">
        <v>1215.67236328125</v>
      </c>
      <c r="Q1418">
        <v>608.843505859375</v>
      </c>
      <c r="R1418">
        <v>2</v>
      </c>
      <c r="S1418">
        <v>1</v>
      </c>
      <c r="T1418">
        <v>14</v>
      </c>
      <c r="U1418">
        <v>39.747979999999899</v>
      </c>
      <c r="V1418">
        <v>641655.30000000005</v>
      </c>
    </row>
    <row r="1419" spans="1:22" x14ac:dyDescent="0.25">
      <c r="A1419" t="s">
        <v>4486</v>
      </c>
      <c r="B1419" t="s">
        <v>4487</v>
      </c>
      <c r="C1419">
        <v>197</v>
      </c>
      <c r="D1419">
        <v>99</v>
      </c>
      <c r="E1419">
        <v>99</v>
      </c>
      <c r="F1419" t="s">
        <v>4488</v>
      </c>
      <c r="G1419" t="s">
        <v>4488</v>
      </c>
      <c r="H1419">
        <f t="shared" si="25"/>
        <v>9</v>
      </c>
      <c r="M1419" s="1">
        <v>1.11004998907447E-2</v>
      </c>
      <c r="N1419">
        <v>1589.74731445313</v>
      </c>
      <c r="O1419">
        <v>795.8809</v>
      </c>
      <c r="P1419">
        <v>1589.73620605469</v>
      </c>
      <c r="Q1419">
        <v>795.87536621093705</v>
      </c>
      <c r="R1419">
        <v>2</v>
      </c>
      <c r="S1419">
        <v>1</v>
      </c>
      <c r="T1419">
        <v>8</v>
      </c>
      <c r="U1419">
        <v>42.408999999999899</v>
      </c>
      <c r="V1419">
        <v>83545.64</v>
      </c>
    </row>
    <row r="1420" spans="1:22" x14ac:dyDescent="0.25">
      <c r="A1420" t="s">
        <v>4486</v>
      </c>
      <c r="B1420" t="s">
        <v>4487</v>
      </c>
      <c r="C1420">
        <v>225</v>
      </c>
      <c r="D1420">
        <v>99</v>
      </c>
      <c r="E1420">
        <v>99</v>
      </c>
      <c r="F1420" t="s">
        <v>4489</v>
      </c>
      <c r="G1420" t="s">
        <v>4489</v>
      </c>
      <c r="H1420">
        <f t="shared" si="25"/>
        <v>15</v>
      </c>
      <c r="M1420" s="1">
        <v>5.2016498520970301E-3</v>
      </c>
      <c r="N1420">
        <v>1639.81591796875</v>
      </c>
      <c r="O1420">
        <v>820.91520000000003</v>
      </c>
      <c r="P1420">
        <v>1639.81066894531</v>
      </c>
      <c r="Q1420">
        <v>820.91259765625</v>
      </c>
      <c r="R1420">
        <v>2</v>
      </c>
      <c r="S1420">
        <v>1</v>
      </c>
      <c r="T1420">
        <v>9</v>
      </c>
      <c r="U1420">
        <v>33.818600000000004</v>
      </c>
      <c r="V1420">
        <v>139488.20000000001</v>
      </c>
    </row>
    <row r="1421" spans="1:22" x14ac:dyDescent="0.25">
      <c r="A1421" t="s">
        <v>4486</v>
      </c>
      <c r="B1421" t="s">
        <v>4487</v>
      </c>
      <c r="C1421">
        <v>164</v>
      </c>
      <c r="D1421">
        <v>98.9</v>
      </c>
      <c r="E1421">
        <v>98.9</v>
      </c>
      <c r="F1421" t="s">
        <v>4490</v>
      </c>
      <c r="G1421" t="s">
        <v>4490</v>
      </c>
      <c r="H1421">
        <f t="shared" si="25"/>
        <v>14</v>
      </c>
      <c r="M1421" s="1">
        <v>3.1409100629389199E-3</v>
      </c>
      <c r="N1421">
        <v>1793.00915527344</v>
      </c>
      <c r="O1421">
        <v>598.67700000000002</v>
      </c>
      <c r="P1421">
        <v>1793.00598144531</v>
      </c>
      <c r="Q1421">
        <v>598.67596435546795</v>
      </c>
      <c r="R1421">
        <v>3</v>
      </c>
      <c r="S1421">
        <v>1</v>
      </c>
      <c r="T1421">
        <v>12</v>
      </c>
      <c r="U1421">
        <v>23.4205299999999</v>
      </c>
      <c r="V1421">
        <v>1252465</v>
      </c>
    </row>
    <row r="1422" spans="1:22" x14ac:dyDescent="0.25">
      <c r="A1422" t="s">
        <v>4486</v>
      </c>
      <c r="B1422" t="s">
        <v>4487</v>
      </c>
      <c r="C1422">
        <v>33</v>
      </c>
      <c r="D1422">
        <v>99</v>
      </c>
      <c r="E1422">
        <v>99</v>
      </c>
      <c r="F1422" t="s">
        <v>65</v>
      </c>
      <c r="G1422" t="s">
        <v>65</v>
      </c>
      <c r="H1422">
        <f t="shared" si="25"/>
        <v>11</v>
      </c>
      <c r="M1422" s="1">
        <v>-4.0049101226031702E-3</v>
      </c>
      <c r="N1422">
        <v>1584.796875</v>
      </c>
      <c r="O1422">
        <v>793.40570000000002</v>
      </c>
      <c r="P1422">
        <v>1584.80090332031</v>
      </c>
      <c r="Q1422">
        <v>793.40771484375</v>
      </c>
      <c r="R1422">
        <v>2</v>
      </c>
      <c r="S1422">
        <v>2</v>
      </c>
      <c r="T1422">
        <v>14</v>
      </c>
      <c r="U1422">
        <v>20.681170000000002</v>
      </c>
      <c r="V1422">
        <v>200276</v>
      </c>
    </row>
    <row r="1423" spans="1:22" x14ac:dyDescent="0.25">
      <c r="A1423" t="s">
        <v>2382</v>
      </c>
      <c r="B1423" t="s">
        <v>2383</v>
      </c>
      <c r="C1423">
        <v>194</v>
      </c>
      <c r="D1423">
        <v>97.5</v>
      </c>
      <c r="E1423">
        <v>97.47</v>
      </c>
      <c r="F1423" t="s">
        <v>2384</v>
      </c>
      <c r="G1423" t="s">
        <v>2384</v>
      </c>
      <c r="H1423">
        <f t="shared" si="25"/>
        <v>9</v>
      </c>
      <c r="M1423" s="1">
        <v>8.4305199561640501E-4</v>
      </c>
      <c r="N1423">
        <v>1056.6201171875</v>
      </c>
      <c r="O1423">
        <v>529.31730000000005</v>
      </c>
      <c r="P1423">
        <v>1056.61926269531</v>
      </c>
      <c r="Q1423">
        <v>529.31689453125</v>
      </c>
      <c r="R1423">
        <v>2</v>
      </c>
      <c r="S1423">
        <v>3</v>
      </c>
      <c r="T1423">
        <v>12</v>
      </c>
      <c r="U1423">
        <v>31.408829999999899</v>
      </c>
      <c r="V1423">
        <v>2659817</v>
      </c>
    </row>
    <row r="1424" spans="1:22" x14ac:dyDescent="0.25">
      <c r="A1424" t="s">
        <v>536</v>
      </c>
      <c r="B1424" t="s">
        <v>537</v>
      </c>
      <c r="C1424">
        <v>168</v>
      </c>
      <c r="D1424">
        <v>99</v>
      </c>
      <c r="E1424">
        <v>99</v>
      </c>
      <c r="F1424" t="s">
        <v>610</v>
      </c>
      <c r="G1424" t="s">
        <v>610</v>
      </c>
      <c r="H1424">
        <f t="shared" si="25"/>
        <v>9</v>
      </c>
      <c r="M1424" s="1">
        <v>-1.03785004466771E-3</v>
      </c>
      <c r="N1424">
        <v>1120.623046875</v>
      </c>
      <c r="O1424">
        <v>561.31880000000001</v>
      </c>
      <c r="P1424">
        <v>1120.6240234375</v>
      </c>
      <c r="Q1424">
        <v>561.3193359375</v>
      </c>
      <c r="R1424">
        <v>2</v>
      </c>
      <c r="S1424">
        <v>1</v>
      </c>
      <c r="T1424">
        <v>13</v>
      </c>
      <c r="U1424">
        <v>22.135480000000001</v>
      </c>
      <c r="V1424">
        <v>1120555</v>
      </c>
    </row>
    <row r="1425" spans="1:22" x14ac:dyDescent="0.25">
      <c r="A1425" t="s">
        <v>536</v>
      </c>
      <c r="B1425" t="s">
        <v>537</v>
      </c>
      <c r="C1425">
        <v>170</v>
      </c>
      <c r="D1425">
        <v>99</v>
      </c>
      <c r="E1425">
        <v>99</v>
      </c>
      <c r="F1425" t="s">
        <v>1786</v>
      </c>
      <c r="G1425" t="s">
        <v>1786</v>
      </c>
      <c r="H1425">
        <f t="shared" si="25"/>
        <v>7</v>
      </c>
      <c r="M1425" s="1">
        <v>2.2601399105042202E-3</v>
      </c>
      <c r="N1425">
        <v>1202.70593261719</v>
      </c>
      <c r="O1425">
        <v>602.36019999999905</v>
      </c>
      <c r="P1425">
        <v>1202.70361328125</v>
      </c>
      <c r="Q1425">
        <v>602.35906982421795</v>
      </c>
      <c r="R1425">
        <v>2</v>
      </c>
      <c r="S1425">
        <v>2</v>
      </c>
      <c r="T1425">
        <v>11</v>
      </c>
      <c r="U1425">
        <v>24.082719999999899</v>
      </c>
      <c r="V1425">
        <v>969942.8</v>
      </c>
    </row>
    <row r="1426" spans="1:22" x14ac:dyDescent="0.25">
      <c r="A1426" t="s">
        <v>536</v>
      </c>
      <c r="B1426" t="s">
        <v>537</v>
      </c>
      <c r="C1426">
        <v>168</v>
      </c>
      <c r="D1426">
        <v>99</v>
      </c>
      <c r="E1426">
        <v>99</v>
      </c>
      <c r="F1426" t="s">
        <v>610</v>
      </c>
      <c r="G1426" t="s">
        <v>610</v>
      </c>
      <c r="H1426">
        <f t="shared" si="25"/>
        <v>9</v>
      </c>
      <c r="L1426" t="s">
        <v>47</v>
      </c>
      <c r="M1426" s="1">
        <v>6.9097699597477904E-3</v>
      </c>
      <c r="N1426">
        <v>1993.96032714844</v>
      </c>
      <c r="O1426">
        <v>997.98739999999896</v>
      </c>
      <c r="P1426">
        <v>1993.95336914063</v>
      </c>
      <c r="Q1426">
        <v>997.98394775390602</v>
      </c>
      <c r="R1426">
        <v>2</v>
      </c>
      <c r="S1426">
        <v>1</v>
      </c>
      <c r="T1426">
        <v>11</v>
      </c>
      <c r="U1426">
        <v>55.292299999999898</v>
      </c>
      <c r="V1426">
        <v>106124.8</v>
      </c>
    </row>
    <row r="1427" spans="1:22" x14ac:dyDescent="0.25">
      <c r="A1427" t="s">
        <v>1787</v>
      </c>
      <c r="B1427" t="s">
        <v>1788</v>
      </c>
      <c r="C1427">
        <v>16</v>
      </c>
      <c r="D1427">
        <v>99</v>
      </c>
      <c r="E1427">
        <v>99</v>
      </c>
      <c r="F1427" t="s">
        <v>1789</v>
      </c>
      <c r="G1427" t="s">
        <v>1789</v>
      </c>
      <c r="H1427">
        <f t="shared" si="25"/>
        <v>19</v>
      </c>
      <c r="L1427" t="s">
        <v>48</v>
      </c>
      <c r="M1427" s="1">
        <v>-2.3648599744774401E-4</v>
      </c>
      <c r="N1427">
        <v>1003.4794921875</v>
      </c>
      <c r="O1427">
        <v>502.74700000000001</v>
      </c>
      <c r="P1427">
        <v>1003.47967529297</v>
      </c>
      <c r="Q1427">
        <v>502.74713134765602</v>
      </c>
      <c r="R1427">
        <v>2</v>
      </c>
      <c r="S1427">
        <v>2</v>
      </c>
      <c r="T1427">
        <v>11</v>
      </c>
      <c r="U1427">
        <v>20.740870000000001</v>
      </c>
      <c r="V1427">
        <v>176484.2</v>
      </c>
    </row>
    <row r="1428" spans="1:22" x14ac:dyDescent="0.25">
      <c r="A1428" t="s">
        <v>1790</v>
      </c>
      <c r="B1428" t="s">
        <v>1791</v>
      </c>
      <c r="C1428">
        <v>60</v>
      </c>
      <c r="D1428">
        <v>99</v>
      </c>
      <c r="E1428">
        <v>99</v>
      </c>
      <c r="F1428" t="s">
        <v>1792</v>
      </c>
      <c r="G1428" t="s">
        <v>1792</v>
      </c>
      <c r="H1428">
        <f t="shared" si="25"/>
        <v>9</v>
      </c>
      <c r="M1428" s="1">
        <v>4.2120600119233001E-3</v>
      </c>
      <c r="N1428">
        <v>1023.69592285156</v>
      </c>
      <c r="O1428">
        <v>512.85519999999894</v>
      </c>
      <c r="P1428">
        <v>1023.69171142578</v>
      </c>
      <c r="Q1428">
        <v>512.85308837890602</v>
      </c>
      <c r="R1428">
        <v>2</v>
      </c>
      <c r="S1428">
        <v>2</v>
      </c>
      <c r="T1428">
        <v>11</v>
      </c>
      <c r="U1428">
        <v>37.309570000000001</v>
      </c>
      <c r="V1428">
        <v>442913</v>
      </c>
    </row>
    <row r="1429" spans="1:22" x14ac:dyDescent="0.25">
      <c r="A1429" t="s">
        <v>750</v>
      </c>
      <c r="B1429" t="s">
        <v>751</v>
      </c>
      <c r="C1429">
        <v>11</v>
      </c>
      <c r="D1429">
        <v>99</v>
      </c>
      <c r="E1429">
        <v>99</v>
      </c>
      <c r="F1429" t="s">
        <v>752</v>
      </c>
      <c r="G1429" t="s">
        <v>752</v>
      </c>
      <c r="H1429">
        <f t="shared" si="25"/>
        <v>17</v>
      </c>
      <c r="M1429">
        <v>-2.6999999999999999E-5</v>
      </c>
      <c r="N1429">
        <v>1175.67749023438</v>
      </c>
      <c r="O1429">
        <v>588.846</v>
      </c>
      <c r="P1429">
        <v>1175.67749023438</v>
      </c>
      <c r="Q1429">
        <v>588.84600830078102</v>
      </c>
      <c r="R1429">
        <v>2</v>
      </c>
      <c r="S1429">
        <v>4</v>
      </c>
      <c r="T1429">
        <v>12</v>
      </c>
      <c r="U1429">
        <v>21.78715</v>
      </c>
      <c r="V1429">
        <v>842360.5</v>
      </c>
    </row>
    <row r="1430" spans="1:22" x14ac:dyDescent="0.25">
      <c r="A1430" t="s">
        <v>750</v>
      </c>
      <c r="B1430" t="s">
        <v>751</v>
      </c>
      <c r="C1430">
        <v>11</v>
      </c>
      <c r="D1430">
        <v>99</v>
      </c>
      <c r="E1430">
        <v>99</v>
      </c>
      <c r="F1430" t="s">
        <v>753</v>
      </c>
      <c r="G1430" t="s">
        <v>753</v>
      </c>
      <c r="H1430">
        <f t="shared" si="25"/>
        <v>18</v>
      </c>
      <c r="M1430" s="1">
        <v>-2.19630007632077E-3</v>
      </c>
      <c r="N1430">
        <v>1485.71496582031</v>
      </c>
      <c r="O1430">
        <v>496.24560000000002</v>
      </c>
      <c r="P1430">
        <v>1485.71716308594</v>
      </c>
      <c r="Q1430">
        <v>496.246337890625</v>
      </c>
      <c r="R1430">
        <v>3</v>
      </c>
      <c r="S1430">
        <v>2</v>
      </c>
      <c r="T1430">
        <v>10</v>
      </c>
      <c r="U1430">
        <v>23.099530000000001</v>
      </c>
      <c r="V1430">
        <v>223781</v>
      </c>
    </row>
    <row r="1431" spans="1:22" x14ac:dyDescent="0.25">
      <c r="A1431" t="s">
        <v>750</v>
      </c>
      <c r="B1431" t="s">
        <v>751</v>
      </c>
      <c r="C1431">
        <v>11</v>
      </c>
      <c r="D1431">
        <v>99</v>
      </c>
      <c r="E1431">
        <v>99</v>
      </c>
      <c r="F1431" t="s">
        <v>754</v>
      </c>
      <c r="G1431" t="s">
        <v>754</v>
      </c>
      <c r="H1431">
        <f t="shared" si="25"/>
        <v>19</v>
      </c>
      <c r="M1431" s="1">
        <v>9.6283303573727608E-3</v>
      </c>
      <c r="N1431">
        <v>1906.87536621094</v>
      </c>
      <c r="O1431">
        <v>636.63239999999905</v>
      </c>
      <c r="P1431">
        <v>1906.86572265625</v>
      </c>
      <c r="Q1431">
        <v>636.629150390625</v>
      </c>
      <c r="R1431">
        <v>3</v>
      </c>
      <c r="S1431">
        <v>2</v>
      </c>
      <c r="T1431">
        <v>15</v>
      </c>
      <c r="U1431">
        <v>28.5650499999999</v>
      </c>
      <c r="V1431">
        <v>2398607</v>
      </c>
    </row>
    <row r="1432" spans="1:22" x14ac:dyDescent="0.25">
      <c r="A1432" t="s">
        <v>750</v>
      </c>
      <c r="B1432" t="s">
        <v>751</v>
      </c>
      <c r="C1432">
        <v>213</v>
      </c>
      <c r="D1432">
        <v>97.5</v>
      </c>
      <c r="E1432">
        <v>97.49</v>
      </c>
      <c r="F1432" t="s">
        <v>755</v>
      </c>
      <c r="G1432" t="s">
        <v>755</v>
      </c>
      <c r="H1432">
        <f t="shared" si="25"/>
        <v>16</v>
      </c>
      <c r="M1432">
        <v>1.5367E-2</v>
      </c>
      <c r="N1432">
        <v>2484.21728515625</v>
      </c>
      <c r="O1432">
        <v>1243.116</v>
      </c>
      <c r="P1432">
        <v>2484.20190429688</v>
      </c>
      <c r="Q1432">
        <v>1243.10827636719</v>
      </c>
      <c r="R1432">
        <v>2</v>
      </c>
      <c r="S1432">
        <v>1</v>
      </c>
      <c r="T1432">
        <v>10</v>
      </c>
      <c r="U1432">
        <v>55.76585</v>
      </c>
      <c r="V1432">
        <v>63021.34</v>
      </c>
    </row>
    <row r="1433" spans="1:22" x14ac:dyDescent="0.25">
      <c r="A1433" t="s">
        <v>750</v>
      </c>
      <c r="B1433" t="s">
        <v>751</v>
      </c>
      <c r="C1433">
        <v>169</v>
      </c>
      <c r="D1433">
        <v>99</v>
      </c>
      <c r="E1433">
        <v>99</v>
      </c>
      <c r="F1433" t="s">
        <v>756</v>
      </c>
      <c r="G1433" t="s">
        <v>756</v>
      </c>
      <c r="H1433">
        <f t="shared" si="25"/>
        <v>15</v>
      </c>
      <c r="M1433" s="1">
        <v>-2.15579010546206E-3</v>
      </c>
      <c r="N1433">
        <v>1176.67053222656</v>
      </c>
      <c r="O1433">
        <v>393.23079999999902</v>
      </c>
      <c r="P1433">
        <v>1176.67272949219</v>
      </c>
      <c r="Q1433">
        <v>393.23153686523301</v>
      </c>
      <c r="R1433">
        <v>3</v>
      </c>
      <c r="S1433">
        <v>4</v>
      </c>
      <c r="T1433">
        <v>10</v>
      </c>
      <c r="U1433">
        <v>19.49072</v>
      </c>
      <c r="V1433">
        <v>1160545</v>
      </c>
    </row>
    <row r="1434" spans="1:22" x14ac:dyDescent="0.25">
      <c r="A1434" t="s">
        <v>750</v>
      </c>
      <c r="B1434" t="s">
        <v>751</v>
      </c>
      <c r="C1434">
        <v>148</v>
      </c>
      <c r="D1434">
        <v>99</v>
      </c>
      <c r="E1434">
        <v>99</v>
      </c>
      <c r="F1434" t="s">
        <v>757</v>
      </c>
      <c r="G1434" t="s">
        <v>757</v>
      </c>
      <c r="H1434">
        <f t="shared" si="25"/>
        <v>16</v>
      </c>
      <c r="L1434" t="s">
        <v>758</v>
      </c>
      <c r="M1434">
        <v>-5.9950000000000003E-3</v>
      </c>
      <c r="N1434">
        <v>1679.6826171875</v>
      </c>
      <c r="O1434">
        <v>840.84860000000003</v>
      </c>
      <c r="P1434">
        <v>1679.68859863281</v>
      </c>
      <c r="Q1434">
        <v>840.8515625</v>
      </c>
      <c r="R1434">
        <v>2</v>
      </c>
      <c r="S1434">
        <v>1</v>
      </c>
      <c r="T1434">
        <v>11</v>
      </c>
      <c r="U1434">
        <v>39.544519999999899</v>
      </c>
      <c r="V1434">
        <v>203657.5</v>
      </c>
    </row>
    <row r="1435" spans="1:22" x14ac:dyDescent="0.25">
      <c r="A1435" t="s">
        <v>750</v>
      </c>
      <c r="B1435" t="s">
        <v>751</v>
      </c>
      <c r="C1435">
        <v>2</v>
      </c>
      <c r="D1435">
        <v>99</v>
      </c>
      <c r="E1435">
        <v>99</v>
      </c>
      <c r="F1435" t="s">
        <v>759</v>
      </c>
      <c r="G1435" t="s">
        <v>759</v>
      </c>
      <c r="H1435">
        <f t="shared" si="25"/>
        <v>17</v>
      </c>
      <c r="L1435" t="s">
        <v>227</v>
      </c>
      <c r="M1435" s="1">
        <v>2.5945201050490102E-3</v>
      </c>
      <c r="N1435">
        <v>1966.93322753906</v>
      </c>
      <c r="O1435">
        <v>984.47389999999905</v>
      </c>
      <c r="P1435">
        <v>1966.9306640625</v>
      </c>
      <c r="Q1435">
        <v>984.47259521484295</v>
      </c>
      <c r="R1435">
        <v>2</v>
      </c>
      <c r="S1435">
        <v>1</v>
      </c>
      <c r="T1435">
        <v>12</v>
      </c>
      <c r="U1435">
        <v>33.954050000000002</v>
      </c>
      <c r="V1435">
        <v>115566.8</v>
      </c>
    </row>
    <row r="1436" spans="1:22" x14ac:dyDescent="0.25">
      <c r="A1436" t="s">
        <v>750</v>
      </c>
      <c r="B1436" t="s">
        <v>751</v>
      </c>
      <c r="C1436">
        <v>2</v>
      </c>
      <c r="D1436">
        <v>99</v>
      </c>
      <c r="E1436">
        <v>99</v>
      </c>
      <c r="F1436" t="s">
        <v>760</v>
      </c>
      <c r="G1436" t="s">
        <v>760</v>
      </c>
      <c r="H1436">
        <f t="shared" si="25"/>
        <v>19</v>
      </c>
      <c r="L1436" t="s">
        <v>227</v>
      </c>
      <c r="M1436" s="1">
        <v>3.9546000771224403E-3</v>
      </c>
      <c r="N1436">
        <v>1139.6201171875</v>
      </c>
      <c r="O1436">
        <v>570.81730000000005</v>
      </c>
      <c r="P1436">
        <v>1139.61608886719</v>
      </c>
      <c r="Q1436">
        <v>570.81536865234295</v>
      </c>
      <c r="R1436">
        <v>2</v>
      </c>
      <c r="S1436">
        <v>1</v>
      </c>
      <c r="T1436">
        <v>13</v>
      </c>
      <c r="U1436">
        <v>31.770050000000001</v>
      </c>
      <c r="V1436">
        <v>3689968</v>
      </c>
    </row>
    <row r="1437" spans="1:22" x14ac:dyDescent="0.25">
      <c r="A1437" t="s">
        <v>502</v>
      </c>
      <c r="B1437" t="s">
        <v>503</v>
      </c>
      <c r="C1437">
        <v>463</v>
      </c>
      <c r="D1437">
        <v>99</v>
      </c>
      <c r="E1437">
        <v>99</v>
      </c>
      <c r="F1437" t="s">
        <v>504</v>
      </c>
      <c r="G1437" t="s">
        <v>504</v>
      </c>
      <c r="H1437">
        <f t="shared" si="25"/>
        <v>9</v>
      </c>
      <c r="M1437" s="1">
        <v>2.4969100486487098E-3</v>
      </c>
      <c r="N1437">
        <v>1685.87622070313</v>
      </c>
      <c r="O1437">
        <v>562.96600000000001</v>
      </c>
      <c r="P1437">
        <v>1685.87365722656</v>
      </c>
      <c r="Q1437">
        <v>562.96514892578102</v>
      </c>
      <c r="R1437">
        <v>3</v>
      </c>
      <c r="S1437">
        <v>1</v>
      </c>
      <c r="T1437">
        <v>12</v>
      </c>
      <c r="U1437">
        <v>27.46687</v>
      </c>
      <c r="V1437">
        <v>256963.7</v>
      </c>
    </row>
    <row r="1438" spans="1:22" x14ac:dyDescent="0.25">
      <c r="A1438" t="s">
        <v>502</v>
      </c>
      <c r="B1438" t="s">
        <v>503</v>
      </c>
      <c r="C1438">
        <v>539</v>
      </c>
      <c r="D1438">
        <v>98.6</v>
      </c>
      <c r="E1438">
        <v>98.58</v>
      </c>
      <c r="F1438" t="s">
        <v>4338</v>
      </c>
      <c r="G1438" t="s">
        <v>4338</v>
      </c>
      <c r="H1438">
        <f t="shared" si="25"/>
        <v>9</v>
      </c>
      <c r="M1438" s="1">
        <v>-8.3856498822569708E-3</v>
      </c>
      <c r="N1438">
        <v>1051.60546875</v>
      </c>
      <c r="O1438">
        <v>526.80999999999904</v>
      </c>
      <c r="P1438">
        <v>1051.61376953125</v>
      </c>
      <c r="Q1438">
        <v>526.814208984375</v>
      </c>
      <c r="R1438">
        <v>2</v>
      </c>
      <c r="S1438">
        <v>1</v>
      </c>
      <c r="T1438">
        <v>11</v>
      </c>
      <c r="U1438">
        <v>20.442229999999899</v>
      </c>
      <c r="V1438">
        <v>253636.6</v>
      </c>
    </row>
    <row r="1439" spans="1:22" x14ac:dyDescent="0.25">
      <c r="A1439" t="s">
        <v>502</v>
      </c>
      <c r="B1439" t="s">
        <v>503</v>
      </c>
      <c r="C1439">
        <v>298</v>
      </c>
      <c r="D1439">
        <v>99</v>
      </c>
      <c r="E1439">
        <v>99</v>
      </c>
      <c r="F1439" t="s">
        <v>557</v>
      </c>
      <c r="G1439" t="s">
        <v>557</v>
      </c>
      <c r="H1439">
        <f t="shared" si="25"/>
        <v>9</v>
      </c>
      <c r="M1439" s="1">
        <v>8.8314100867137302E-4</v>
      </c>
      <c r="N1439">
        <v>1075.65112304688</v>
      </c>
      <c r="O1439">
        <v>538.83280000000002</v>
      </c>
      <c r="P1439">
        <v>1075.65026855469</v>
      </c>
      <c r="Q1439">
        <v>538.83239746093705</v>
      </c>
      <c r="R1439">
        <v>2</v>
      </c>
      <c r="S1439">
        <v>4</v>
      </c>
      <c r="T1439">
        <v>11</v>
      </c>
      <c r="U1439">
        <v>33.059379999999898</v>
      </c>
      <c r="V1439">
        <v>183149900</v>
      </c>
    </row>
    <row r="1440" spans="1:22" x14ac:dyDescent="0.25">
      <c r="A1440" t="s">
        <v>324</v>
      </c>
      <c r="B1440" t="s">
        <v>325</v>
      </c>
      <c r="C1440">
        <v>399</v>
      </c>
      <c r="D1440">
        <v>99</v>
      </c>
      <c r="E1440">
        <v>99</v>
      </c>
      <c r="F1440" t="s">
        <v>326</v>
      </c>
      <c r="G1440" t="s">
        <v>326</v>
      </c>
      <c r="H1440">
        <f t="shared" si="25"/>
        <v>8</v>
      </c>
      <c r="L1440" t="s">
        <v>295</v>
      </c>
      <c r="M1440" s="1">
        <v>9.4292704015970091E-3</v>
      </c>
      <c r="N1440">
        <v>1580.67724609375</v>
      </c>
      <c r="O1440">
        <v>791.34590000000003</v>
      </c>
      <c r="P1440">
        <v>1580.66784667969</v>
      </c>
      <c r="Q1440">
        <v>791.34118652343705</v>
      </c>
      <c r="R1440">
        <v>2</v>
      </c>
      <c r="S1440">
        <v>1</v>
      </c>
      <c r="T1440">
        <v>10</v>
      </c>
      <c r="U1440">
        <v>26.887450000000001</v>
      </c>
      <c r="V1440">
        <v>172206.7</v>
      </c>
    </row>
    <row r="1441" spans="1:22" x14ac:dyDescent="0.25">
      <c r="A1441" t="s">
        <v>3935</v>
      </c>
      <c r="B1441" t="s">
        <v>3936</v>
      </c>
      <c r="C1441">
        <v>266</v>
      </c>
      <c r="D1441">
        <v>99</v>
      </c>
      <c r="E1441">
        <v>99</v>
      </c>
      <c r="F1441" t="s">
        <v>416</v>
      </c>
      <c r="G1441" t="s">
        <v>416</v>
      </c>
      <c r="H1441">
        <f t="shared" si="25"/>
        <v>9</v>
      </c>
      <c r="M1441" s="1">
        <v>-4.7795302234590002E-3</v>
      </c>
      <c r="N1441">
        <v>1127.66284179688</v>
      </c>
      <c r="O1441">
        <v>564.83870000000002</v>
      </c>
      <c r="P1441">
        <v>1127.66760253906</v>
      </c>
      <c r="Q1441">
        <v>564.841064453125</v>
      </c>
      <c r="R1441">
        <v>2</v>
      </c>
      <c r="S1441">
        <v>1</v>
      </c>
      <c r="T1441">
        <v>11</v>
      </c>
      <c r="U1441">
        <v>21.6271799999999</v>
      </c>
      <c r="V1441">
        <v>662843.69999999902</v>
      </c>
    </row>
    <row r="1442" spans="1:22" x14ac:dyDescent="0.25">
      <c r="A1442" t="s">
        <v>901</v>
      </c>
      <c r="B1442" t="s">
        <v>902</v>
      </c>
      <c r="C1442">
        <v>28</v>
      </c>
      <c r="D1442">
        <v>99</v>
      </c>
      <c r="E1442">
        <v>99</v>
      </c>
      <c r="F1442" t="s">
        <v>903</v>
      </c>
      <c r="G1442" t="s">
        <v>903</v>
      </c>
      <c r="H1442">
        <f t="shared" si="25"/>
        <v>16</v>
      </c>
      <c r="M1442" s="1">
        <v>5.56311011314392E-3</v>
      </c>
      <c r="N1442">
        <v>1237.69873046875</v>
      </c>
      <c r="O1442">
        <v>619.85659999999905</v>
      </c>
      <c r="P1442">
        <v>1237.69311523438</v>
      </c>
      <c r="Q1442">
        <v>619.85382080078102</v>
      </c>
      <c r="R1442">
        <v>2</v>
      </c>
      <c r="S1442">
        <v>2</v>
      </c>
      <c r="T1442">
        <v>10</v>
      </c>
      <c r="U1442">
        <v>27.509419999999899</v>
      </c>
      <c r="V1442">
        <v>1495365</v>
      </c>
    </row>
    <row r="1443" spans="1:22" x14ac:dyDescent="0.25">
      <c r="A1443" t="s">
        <v>901</v>
      </c>
      <c r="B1443" t="s">
        <v>902</v>
      </c>
      <c r="C1443">
        <v>158</v>
      </c>
      <c r="D1443">
        <v>98</v>
      </c>
      <c r="E1443">
        <v>97.95</v>
      </c>
      <c r="F1443" t="s">
        <v>904</v>
      </c>
      <c r="G1443" t="s">
        <v>904</v>
      </c>
      <c r="H1443">
        <f t="shared" si="25"/>
        <v>16</v>
      </c>
      <c r="M1443" s="1">
        <v>-6.2305098399519903E-3</v>
      </c>
      <c r="N1443">
        <v>1185.66687011719</v>
      </c>
      <c r="O1443">
        <v>593.84069999999895</v>
      </c>
      <c r="P1443">
        <v>1185.67309570313</v>
      </c>
      <c r="Q1443">
        <v>593.84381103515602</v>
      </c>
      <c r="R1443">
        <v>2</v>
      </c>
      <c r="S1443">
        <v>2</v>
      </c>
      <c r="T1443">
        <v>11</v>
      </c>
      <c r="U1443">
        <v>18.991779999999899</v>
      </c>
      <c r="V1443">
        <v>2611220</v>
      </c>
    </row>
    <row r="1444" spans="1:22" x14ac:dyDescent="0.25">
      <c r="A1444" t="s">
        <v>886</v>
      </c>
      <c r="B1444" t="s">
        <v>887</v>
      </c>
      <c r="C1444">
        <v>494</v>
      </c>
      <c r="D1444">
        <v>98.7</v>
      </c>
      <c r="E1444">
        <v>98.68</v>
      </c>
      <c r="F1444" t="s">
        <v>888</v>
      </c>
      <c r="G1444" t="s">
        <v>888</v>
      </c>
      <c r="H1444">
        <f t="shared" si="25"/>
        <v>9</v>
      </c>
      <c r="L1444" t="s">
        <v>47</v>
      </c>
      <c r="M1444" s="1">
        <v>5.1518301479518301E-3</v>
      </c>
      <c r="N1444">
        <v>2029.10083007813</v>
      </c>
      <c r="O1444">
        <v>677.37419999999895</v>
      </c>
      <c r="P1444">
        <v>2029.09558105469</v>
      </c>
      <c r="Q1444">
        <v>677.37249755859295</v>
      </c>
      <c r="R1444">
        <v>3</v>
      </c>
      <c r="S1444">
        <v>2</v>
      </c>
      <c r="T1444">
        <v>19</v>
      </c>
      <c r="U1444">
        <v>36.66807</v>
      </c>
      <c r="V1444">
        <v>722799.1</v>
      </c>
    </row>
    <row r="1445" spans="1:22" x14ac:dyDescent="0.25">
      <c r="A1445" t="s">
        <v>69</v>
      </c>
      <c r="B1445" t="s">
        <v>70</v>
      </c>
      <c r="C1445">
        <v>206</v>
      </c>
      <c r="D1445">
        <v>99</v>
      </c>
      <c r="E1445">
        <v>99</v>
      </c>
      <c r="F1445" t="s">
        <v>1885</v>
      </c>
      <c r="G1445" t="s">
        <v>1885</v>
      </c>
      <c r="H1445">
        <f t="shared" si="25"/>
        <v>10</v>
      </c>
      <c r="M1445" s="1">
        <v>1.8567399820312901E-3</v>
      </c>
      <c r="N1445">
        <v>1714.97827148438</v>
      </c>
      <c r="O1445">
        <v>572.66669999999897</v>
      </c>
      <c r="P1445">
        <v>1714.97631835938</v>
      </c>
      <c r="Q1445">
        <v>572.66607666015602</v>
      </c>
      <c r="R1445">
        <v>3</v>
      </c>
      <c r="S1445">
        <v>1</v>
      </c>
      <c r="T1445">
        <v>13</v>
      </c>
      <c r="U1445">
        <v>48.257530000000003</v>
      </c>
      <c r="V1445">
        <v>171712.5</v>
      </c>
    </row>
    <row r="1446" spans="1:22" x14ac:dyDescent="0.25">
      <c r="A1446" t="s">
        <v>69</v>
      </c>
      <c r="B1446" t="s">
        <v>70</v>
      </c>
      <c r="C1446">
        <v>206</v>
      </c>
      <c r="D1446">
        <v>99</v>
      </c>
      <c r="E1446">
        <v>99</v>
      </c>
      <c r="F1446" t="s">
        <v>1886</v>
      </c>
      <c r="G1446" t="s">
        <v>1886</v>
      </c>
      <c r="H1446">
        <f t="shared" si="25"/>
        <v>11</v>
      </c>
      <c r="M1446" s="1">
        <v>5.3307302296161704E-3</v>
      </c>
      <c r="N1446">
        <v>1071.61303710938</v>
      </c>
      <c r="O1446">
        <v>536.81380000000001</v>
      </c>
      <c r="P1446">
        <v>1071.60766601563</v>
      </c>
      <c r="Q1446">
        <v>536.81109619140602</v>
      </c>
      <c r="R1446">
        <v>2</v>
      </c>
      <c r="S1446">
        <v>3</v>
      </c>
      <c r="T1446">
        <v>10</v>
      </c>
      <c r="U1446">
        <v>46.729059999999897</v>
      </c>
      <c r="V1446">
        <v>144296.799999999</v>
      </c>
    </row>
    <row r="1447" spans="1:22" x14ac:dyDescent="0.25">
      <c r="A1447" t="s">
        <v>2928</v>
      </c>
      <c r="B1447" t="s">
        <v>2929</v>
      </c>
      <c r="C1447">
        <v>413</v>
      </c>
      <c r="D1447">
        <v>99</v>
      </c>
      <c r="E1447">
        <v>99</v>
      </c>
      <c r="F1447" t="s">
        <v>2930</v>
      </c>
      <c r="G1447" t="s">
        <v>2930</v>
      </c>
      <c r="H1447">
        <f t="shared" si="25"/>
        <v>18</v>
      </c>
      <c r="M1447" s="1">
        <v>6.1807601014152202E-4</v>
      </c>
      <c r="N1447">
        <v>1208.66723632813</v>
      </c>
      <c r="O1447">
        <v>605.34090000000003</v>
      </c>
      <c r="P1447">
        <v>1208.66662597656</v>
      </c>
      <c r="Q1447">
        <v>605.340576171875</v>
      </c>
      <c r="R1447">
        <v>2</v>
      </c>
      <c r="S1447">
        <v>2</v>
      </c>
      <c r="T1447">
        <v>11</v>
      </c>
      <c r="U1447">
        <v>37.84845</v>
      </c>
      <c r="V1447">
        <v>278455.3</v>
      </c>
    </row>
    <row r="1448" spans="1:22" x14ac:dyDescent="0.25">
      <c r="A1448" t="s">
        <v>2928</v>
      </c>
      <c r="B1448" t="s">
        <v>2929</v>
      </c>
      <c r="C1448">
        <v>366</v>
      </c>
      <c r="D1448">
        <v>99</v>
      </c>
      <c r="E1448">
        <v>99</v>
      </c>
      <c r="F1448" t="s">
        <v>2931</v>
      </c>
      <c r="G1448" t="s">
        <v>2931</v>
      </c>
      <c r="H1448">
        <f t="shared" si="25"/>
        <v>14</v>
      </c>
      <c r="M1448">
        <v>8.6700000000000004E-4</v>
      </c>
      <c r="N1448">
        <v>1131.6884765625</v>
      </c>
      <c r="O1448">
        <v>378.23680000000002</v>
      </c>
      <c r="P1448">
        <v>1131.68762207031</v>
      </c>
      <c r="Q1448">
        <v>378.23651123046801</v>
      </c>
      <c r="R1448">
        <v>3</v>
      </c>
      <c r="S1448">
        <v>5</v>
      </c>
      <c r="T1448">
        <v>11</v>
      </c>
      <c r="U1448">
        <v>28.027080000000002</v>
      </c>
      <c r="V1448">
        <v>1545297</v>
      </c>
    </row>
    <row r="1449" spans="1:22" x14ac:dyDescent="0.25">
      <c r="A1449" t="s">
        <v>1314</v>
      </c>
      <c r="B1449" t="s">
        <v>1315</v>
      </c>
      <c r="C1449">
        <v>86</v>
      </c>
      <c r="D1449">
        <v>99</v>
      </c>
      <c r="E1449">
        <v>99</v>
      </c>
      <c r="F1449" t="s">
        <v>1316</v>
      </c>
      <c r="G1449" t="s">
        <v>1316</v>
      </c>
      <c r="H1449">
        <f t="shared" si="25"/>
        <v>16</v>
      </c>
      <c r="M1449" s="1">
        <v>2.11885999306105E-4</v>
      </c>
      <c r="N1449">
        <v>1129.70861816406</v>
      </c>
      <c r="O1449">
        <v>377.57679999999903</v>
      </c>
      <c r="P1449">
        <v>1129.70837402344</v>
      </c>
      <c r="Q1449">
        <v>377.57675170898301</v>
      </c>
      <c r="R1449">
        <v>3</v>
      </c>
      <c r="S1449">
        <v>3</v>
      </c>
      <c r="T1449">
        <v>11</v>
      </c>
      <c r="U1449">
        <v>24.002230000000001</v>
      </c>
      <c r="V1449">
        <v>12626750</v>
      </c>
    </row>
    <row r="1450" spans="1:22" x14ac:dyDescent="0.25">
      <c r="A1450" t="s">
        <v>1314</v>
      </c>
      <c r="B1450" t="s">
        <v>1315</v>
      </c>
      <c r="C1450">
        <v>154</v>
      </c>
      <c r="D1450">
        <v>98.4</v>
      </c>
      <c r="E1450">
        <v>98.42</v>
      </c>
      <c r="F1450" t="s">
        <v>1317</v>
      </c>
      <c r="G1450" t="s">
        <v>1317</v>
      </c>
      <c r="H1450">
        <f t="shared" si="25"/>
        <v>15</v>
      </c>
      <c r="M1450" s="1">
        <v>9.0008601546287504E-4</v>
      </c>
      <c r="N1450">
        <v>1157.68896484375</v>
      </c>
      <c r="O1450">
        <v>386.90359999999902</v>
      </c>
      <c r="P1450">
        <v>1157.68811035156</v>
      </c>
      <c r="Q1450">
        <v>386.90328979492102</v>
      </c>
      <c r="R1450">
        <v>3</v>
      </c>
      <c r="S1450">
        <v>1</v>
      </c>
      <c r="T1450">
        <v>10</v>
      </c>
      <c r="U1450">
        <v>20.976299999999899</v>
      </c>
      <c r="V1450">
        <v>470391.1</v>
      </c>
    </row>
    <row r="1451" spans="1:22" x14ac:dyDescent="0.25">
      <c r="A1451" t="s">
        <v>1314</v>
      </c>
      <c r="B1451" t="s">
        <v>1315</v>
      </c>
      <c r="C1451">
        <v>237</v>
      </c>
      <c r="D1451">
        <v>99</v>
      </c>
      <c r="E1451">
        <v>99</v>
      </c>
      <c r="F1451" t="s">
        <v>1318</v>
      </c>
      <c r="G1451" t="s">
        <v>1318</v>
      </c>
      <c r="H1451">
        <f t="shared" si="25"/>
        <v>15</v>
      </c>
      <c r="M1451" s="1">
        <v>6.35593989863992E-3</v>
      </c>
      <c r="N1451">
        <v>1126.60864257813</v>
      </c>
      <c r="O1451">
        <v>564.3116</v>
      </c>
      <c r="P1451">
        <v>1126.60229492188</v>
      </c>
      <c r="Q1451">
        <v>564.30841064453102</v>
      </c>
      <c r="R1451">
        <v>2</v>
      </c>
      <c r="S1451">
        <v>5</v>
      </c>
      <c r="T1451">
        <v>9</v>
      </c>
      <c r="U1451">
        <v>40.53698</v>
      </c>
      <c r="V1451">
        <v>954095</v>
      </c>
    </row>
    <row r="1452" spans="1:22" x14ac:dyDescent="0.25">
      <c r="A1452" t="s">
        <v>3818</v>
      </c>
      <c r="B1452" t="s">
        <v>3819</v>
      </c>
      <c r="C1452">
        <v>191</v>
      </c>
      <c r="D1452">
        <v>98.4</v>
      </c>
      <c r="E1452">
        <v>98.4</v>
      </c>
      <c r="F1452" t="s">
        <v>3820</v>
      </c>
      <c r="G1452" t="s">
        <v>3820</v>
      </c>
      <c r="H1452">
        <f t="shared" si="25"/>
        <v>16</v>
      </c>
      <c r="M1452" s="1">
        <v>6.22976990416646E-3</v>
      </c>
      <c r="N1452">
        <v>1127.57861328125</v>
      </c>
      <c r="O1452">
        <v>564.79660000000001</v>
      </c>
      <c r="P1452">
        <v>1127.57238769531</v>
      </c>
      <c r="Q1452">
        <v>564.79345703125</v>
      </c>
      <c r="R1452">
        <v>2</v>
      </c>
      <c r="S1452">
        <v>4</v>
      </c>
      <c r="T1452">
        <v>12</v>
      </c>
      <c r="U1452">
        <v>27.49015</v>
      </c>
      <c r="V1452">
        <v>11041570</v>
      </c>
    </row>
    <row r="1453" spans="1:22" x14ac:dyDescent="0.25">
      <c r="A1453" t="s">
        <v>3906</v>
      </c>
      <c r="B1453" t="s">
        <v>3907</v>
      </c>
      <c r="C1453">
        <v>166</v>
      </c>
      <c r="D1453">
        <v>99</v>
      </c>
      <c r="E1453">
        <v>99</v>
      </c>
      <c r="F1453" t="s">
        <v>3908</v>
      </c>
      <c r="G1453" t="s">
        <v>3908</v>
      </c>
      <c r="H1453">
        <f t="shared" si="25"/>
        <v>15</v>
      </c>
      <c r="M1453" s="1">
        <v>3.46696004271507E-3</v>
      </c>
      <c r="N1453">
        <v>1011.51727294922</v>
      </c>
      <c r="O1453">
        <v>506.76589999999902</v>
      </c>
      <c r="P1453">
        <v>1011.51379394531</v>
      </c>
      <c r="Q1453">
        <v>506.76416015625</v>
      </c>
      <c r="R1453">
        <v>2</v>
      </c>
      <c r="S1453">
        <v>2</v>
      </c>
      <c r="T1453">
        <v>12</v>
      </c>
      <c r="U1453">
        <v>23.122450000000001</v>
      </c>
      <c r="V1453">
        <v>622476.6</v>
      </c>
    </row>
    <row r="1454" spans="1:22" x14ac:dyDescent="0.25">
      <c r="A1454" t="s">
        <v>3136</v>
      </c>
      <c r="B1454" t="s">
        <v>3137</v>
      </c>
      <c r="C1454">
        <v>262</v>
      </c>
      <c r="D1454">
        <v>98.6</v>
      </c>
      <c r="E1454">
        <v>98.61</v>
      </c>
      <c r="F1454" t="s">
        <v>3138</v>
      </c>
      <c r="G1454" t="s">
        <v>3138</v>
      </c>
      <c r="H1454">
        <f t="shared" si="25"/>
        <v>9</v>
      </c>
      <c r="M1454" s="1">
        <v>-1.65641994681209E-3</v>
      </c>
      <c r="N1454">
        <v>1569.8134765625</v>
      </c>
      <c r="O1454">
        <v>785.91399999999896</v>
      </c>
      <c r="P1454">
        <v>1569.81506347656</v>
      </c>
      <c r="Q1454">
        <v>785.91485595703102</v>
      </c>
      <c r="R1454">
        <v>2</v>
      </c>
      <c r="S1454">
        <v>1</v>
      </c>
      <c r="T1454">
        <v>12</v>
      </c>
      <c r="U1454">
        <v>24.748270000000002</v>
      </c>
      <c r="V1454">
        <v>176936.3</v>
      </c>
    </row>
    <row r="1455" spans="1:22" x14ac:dyDescent="0.25">
      <c r="A1455" t="s">
        <v>3136</v>
      </c>
      <c r="B1455" t="s">
        <v>3137</v>
      </c>
      <c r="C1455">
        <v>1507</v>
      </c>
      <c r="D1455">
        <v>98.5</v>
      </c>
      <c r="E1455">
        <v>98.5</v>
      </c>
      <c r="F1455" t="s">
        <v>278</v>
      </c>
      <c r="G1455" t="s">
        <v>278</v>
      </c>
      <c r="H1455">
        <f t="shared" si="25"/>
        <v>9</v>
      </c>
      <c r="M1455" s="1">
        <v>2.8559700585901598E-3</v>
      </c>
      <c r="N1455">
        <v>1043.61901855469</v>
      </c>
      <c r="O1455">
        <v>522.81679999999903</v>
      </c>
      <c r="P1455">
        <v>1043.61608886719</v>
      </c>
      <c r="Q1455">
        <v>522.81536865234295</v>
      </c>
      <c r="R1455">
        <v>2</v>
      </c>
      <c r="S1455">
        <v>1</v>
      </c>
      <c r="T1455">
        <v>10</v>
      </c>
      <c r="U1455">
        <v>26.30508</v>
      </c>
      <c r="V1455">
        <v>3296733</v>
      </c>
    </row>
    <row r="1456" spans="1:22" x14ac:dyDescent="0.25">
      <c r="A1456" t="s">
        <v>2612</v>
      </c>
      <c r="B1456" t="s">
        <v>2613</v>
      </c>
      <c r="C1456">
        <v>398</v>
      </c>
      <c r="D1456">
        <v>99</v>
      </c>
      <c r="E1456">
        <v>99</v>
      </c>
      <c r="F1456" t="s">
        <v>2614</v>
      </c>
      <c r="G1456" t="s">
        <v>2614</v>
      </c>
      <c r="H1456">
        <f t="shared" si="25"/>
        <v>8</v>
      </c>
      <c r="M1456" s="1">
        <v>4.98253991827369E-3</v>
      </c>
      <c r="N1456">
        <v>1397.82922363281</v>
      </c>
      <c r="O1456">
        <v>699.92190000000005</v>
      </c>
      <c r="P1456">
        <v>1397.82421875</v>
      </c>
      <c r="Q1456">
        <v>699.91937255859295</v>
      </c>
      <c r="R1456">
        <v>2</v>
      </c>
      <c r="S1456">
        <v>1</v>
      </c>
      <c r="T1456">
        <v>12</v>
      </c>
      <c r="U1456">
        <v>50.562330000000003</v>
      </c>
      <c r="V1456">
        <v>173195.2</v>
      </c>
    </row>
    <row r="1457" spans="1:22" x14ac:dyDescent="0.25">
      <c r="A1457" t="s">
        <v>4232</v>
      </c>
      <c r="B1457" t="s">
        <v>4233</v>
      </c>
      <c r="C1457">
        <v>2</v>
      </c>
      <c r="D1457">
        <v>99</v>
      </c>
      <c r="E1457">
        <v>99</v>
      </c>
      <c r="F1457" t="s">
        <v>585</v>
      </c>
      <c r="G1457" t="s">
        <v>585</v>
      </c>
      <c r="H1457">
        <f t="shared" si="25"/>
        <v>9</v>
      </c>
      <c r="M1457" s="1">
        <v>7.2605800814926503E-3</v>
      </c>
      <c r="N1457">
        <v>1569.79992675781</v>
      </c>
      <c r="O1457">
        <v>785.90719999999897</v>
      </c>
      <c r="P1457">
        <v>1569.79260253906</v>
      </c>
      <c r="Q1457">
        <v>785.90362548828102</v>
      </c>
      <c r="R1457">
        <v>2</v>
      </c>
      <c r="S1457">
        <v>1</v>
      </c>
      <c r="T1457">
        <v>8</v>
      </c>
      <c r="U1457">
        <v>33.13447</v>
      </c>
      <c r="V1457">
        <v>156899.5</v>
      </c>
    </row>
    <row r="1458" spans="1:22" x14ac:dyDescent="0.25">
      <c r="A1458" t="s">
        <v>4232</v>
      </c>
      <c r="B1458" t="s">
        <v>4233</v>
      </c>
      <c r="C1458">
        <v>26</v>
      </c>
      <c r="D1458">
        <v>98.7</v>
      </c>
      <c r="E1458">
        <v>98.69</v>
      </c>
      <c r="F1458" t="s">
        <v>4234</v>
      </c>
      <c r="G1458" t="s">
        <v>4234</v>
      </c>
      <c r="H1458">
        <f t="shared" si="25"/>
        <v>9</v>
      </c>
      <c r="M1458" s="1">
        <v>4.7048400156199802E-3</v>
      </c>
      <c r="N1458">
        <v>2027.07348632813</v>
      </c>
      <c r="O1458">
        <v>1014.544</v>
      </c>
      <c r="P1458">
        <v>2027.06872558594</v>
      </c>
      <c r="Q1458">
        <v>1014.54162597656</v>
      </c>
      <c r="R1458">
        <v>2</v>
      </c>
      <c r="S1458">
        <v>2</v>
      </c>
      <c r="T1458">
        <v>16</v>
      </c>
      <c r="U1458">
        <v>53.057499999999898</v>
      </c>
      <c r="V1458">
        <v>425475.6</v>
      </c>
    </row>
    <row r="1459" spans="1:22" x14ac:dyDescent="0.25">
      <c r="A1459" t="s">
        <v>4232</v>
      </c>
      <c r="B1459" t="s">
        <v>4233</v>
      </c>
      <c r="C1459">
        <v>2</v>
      </c>
      <c r="D1459">
        <v>99</v>
      </c>
      <c r="E1459">
        <v>98.95</v>
      </c>
      <c r="F1459" t="s">
        <v>585</v>
      </c>
      <c r="G1459" t="s">
        <v>585</v>
      </c>
      <c r="H1459">
        <f t="shared" si="25"/>
        <v>9</v>
      </c>
      <c r="L1459" t="s">
        <v>116</v>
      </c>
      <c r="M1459" s="1">
        <v>1.1893399991095101E-2</v>
      </c>
      <c r="N1459">
        <v>1983.908203125</v>
      </c>
      <c r="O1459">
        <v>662.31</v>
      </c>
      <c r="P1459">
        <v>1983.89624023438</v>
      </c>
      <c r="Q1459">
        <v>662.30603027343705</v>
      </c>
      <c r="R1459">
        <v>3</v>
      </c>
      <c r="S1459">
        <v>1</v>
      </c>
      <c r="T1459">
        <v>12</v>
      </c>
      <c r="U1459">
        <v>35.454360000000001</v>
      </c>
      <c r="V1459">
        <v>163285.9</v>
      </c>
    </row>
    <row r="1460" spans="1:22" x14ac:dyDescent="0.25">
      <c r="A1460" t="s">
        <v>3519</v>
      </c>
      <c r="B1460" t="s">
        <v>3520</v>
      </c>
      <c r="C1460">
        <v>490</v>
      </c>
      <c r="D1460">
        <v>99</v>
      </c>
      <c r="E1460">
        <v>99</v>
      </c>
      <c r="F1460" t="s">
        <v>3521</v>
      </c>
      <c r="G1460" t="s">
        <v>3521</v>
      </c>
      <c r="H1460">
        <f t="shared" si="25"/>
        <v>14</v>
      </c>
      <c r="M1460" s="1">
        <v>3.4250400494784E-3</v>
      </c>
      <c r="N1460">
        <v>995.56207275390602</v>
      </c>
      <c r="O1460">
        <v>498.78829999999903</v>
      </c>
      <c r="P1460">
        <v>995.55859375</v>
      </c>
      <c r="Q1460">
        <v>498.78659057617102</v>
      </c>
      <c r="R1460">
        <v>2</v>
      </c>
      <c r="S1460">
        <v>3</v>
      </c>
      <c r="T1460">
        <v>13</v>
      </c>
      <c r="U1460">
        <v>25.3355999999999</v>
      </c>
      <c r="V1460">
        <v>2237746</v>
      </c>
    </row>
    <row r="1461" spans="1:22" x14ac:dyDescent="0.25">
      <c r="A1461" t="s">
        <v>3519</v>
      </c>
      <c r="B1461" t="s">
        <v>3520</v>
      </c>
      <c r="C1461">
        <v>490</v>
      </c>
      <c r="D1461">
        <v>98.2</v>
      </c>
      <c r="E1461">
        <v>98.15</v>
      </c>
      <c r="F1461" t="s">
        <v>3522</v>
      </c>
      <c r="G1461" t="s">
        <v>3522</v>
      </c>
      <c r="H1461">
        <f t="shared" si="25"/>
        <v>10</v>
      </c>
      <c r="M1461" s="1">
        <v>6.8424497731029901E-3</v>
      </c>
      <c r="N1461">
        <v>1137.66149902344</v>
      </c>
      <c r="O1461">
        <v>569.83799999999906</v>
      </c>
      <c r="P1461">
        <v>1137.65466308594</v>
      </c>
      <c r="Q1461">
        <v>569.83459472656205</v>
      </c>
      <c r="R1461">
        <v>2</v>
      </c>
      <c r="S1461">
        <v>4</v>
      </c>
      <c r="T1461">
        <v>11</v>
      </c>
      <c r="U1461">
        <v>44.767530000000001</v>
      </c>
      <c r="V1461">
        <v>128067.6</v>
      </c>
    </row>
    <row r="1462" spans="1:22" x14ac:dyDescent="0.25">
      <c r="A1462" t="s">
        <v>3519</v>
      </c>
      <c r="B1462" t="s">
        <v>3520</v>
      </c>
      <c r="C1462">
        <v>490</v>
      </c>
      <c r="D1462">
        <v>99</v>
      </c>
      <c r="E1462">
        <v>99</v>
      </c>
      <c r="F1462" t="s">
        <v>3523</v>
      </c>
      <c r="G1462" t="s">
        <v>3523</v>
      </c>
      <c r="H1462">
        <f t="shared" si="25"/>
        <v>17</v>
      </c>
      <c r="M1462" s="1">
        <v>9.2971501871943509E-3</v>
      </c>
      <c r="N1462">
        <v>1745.05444335938</v>
      </c>
      <c r="O1462">
        <v>582.69209999999896</v>
      </c>
      <c r="P1462">
        <v>1745.04516601563</v>
      </c>
      <c r="Q1462">
        <v>582.68896484375</v>
      </c>
      <c r="R1462">
        <v>3</v>
      </c>
      <c r="S1462">
        <v>1</v>
      </c>
      <c r="T1462">
        <v>11</v>
      </c>
      <c r="U1462">
        <v>41.887</v>
      </c>
      <c r="V1462">
        <v>204908.2</v>
      </c>
    </row>
    <row r="1463" spans="1:22" x14ac:dyDescent="0.25">
      <c r="A1463" t="s">
        <v>3519</v>
      </c>
      <c r="B1463" t="s">
        <v>3520</v>
      </c>
      <c r="C1463">
        <v>508</v>
      </c>
      <c r="D1463">
        <v>99</v>
      </c>
      <c r="E1463">
        <v>99</v>
      </c>
      <c r="F1463" t="s">
        <v>3524</v>
      </c>
      <c r="G1463" t="s">
        <v>3524</v>
      </c>
      <c r="H1463">
        <f t="shared" si="25"/>
        <v>12</v>
      </c>
      <c r="M1463" s="1">
        <v>4.2554000392556104E-3</v>
      </c>
      <c r="N1463">
        <v>984.648681640625</v>
      </c>
      <c r="O1463">
        <v>493.33159999999901</v>
      </c>
      <c r="P1463">
        <v>984.64440917968705</v>
      </c>
      <c r="Q1463">
        <v>493.32946777343801</v>
      </c>
      <c r="R1463">
        <v>2</v>
      </c>
      <c r="S1463">
        <v>2</v>
      </c>
      <c r="T1463">
        <v>10</v>
      </c>
      <c r="U1463">
        <v>24.5371799999999</v>
      </c>
      <c r="V1463">
        <v>756130.2</v>
      </c>
    </row>
    <row r="1464" spans="1:22" x14ac:dyDescent="0.25">
      <c r="A1464" t="s">
        <v>3105</v>
      </c>
      <c r="B1464" t="s">
        <v>3106</v>
      </c>
      <c r="C1464">
        <v>177</v>
      </c>
      <c r="D1464">
        <v>99</v>
      </c>
      <c r="E1464">
        <v>99</v>
      </c>
      <c r="F1464" t="s">
        <v>3107</v>
      </c>
      <c r="G1464" t="s">
        <v>3107</v>
      </c>
      <c r="H1464">
        <f t="shared" si="25"/>
        <v>9</v>
      </c>
      <c r="M1464" s="1">
        <v>3.3234099391847801E-3</v>
      </c>
      <c r="N1464">
        <v>1711.90393066406</v>
      </c>
      <c r="O1464">
        <v>571.64189999999905</v>
      </c>
      <c r="P1464">
        <v>1711.90051269531</v>
      </c>
      <c r="Q1464">
        <v>571.64080810546795</v>
      </c>
      <c r="R1464">
        <v>3</v>
      </c>
      <c r="S1464">
        <v>1</v>
      </c>
      <c r="T1464">
        <v>14</v>
      </c>
      <c r="U1464">
        <v>28.85022</v>
      </c>
      <c r="V1464">
        <v>900910.6</v>
      </c>
    </row>
    <row r="1465" spans="1:22" x14ac:dyDescent="0.25">
      <c r="A1465" t="s">
        <v>2158</v>
      </c>
      <c r="B1465" t="s">
        <v>2159</v>
      </c>
      <c r="C1465">
        <v>205</v>
      </c>
      <c r="D1465">
        <v>99</v>
      </c>
      <c r="E1465">
        <v>99</v>
      </c>
      <c r="F1465" t="s">
        <v>2160</v>
      </c>
      <c r="G1465" t="s">
        <v>2160</v>
      </c>
      <c r="H1465">
        <f t="shared" si="25"/>
        <v>9</v>
      </c>
      <c r="M1465" s="1">
        <v>3.9366898126900101E-3</v>
      </c>
      <c r="N1465">
        <v>1487.82348632813</v>
      </c>
      <c r="O1465">
        <v>744.91899999999896</v>
      </c>
      <c r="P1465">
        <v>1487.81958007813</v>
      </c>
      <c r="Q1465">
        <v>744.91705322265602</v>
      </c>
      <c r="R1465">
        <v>2</v>
      </c>
      <c r="S1465">
        <v>1</v>
      </c>
      <c r="T1465">
        <v>10</v>
      </c>
      <c r="U1465">
        <v>36.26905</v>
      </c>
      <c r="V1465">
        <v>253598.2</v>
      </c>
    </row>
    <row r="1466" spans="1:22" x14ac:dyDescent="0.25">
      <c r="A1466" t="s">
        <v>1012</v>
      </c>
      <c r="B1466" t="s">
        <v>1013</v>
      </c>
      <c r="C1466">
        <v>1017</v>
      </c>
      <c r="D1466">
        <v>98.3</v>
      </c>
      <c r="E1466">
        <v>98.26</v>
      </c>
      <c r="F1466" t="s">
        <v>1014</v>
      </c>
      <c r="G1466" t="s">
        <v>1014</v>
      </c>
      <c r="H1466">
        <f t="shared" si="25"/>
        <v>9</v>
      </c>
      <c r="M1466">
        <v>7.9970000000000006E-3</v>
      </c>
      <c r="N1466">
        <v>1121.57971191406</v>
      </c>
      <c r="O1466">
        <v>561.7971</v>
      </c>
      <c r="P1466">
        <v>1121.57165527344</v>
      </c>
      <c r="Q1466">
        <v>561.79309082031205</v>
      </c>
      <c r="R1466">
        <v>2</v>
      </c>
      <c r="S1466">
        <v>1</v>
      </c>
      <c r="T1466">
        <v>11</v>
      </c>
      <c r="U1466">
        <v>28.375330000000002</v>
      </c>
      <c r="V1466">
        <v>418072.9</v>
      </c>
    </row>
    <row r="1467" spans="1:22" x14ac:dyDescent="0.25">
      <c r="A1467" t="s">
        <v>1012</v>
      </c>
      <c r="B1467" t="s">
        <v>1013</v>
      </c>
      <c r="C1467">
        <v>828</v>
      </c>
      <c r="D1467">
        <v>99</v>
      </c>
      <c r="E1467">
        <v>99</v>
      </c>
      <c r="F1467" t="s">
        <v>1015</v>
      </c>
      <c r="G1467" t="s">
        <v>1015</v>
      </c>
      <c r="H1467">
        <f t="shared" si="25"/>
        <v>9</v>
      </c>
      <c r="M1467" s="1">
        <v>-5.10186981409787E-3</v>
      </c>
      <c r="N1467">
        <v>964.56549072265602</v>
      </c>
      <c r="O1467">
        <v>483.29</v>
      </c>
      <c r="P1467">
        <v>964.570556640625</v>
      </c>
      <c r="Q1467">
        <v>483.29257202148301</v>
      </c>
      <c r="R1467">
        <v>2</v>
      </c>
      <c r="S1467">
        <v>2</v>
      </c>
      <c r="T1467">
        <v>15</v>
      </c>
      <c r="U1467">
        <v>18.34468</v>
      </c>
      <c r="V1467">
        <v>470935.3</v>
      </c>
    </row>
    <row r="1468" spans="1:22" x14ac:dyDescent="0.25">
      <c r="A1468" t="s">
        <v>3773</v>
      </c>
      <c r="B1468" t="s">
        <v>3774</v>
      </c>
      <c r="C1468">
        <v>602</v>
      </c>
      <c r="D1468">
        <v>99</v>
      </c>
      <c r="E1468">
        <v>99</v>
      </c>
      <c r="F1468" t="s">
        <v>3775</v>
      </c>
      <c r="G1468" t="s">
        <v>3775</v>
      </c>
      <c r="H1468">
        <f t="shared" si="25"/>
        <v>9</v>
      </c>
      <c r="M1468" s="1">
        <v>3.3882400020957002E-3</v>
      </c>
      <c r="N1468">
        <v>1846.986328125</v>
      </c>
      <c r="O1468">
        <v>616.6694</v>
      </c>
      <c r="P1468">
        <v>1846.98291015625</v>
      </c>
      <c r="Q1468">
        <v>616.668212890625</v>
      </c>
      <c r="R1468">
        <v>3</v>
      </c>
      <c r="S1468">
        <v>3</v>
      </c>
      <c r="T1468">
        <v>16</v>
      </c>
      <c r="U1468">
        <v>38.365220000000001</v>
      </c>
      <c r="V1468">
        <v>217412.2</v>
      </c>
    </row>
    <row r="1469" spans="1:22" x14ac:dyDescent="0.25">
      <c r="A1469" t="s">
        <v>4103</v>
      </c>
      <c r="B1469" t="s">
        <v>4104</v>
      </c>
      <c r="C1469">
        <v>346</v>
      </c>
      <c r="D1469">
        <v>99</v>
      </c>
      <c r="E1469">
        <v>99</v>
      </c>
      <c r="F1469" t="s">
        <v>4105</v>
      </c>
      <c r="G1469" t="s">
        <v>4105</v>
      </c>
      <c r="H1469">
        <f t="shared" si="25"/>
        <v>16</v>
      </c>
      <c r="M1469">
        <v>2.4610000000000001E-3</v>
      </c>
      <c r="N1469">
        <v>1912.98937988281</v>
      </c>
      <c r="O1469">
        <v>638.67039999999895</v>
      </c>
      <c r="P1469">
        <v>1912.98693847656</v>
      </c>
      <c r="Q1469">
        <v>638.66961669921795</v>
      </c>
      <c r="R1469">
        <v>3</v>
      </c>
      <c r="S1469">
        <v>2</v>
      </c>
      <c r="T1469">
        <v>14</v>
      </c>
      <c r="U1469">
        <v>32.120750000000001</v>
      </c>
      <c r="V1469">
        <v>267080.7</v>
      </c>
    </row>
    <row r="1470" spans="1:22" x14ac:dyDescent="0.25">
      <c r="A1470" t="s">
        <v>4103</v>
      </c>
      <c r="B1470" t="s">
        <v>4104</v>
      </c>
      <c r="C1470">
        <v>491</v>
      </c>
      <c r="D1470">
        <v>98.1</v>
      </c>
      <c r="E1470">
        <v>98.13</v>
      </c>
      <c r="F1470" t="s">
        <v>4106</v>
      </c>
      <c r="G1470" t="s">
        <v>4106</v>
      </c>
      <c r="H1470">
        <f t="shared" si="25"/>
        <v>17</v>
      </c>
      <c r="M1470" s="1">
        <v>1.35730998590589E-3</v>
      </c>
      <c r="N1470">
        <v>1618.90563964844</v>
      </c>
      <c r="O1470">
        <v>810.46010000000001</v>
      </c>
      <c r="P1470">
        <v>1618.904296875</v>
      </c>
      <c r="Q1470">
        <v>810.45941162109295</v>
      </c>
      <c r="R1470">
        <v>2</v>
      </c>
      <c r="S1470">
        <v>1</v>
      </c>
      <c r="T1470">
        <v>8</v>
      </c>
      <c r="U1470">
        <v>23.892679999999899</v>
      </c>
      <c r="V1470">
        <v>115297.1</v>
      </c>
    </row>
    <row r="1471" spans="1:22" x14ac:dyDescent="0.25">
      <c r="A1471" t="s">
        <v>4103</v>
      </c>
      <c r="B1471" t="s">
        <v>4104</v>
      </c>
      <c r="C1471">
        <v>347</v>
      </c>
      <c r="D1471">
        <v>99</v>
      </c>
      <c r="E1471">
        <v>99</v>
      </c>
      <c r="F1471" t="s">
        <v>4107</v>
      </c>
      <c r="G1471" t="s">
        <v>4107</v>
      </c>
      <c r="H1471">
        <f t="shared" si="25"/>
        <v>15</v>
      </c>
      <c r="M1471" s="1">
        <v>2.3134800139814498E-3</v>
      </c>
      <c r="N1471">
        <v>1481.931640625</v>
      </c>
      <c r="O1471">
        <v>494.98450000000003</v>
      </c>
      <c r="P1471">
        <v>1481.92932128906</v>
      </c>
      <c r="Q1471">
        <v>494.98373413085801</v>
      </c>
      <c r="R1471">
        <v>3</v>
      </c>
      <c r="S1471">
        <v>1</v>
      </c>
      <c r="T1471">
        <v>14</v>
      </c>
      <c r="U1471">
        <v>26.28772</v>
      </c>
      <c r="V1471">
        <v>314449.40000000002</v>
      </c>
    </row>
    <row r="1472" spans="1:22" x14ac:dyDescent="0.25">
      <c r="A1472" t="s">
        <v>4103</v>
      </c>
      <c r="B1472" t="s">
        <v>4104</v>
      </c>
      <c r="C1472">
        <v>349</v>
      </c>
      <c r="D1472">
        <v>97.8</v>
      </c>
      <c r="E1472">
        <v>97.76</v>
      </c>
      <c r="F1472" t="s">
        <v>4108</v>
      </c>
      <c r="G1472" t="s">
        <v>4108</v>
      </c>
      <c r="H1472">
        <f t="shared" si="25"/>
        <v>13</v>
      </c>
      <c r="M1472" s="1">
        <v>4.6172100119292701E-3</v>
      </c>
      <c r="N1472">
        <v>1526.90783691406</v>
      </c>
      <c r="O1472">
        <v>764.46119999999905</v>
      </c>
      <c r="P1472">
        <v>1526.90319824219</v>
      </c>
      <c r="Q1472">
        <v>764.45886230468705</v>
      </c>
      <c r="R1472">
        <v>2</v>
      </c>
      <c r="S1472">
        <v>1</v>
      </c>
      <c r="T1472">
        <v>13</v>
      </c>
      <c r="U1472">
        <v>36.342930000000003</v>
      </c>
      <c r="V1472">
        <v>288155.7</v>
      </c>
    </row>
    <row r="1473" spans="1:22" x14ac:dyDescent="0.25">
      <c r="A1473" t="s">
        <v>4103</v>
      </c>
      <c r="B1473" t="s">
        <v>4104</v>
      </c>
      <c r="C1473">
        <v>349</v>
      </c>
      <c r="D1473">
        <v>99</v>
      </c>
      <c r="E1473">
        <v>99</v>
      </c>
      <c r="F1473" t="s">
        <v>4109</v>
      </c>
      <c r="G1473" t="s">
        <v>4109</v>
      </c>
      <c r="H1473">
        <f t="shared" si="25"/>
        <v>15</v>
      </c>
      <c r="M1473" s="1">
        <v>-5.6680198758840604E-3</v>
      </c>
      <c r="N1473">
        <v>1160.60546875</v>
      </c>
      <c r="O1473">
        <v>581.30999999999904</v>
      </c>
      <c r="P1473">
        <v>1160.61108398438</v>
      </c>
      <c r="Q1473">
        <v>581.31280517578102</v>
      </c>
      <c r="R1473">
        <v>2</v>
      </c>
      <c r="S1473">
        <v>1</v>
      </c>
      <c r="T1473">
        <v>11</v>
      </c>
      <c r="U1473">
        <v>35.376950000000001</v>
      </c>
      <c r="V1473">
        <v>252167.7</v>
      </c>
    </row>
    <row r="1474" spans="1:22" x14ac:dyDescent="0.25">
      <c r="A1474" t="s">
        <v>4103</v>
      </c>
      <c r="B1474" t="s">
        <v>4104</v>
      </c>
      <c r="C1474">
        <v>487</v>
      </c>
      <c r="D1474">
        <v>99</v>
      </c>
      <c r="E1474">
        <v>99</v>
      </c>
      <c r="F1474" t="s">
        <v>4110</v>
      </c>
      <c r="G1474" t="s">
        <v>4110</v>
      </c>
      <c r="H1474">
        <f t="shared" si="25"/>
        <v>21</v>
      </c>
      <c r="M1474" s="1">
        <v>4.1602300480008004E-3</v>
      </c>
      <c r="N1474">
        <v>2192.0791015625</v>
      </c>
      <c r="O1474">
        <v>731.70029999999895</v>
      </c>
      <c r="P1474">
        <v>2192.07495117188</v>
      </c>
      <c r="Q1474">
        <v>731.69891357421795</v>
      </c>
      <c r="R1474">
        <v>3</v>
      </c>
      <c r="S1474">
        <v>1</v>
      </c>
      <c r="T1474">
        <v>10</v>
      </c>
      <c r="U1474">
        <v>26.839569999999899</v>
      </c>
      <c r="V1474">
        <v>320577.5</v>
      </c>
    </row>
    <row r="1475" spans="1:22" x14ac:dyDescent="0.25">
      <c r="A1475" t="s">
        <v>4103</v>
      </c>
      <c r="B1475" t="s">
        <v>4104</v>
      </c>
      <c r="C1475">
        <v>323</v>
      </c>
      <c r="D1475">
        <v>98.1</v>
      </c>
      <c r="E1475">
        <v>98.07</v>
      </c>
      <c r="F1475" t="s">
        <v>4111</v>
      </c>
      <c r="G1475" t="s">
        <v>4111</v>
      </c>
      <c r="H1475">
        <f t="shared" ref="H1475:H1538" si="26">LEN(G1475)</f>
        <v>9</v>
      </c>
      <c r="M1475" s="1">
        <v>3.9552999660372604E-3</v>
      </c>
      <c r="N1475">
        <v>1922.00500488281</v>
      </c>
      <c r="O1475">
        <v>641.67560000000003</v>
      </c>
      <c r="P1475">
        <v>1922.0009765625</v>
      </c>
      <c r="Q1475">
        <v>641.67425537109295</v>
      </c>
      <c r="R1475">
        <v>3</v>
      </c>
      <c r="S1475">
        <v>2</v>
      </c>
      <c r="T1475">
        <v>17</v>
      </c>
      <c r="U1475">
        <v>29.163250000000001</v>
      </c>
      <c r="V1475">
        <v>808243.19999999902</v>
      </c>
    </row>
    <row r="1476" spans="1:22" x14ac:dyDescent="0.25">
      <c r="A1476" t="s">
        <v>4103</v>
      </c>
      <c r="B1476" t="s">
        <v>4104</v>
      </c>
      <c r="C1476">
        <v>324</v>
      </c>
      <c r="D1476">
        <v>99</v>
      </c>
      <c r="E1476">
        <v>99</v>
      </c>
      <c r="F1476" t="s">
        <v>4112</v>
      </c>
      <c r="G1476" t="s">
        <v>4112</v>
      </c>
      <c r="H1476">
        <f t="shared" si="26"/>
        <v>8</v>
      </c>
      <c r="M1476" s="1">
        <v>-1.35393999516964E-3</v>
      </c>
      <c r="N1476">
        <v>1478.59704589844</v>
      </c>
      <c r="O1476">
        <v>740.30579999999895</v>
      </c>
      <c r="P1476">
        <v>1478.59838867188</v>
      </c>
      <c r="Q1476">
        <v>740.30645751953102</v>
      </c>
      <c r="R1476">
        <v>2</v>
      </c>
      <c r="S1476">
        <v>1</v>
      </c>
      <c r="T1476">
        <v>13</v>
      </c>
      <c r="U1476">
        <v>23.17022</v>
      </c>
      <c r="V1476">
        <v>218960.4</v>
      </c>
    </row>
    <row r="1477" spans="1:22" x14ac:dyDescent="0.25">
      <c r="A1477" t="s">
        <v>3492</v>
      </c>
      <c r="B1477" t="s">
        <v>3493</v>
      </c>
      <c r="C1477">
        <v>55</v>
      </c>
      <c r="D1477">
        <v>98.6</v>
      </c>
      <c r="E1477">
        <v>98.55</v>
      </c>
      <c r="F1477" t="s">
        <v>379</v>
      </c>
      <c r="G1477" t="s">
        <v>379</v>
      </c>
      <c r="H1477">
        <f t="shared" si="26"/>
        <v>9</v>
      </c>
      <c r="M1477" s="1">
        <v>5.4254401475191004E-3</v>
      </c>
      <c r="N1477">
        <v>2183.27319335938</v>
      </c>
      <c r="O1477">
        <v>728.76499999999896</v>
      </c>
      <c r="P1477">
        <v>2183.26782226563</v>
      </c>
      <c r="Q1477">
        <v>728.76318359375</v>
      </c>
      <c r="R1477">
        <v>3</v>
      </c>
      <c r="S1477">
        <v>1</v>
      </c>
      <c r="T1477">
        <v>14</v>
      </c>
      <c r="U1477">
        <v>35.059330000000003</v>
      </c>
      <c r="V1477">
        <v>223428.5</v>
      </c>
    </row>
    <row r="1478" spans="1:22" x14ac:dyDescent="0.25">
      <c r="A1478" t="s">
        <v>3492</v>
      </c>
      <c r="B1478" t="s">
        <v>3493</v>
      </c>
      <c r="C1478">
        <v>55</v>
      </c>
      <c r="D1478">
        <v>98.9</v>
      </c>
      <c r="E1478">
        <v>98.89</v>
      </c>
      <c r="F1478" t="s">
        <v>379</v>
      </c>
      <c r="G1478" t="s">
        <v>379</v>
      </c>
      <c r="H1478">
        <f t="shared" si="26"/>
        <v>9</v>
      </c>
      <c r="L1478" t="s">
        <v>377</v>
      </c>
      <c r="M1478" s="1">
        <v>5.6518199853599002E-3</v>
      </c>
      <c r="N1478">
        <v>1595.712890625</v>
      </c>
      <c r="O1478">
        <v>798.86369999999897</v>
      </c>
      <c r="P1478">
        <v>1595.70715332031</v>
      </c>
      <c r="Q1478">
        <v>798.86090087890602</v>
      </c>
      <c r="R1478">
        <v>2</v>
      </c>
      <c r="S1478">
        <v>1</v>
      </c>
      <c r="T1478">
        <v>8</v>
      </c>
      <c r="U1478">
        <v>26.43722</v>
      </c>
      <c r="V1478">
        <v>290642.90000000002</v>
      </c>
    </row>
    <row r="1479" spans="1:22" x14ac:dyDescent="0.25">
      <c r="A1479" t="s">
        <v>3315</v>
      </c>
      <c r="B1479" t="s">
        <v>3316</v>
      </c>
      <c r="C1479">
        <v>157</v>
      </c>
      <c r="D1479">
        <v>98.2</v>
      </c>
      <c r="E1479">
        <v>98.16</v>
      </c>
      <c r="F1479" t="s">
        <v>3317</v>
      </c>
      <c r="G1479" t="s">
        <v>3317</v>
      </c>
      <c r="H1479">
        <f t="shared" si="26"/>
        <v>9</v>
      </c>
      <c r="M1479" s="1">
        <v>-2.5846899952739399E-3</v>
      </c>
      <c r="N1479">
        <v>1323.64672851563</v>
      </c>
      <c r="O1479">
        <v>662.8306</v>
      </c>
      <c r="P1479">
        <v>1323.64929199219</v>
      </c>
      <c r="Q1479">
        <v>662.83190917968705</v>
      </c>
      <c r="R1479">
        <v>2</v>
      </c>
      <c r="S1479">
        <v>4</v>
      </c>
      <c r="T1479">
        <v>18</v>
      </c>
      <c r="U1479">
        <v>21.189170000000001</v>
      </c>
      <c r="V1479">
        <v>433513.2</v>
      </c>
    </row>
    <row r="1480" spans="1:22" x14ac:dyDescent="0.25">
      <c r="A1480" t="s">
        <v>3718</v>
      </c>
      <c r="B1480" t="s">
        <v>3719</v>
      </c>
      <c r="C1480">
        <v>94</v>
      </c>
      <c r="D1480">
        <v>99</v>
      </c>
      <c r="E1480">
        <v>99</v>
      </c>
      <c r="F1480" t="s">
        <v>3720</v>
      </c>
      <c r="G1480" t="s">
        <v>3720</v>
      </c>
      <c r="H1480">
        <f t="shared" si="26"/>
        <v>9</v>
      </c>
      <c r="M1480" s="1">
        <v>-1.07617001049221E-3</v>
      </c>
      <c r="N1480">
        <v>1671.845703125</v>
      </c>
      <c r="O1480">
        <v>558.28920000000005</v>
      </c>
      <c r="P1480">
        <v>1671.84680175781</v>
      </c>
      <c r="Q1480">
        <v>558.28955078125</v>
      </c>
      <c r="R1480">
        <v>3</v>
      </c>
      <c r="S1480">
        <v>1</v>
      </c>
      <c r="T1480">
        <v>12</v>
      </c>
      <c r="U1480">
        <v>23.4747799999999</v>
      </c>
      <c r="V1480">
        <v>1653742</v>
      </c>
    </row>
    <row r="1481" spans="1:22" x14ac:dyDescent="0.25">
      <c r="A1481" t="s">
        <v>3259</v>
      </c>
      <c r="B1481" t="s">
        <v>3260</v>
      </c>
      <c r="C1481">
        <v>459</v>
      </c>
      <c r="D1481">
        <v>99</v>
      </c>
      <c r="E1481">
        <v>99</v>
      </c>
      <c r="F1481" t="s">
        <v>160</v>
      </c>
      <c r="G1481" t="s">
        <v>160</v>
      </c>
      <c r="H1481">
        <f t="shared" si="26"/>
        <v>9</v>
      </c>
      <c r="M1481" s="1">
        <v>8.8206697255373001E-3</v>
      </c>
      <c r="N1481">
        <v>1794.93933105469</v>
      </c>
      <c r="O1481">
        <v>599.32039999999904</v>
      </c>
      <c r="P1481">
        <v>1794.93041992188</v>
      </c>
      <c r="Q1481">
        <v>599.31744384765602</v>
      </c>
      <c r="R1481">
        <v>3</v>
      </c>
      <c r="S1481">
        <v>1</v>
      </c>
      <c r="T1481">
        <v>11</v>
      </c>
      <c r="U1481">
        <v>35.806150000000002</v>
      </c>
      <c r="V1481">
        <v>108861.3</v>
      </c>
    </row>
    <row r="1482" spans="1:22" x14ac:dyDescent="0.25">
      <c r="A1482" t="s">
        <v>3259</v>
      </c>
      <c r="B1482" t="s">
        <v>3260</v>
      </c>
      <c r="C1482">
        <v>372</v>
      </c>
      <c r="D1482">
        <v>97.2</v>
      </c>
      <c r="E1482">
        <v>97.15</v>
      </c>
      <c r="F1482" t="s">
        <v>3261</v>
      </c>
      <c r="G1482" t="s">
        <v>3261</v>
      </c>
      <c r="H1482">
        <f t="shared" si="26"/>
        <v>9</v>
      </c>
      <c r="M1482" s="1">
        <v>2.97806994058191E-3</v>
      </c>
      <c r="N1482">
        <v>949.61029052734295</v>
      </c>
      <c r="O1482">
        <v>475.81240000000003</v>
      </c>
      <c r="P1482">
        <v>949.60729980468705</v>
      </c>
      <c r="Q1482">
        <v>475.81091308593801</v>
      </c>
      <c r="R1482">
        <v>2</v>
      </c>
      <c r="S1482">
        <v>1</v>
      </c>
      <c r="T1482">
        <v>11</v>
      </c>
      <c r="U1482">
        <v>23.84553</v>
      </c>
      <c r="V1482">
        <v>708625.6</v>
      </c>
    </row>
    <row r="1483" spans="1:22" x14ac:dyDescent="0.25">
      <c r="A1483" t="s">
        <v>3083</v>
      </c>
      <c r="B1483" t="s">
        <v>3084</v>
      </c>
      <c r="C1483">
        <v>157</v>
      </c>
      <c r="D1483">
        <v>99</v>
      </c>
      <c r="E1483">
        <v>99</v>
      </c>
      <c r="F1483" t="s">
        <v>276</v>
      </c>
      <c r="G1483" t="s">
        <v>276</v>
      </c>
      <c r="H1483">
        <f t="shared" si="26"/>
        <v>9</v>
      </c>
      <c r="M1483" s="1">
        <v>3.3041900023817899E-3</v>
      </c>
      <c r="N1483">
        <v>1719.88000488281</v>
      </c>
      <c r="O1483">
        <v>574.30060000000003</v>
      </c>
      <c r="P1483">
        <v>1719.87670898438</v>
      </c>
      <c r="Q1483">
        <v>574.29949951171795</v>
      </c>
      <c r="R1483">
        <v>3</v>
      </c>
      <c r="S1483">
        <v>1</v>
      </c>
      <c r="T1483">
        <v>12</v>
      </c>
      <c r="U1483">
        <v>40.177230000000002</v>
      </c>
      <c r="V1483">
        <v>184516.8</v>
      </c>
    </row>
    <row r="1484" spans="1:22" x14ac:dyDescent="0.25">
      <c r="A1484" t="s">
        <v>267</v>
      </c>
      <c r="B1484" t="s">
        <v>268</v>
      </c>
      <c r="C1484">
        <v>236</v>
      </c>
      <c r="D1484">
        <v>97.7</v>
      </c>
      <c r="E1484">
        <v>97.66</v>
      </c>
      <c r="F1484" t="s">
        <v>3535</v>
      </c>
      <c r="G1484" t="s">
        <v>3535</v>
      </c>
      <c r="H1484">
        <f t="shared" si="26"/>
        <v>9</v>
      </c>
      <c r="M1484" s="1">
        <v>2.93627008795738E-3</v>
      </c>
      <c r="N1484">
        <v>1572.85009765625</v>
      </c>
      <c r="O1484">
        <v>787.43230000000005</v>
      </c>
      <c r="P1484">
        <v>1572.84716796875</v>
      </c>
      <c r="Q1484">
        <v>787.43084716796795</v>
      </c>
      <c r="R1484">
        <v>2</v>
      </c>
      <c r="S1484">
        <v>1</v>
      </c>
      <c r="T1484">
        <v>10</v>
      </c>
      <c r="U1484">
        <v>29.310120000000001</v>
      </c>
      <c r="V1484">
        <v>327836.3</v>
      </c>
    </row>
    <row r="1485" spans="1:22" x14ac:dyDescent="0.25">
      <c r="A1485" t="s">
        <v>4025</v>
      </c>
      <c r="B1485" t="s">
        <v>4026</v>
      </c>
      <c r="C1485">
        <v>22</v>
      </c>
      <c r="D1485">
        <v>99</v>
      </c>
      <c r="E1485">
        <v>99</v>
      </c>
      <c r="F1485" t="s">
        <v>4027</v>
      </c>
      <c r="G1485" t="s">
        <v>4027</v>
      </c>
      <c r="H1485">
        <f t="shared" si="26"/>
        <v>9</v>
      </c>
      <c r="M1485" s="1">
        <v>2.71875993348658E-3</v>
      </c>
      <c r="N1485">
        <v>1505.89562988281</v>
      </c>
      <c r="O1485">
        <v>502.97250000000003</v>
      </c>
      <c r="P1485">
        <v>1505.89294433594</v>
      </c>
      <c r="Q1485">
        <v>502.97158813476602</v>
      </c>
      <c r="R1485">
        <v>3</v>
      </c>
      <c r="S1485">
        <v>1</v>
      </c>
      <c r="T1485">
        <v>14</v>
      </c>
      <c r="U1485">
        <v>30.057500000000001</v>
      </c>
      <c r="V1485">
        <v>1167480</v>
      </c>
    </row>
    <row r="1486" spans="1:22" x14ac:dyDescent="0.25">
      <c r="A1486" t="s">
        <v>262</v>
      </c>
      <c r="B1486" t="s">
        <v>263</v>
      </c>
      <c r="C1486">
        <v>324</v>
      </c>
      <c r="D1486">
        <v>99</v>
      </c>
      <c r="E1486">
        <v>99</v>
      </c>
      <c r="F1486" t="s">
        <v>4054</v>
      </c>
      <c r="G1486" t="s">
        <v>4054</v>
      </c>
      <c r="H1486">
        <f t="shared" si="26"/>
        <v>14</v>
      </c>
      <c r="M1486" s="1">
        <v>3.05651989765465E-3</v>
      </c>
      <c r="N1486">
        <v>1731.92602539063</v>
      </c>
      <c r="O1486">
        <v>866.97029999999904</v>
      </c>
      <c r="P1486">
        <v>1731.92297363281</v>
      </c>
      <c r="Q1486">
        <v>866.96875</v>
      </c>
      <c r="R1486">
        <v>2</v>
      </c>
      <c r="S1486">
        <v>1</v>
      </c>
      <c r="T1486">
        <v>13</v>
      </c>
      <c r="U1486">
        <v>33.115850000000002</v>
      </c>
      <c r="V1486">
        <v>440176.9</v>
      </c>
    </row>
    <row r="1487" spans="1:22" x14ac:dyDescent="0.25">
      <c r="A1487" t="s">
        <v>262</v>
      </c>
      <c r="B1487" t="s">
        <v>263</v>
      </c>
      <c r="C1487">
        <v>323</v>
      </c>
      <c r="D1487">
        <v>99</v>
      </c>
      <c r="E1487">
        <v>99</v>
      </c>
      <c r="F1487" t="s">
        <v>4055</v>
      </c>
      <c r="G1487" t="s">
        <v>4055</v>
      </c>
      <c r="H1487">
        <f t="shared" si="26"/>
        <v>15</v>
      </c>
      <c r="M1487" s="1">
        <v>5.0804098136722903E-3</v>
      </c>
      <c r="N1487">
        <v>1723.00830078125</v>
      </c>
      <c r="O1487">
        <v>575.34339999999895</v>
      </c>
      <c r="P1487">
        <v>1723.00329589844</v>
      </c>
      <c r="Q1487">
        <v>575.34167480468705</v>
      </c>
      <c r="R1487">
        <v>3</v>
      </c>
      <c r="S1487">
        <v>2</v>
      </c>
      <c r="T1487">
        <v>14</v>
      </c>
      <c r="U1487">
        <v>27.61138</v>
      </c>
      <c r="V1487">
        <v>629415.80000000005</v>
      </c>
    </row>
    <row r="1488" spans="1:22" x14ac:dyDescent="0.25">
      <c r="A1488" t="s">
        <v>262</v>
      </c>
      <c r="B1488" t="s">
        <v>263</v>
      </c>
      <c r="C1488">
        <v>427</v>
      </c>
      <c r="D1488">
        <v>99</v>
      </c>
      <c r="E1488">
        <v>99</v>
      </c>
      <c r="F1488" t="s">
        <v>4056</v>
      </c>
      <c r="G1488" t="s">
        <v>4056</v>
      </c>
      <c r="H1488">
        <f t="shared" si="26"/>
        <v>9</v>
      </c>
      <c r="M1488" s="1">
        <v>-3.9002799894660599E-3</v>
      </c>
      <c r="N1488">
        <v>1380.92541503906</v>
      </c>
      <c r="O1488">
        <v>691.47</v>
      </c>
      <c r="P1488">
        <v>1380.92932128906</v>
      </c>
      <c r="Q1488">
        <v>691.471923828125</v>
      </c>
      <c r="R1488">
        <v>2</v>
      </c>
      <c r="S1488">
        <v>2</v>
      </c>
      <c r="T1488">
        <v>13</v>
      </c>
      <c r="U1488">
        <v>19.7749799999999</v>
      </c>
      <c r="V1488">
        <v>151107.299999999</v>
      </c>
    </row>
    <row r="1489" spans="1:22" x14ac:dyDescent="0.25">
      <c r="A1489" t="s">
        <v>262</v>
      </c>
      <c r="B1489" t="s">
        <v>263</v>
      </c>
      <c r="C1489">
        <v>324</v>
      </c>
      <c r="D1489">
        <v>98.5</v>
      </c>
      <c r="E1489">
        <v>98.47</v>
      </c>
      <c r="F1489" t="s">
        <v>4057</v>
      </c>
      <c r="G1489" t="s">
        <v>4057</v>
      </c>
      <c r="H1489">
        <f t="shared" si="26"/>
        <v>15</v>
      </c>
      <c r="M1489" s="1">
        <v>1.4095000224188001E-3</v>
      </c>
      <c r="N1489">
        <v>1847.06433105469</v>
      </c>
      <c r="O1489">
        <v>616.69539999999904</v>
      </c>
      <c r="P1489">
        <v>1847.06286621094</v>
      </c>
      <c r="Q1489">
        <v>616.69488525390602</v>
      </c>
      <c r="R1489">
        <v>3</v>
      </c>
      <c r="S1489">
        <v>1</v>
      </c>
      <c r="T1489">
        <v>11</v>
      </c>
      <c r="U1489">
        <v>31.716919999999899</v>
      </c>
      <c r="V1489">
        <v>243496.2</v>
      </c>
    </row>
    <row r="1490" spans="1:22" x14ac:dyDescent="0.25">
      <c r="A1490" t="s">
        <v>262</v>
      </c>
      <c r="B1490" t="s">
        <v>263</v>
      </c>
      <c r="C1490">
        <v>324</v>
      </c>
      <c r="D1490">
        <v>99</v>
      </c>
      <c r="E1490">
        <v>99</v>
      </c>
      <c r="F1490" t="s">
        <v>4054</v>
      </c>
      <c r="G1490" t="s">
        <v>4054</v>
      </c>
      <c r="H1490">
        <f t="shared" si="26"/>
        <v>14</v>
      </c>
      <c r="L1490" t="s">
        <v>1408</v>
      </c>
      <c r="M1490" s="1">
        <v>3.2054500188678399E-3</v>
      </c>
      <c r="N1490">
        <v>1207.61303710938</v>
      </c>
      <c r="O1490">
        <v>604.81380000000001</v>
      </c>
      <c r="P1490">
        <v>1207.60986328125</v>
      </c>
      <c r="Q1490">
        <v>604.81219482421795</v>
      </c>
      <c r="R1490">
        <v>2</v>
      </c>
      <c r="S1490">
        <v>1</v>
      </c>
      <c r="T1490">
        <v>12</v>
      </c>
      <c r="U1490">
        <v>34.345660000000002</v>
      </c>
      <c r="V1490">
        <v>473748.7</v>
      </c>
    </row>
    <row r="1491" spans="1:22" x14ac:dyDescent="0.25">
      <c r="A1491" t="s">
        <v>44</v>
      </c>
      <c r="B1491" t="s">
        <v>45</v>
      </c>
      <c r="C1491">
        <v>44</v>
      </c>
      <c r="D1491">
        <v>97.6</v>
      </c>
      <c r="E1491">
        <v>97.58</v>
      </c>
      <c r="F1491" t="s">
        <v>3944</v>
      </c>
      <c r="G1491" t="s">
        <v>3944</v>
      </c>
      <c r="H1491">
        <f t="shared" si="26"/>
        <v>9</v>
      </c>
      <c r="M1491" s="1">
        <v>7.1271602064371001E-4</v>
      </c>
      <c r="N1491">
        <v>1306.64123535156</v>
      </c>
      <c r="O1491">
        <v>654.3279</v>
      </c>
      <c r="P1491">
        <v>1306.64050292969</v>
      </c>
      <c r="Q1491">
        <v>654.32751464843705</v>
      </c>
      <c r="R1491">
        <v>2</v>
      </c>
      <c r="S1491">
        <v>2</v>
      </c>
      <c r="T1491">
        <v>10</v>
      </c>
      <c r="U1491">
        <v>23.88935</v>
      </c>
      <c r="V1491">
        <v>434712.2</v>
      </c>
    </row>
    <row r="1492" spans="1:22" x14ac:dyDescent="0.25">
      <c r="A1492" t="s">
        <v>3888</v>
      </c>
      <c r="B1492" t="s">
        <v>3889</v>
      </c>
      <c r="C1492">
        <v>87</v>
      </c>
      <c r="D1492">
        <v>99</v>
      </c>
      <c r="E1492">
        <v>99</v>
      </c>
      <c r="F1492" t="s">
        <v>73</v>
      </c>
      <c r="G1492" t="s">
        <v>73</v>
      </c>
      <c r="H1492">
        <f t="shared" si="26"/>
        <v>9</v>
      </c>
      <c r="M1492">
        <v>1.688E-3</v>
      </c>
      <c r="N1492">
        <v>1117.61889648438</v>
      </c>
      <c r="O1492">
        <v>559.81669999999895</v>
      </c>
      <c r="P1492">
        <v>1117.6171875</v>
      </c>
      <c r="Q1492">
        <v>559.81585693359295</v>
      </c>
      <c r="R1492">
        <v>2</v>
      </c>
      <c r="S1492">
        <v>2</v>
      </c>
      <c r="T1492">
        <v>14</v>
      </c>
      <c r="U1492">
        <v>34.700249999999897</v>
      </c>
      <c r="V1492">
        <v>1221563</v>
      </c>
    </row>
    <row r="1493" spans="1:22" x14ac:dyDescent="0.25">
      <c r="A1493" t="s">
        <v>3888</v>
      </c>
      <c r="B1493" t="s">
        <v>3889</v>
      </c>
      <c r="C1493">
        <v>87</v>
      </c>
      <c r="D1493">
        <v>99</v>
      </c>
      <c r="E1493">
        <v>99</v>
      </c>
      <c r="F1493" t="s">
        <v>73</v>
      </c>
      <c r="G1493" t="s">
        <v>73</v>
      </c>
      <c r="H1493">
        <f t="shared" si="26"/>
        <v>9</v>
      </c>
      <c r="L1493" t="s">
        <v>3890</v>
      </c>
      <c r="M1493" s="1">
        <v>7.6315901242196603E-3</v>
      </c>
      <c r="N1493">
        <v>1826.70727539063</v>
      </c>
      <c r="O1493">
        <v>914.36090000000002</v>
      </c>
      <c r="P1493">
        <v>1826.69958496094</v>
      </c>
      <c r="Q1493">
        <v>914.35705566406205</v>
      </c>
      <c r="R1493">
        <v>2</v>
      </c>
      <c r="S1493">
        <v>1</v>
      </c>
      <c r="T1493">
        <v>17</v>
      </c>
      <c r="U1493">
        <v>39.584119999999899</v>
      </c>
      <c r="V1493">
        <v>1017450</v>
      </c>
    </row>
    <row r="1494" spans="1:22" x14ac:dyDescent="0.25">
      <c r="A1494" t="s">
        <v>3158</v>
      </c>
      <c r="B1494" t="s">
        <v>3159</v>
      </c>
      <c r="C1494">
        <v>2005</v>
      </c>
      <c r="D1494">
        <v>98.4</v>
      </c>
      <c r="E1494">
        <v>98.35</v>
      </c>
      <c r="F1494" t="s">
        <v>3160</v>
      </c>
      <c r="G1494" t="s">
        <v>3160</v>
      </c>
      <c r="H1494">
        <f t="shared" si="26"/>
        <v>9</v>
      </c>
      <c r="M1494" s="1">
        <v>4.5706001110374901E-3</v>
      </c>
      <c r="N1494">
        <v>1073.61267089844</v>
      </c>
      <c r="O1494">
        <v>537.81359999999904</v>
      </c>
      <c r="P1494">
        <v>1073.60803222656</v>
      </c>
      <c r="Q1494">
        <v>537.81134033203102</v>
      </c>
      <c r="R1494">
        <v>2</v>
      </c>
      <c r="S1494">
        <v>2</v>
      </c>
      <c r="T1494">
        <v>13</v>
      </c>
      <c r="U1494">
        <v>27.264479999999899</v>
      </c>
      <c r="V1494">
        <v>994918.8</v>
      </c>
    </row>
    <row r="1495" spans="1:22" x14ac:dyDescent="0.25">
      <c r="A1495" t="s">
        <v>4643</v>
      </c>
      <c r="B1495" t="s">
        <v>4644</v>
      </c>
      <c r="C1495">
        <v>1698</v>
      </c>
      <c r="D1495">
        <v>99</v>
      </c>
      <c r="E1495">
        <v>99</v>
      </c>
      <c r="F1495" t="s">
        <v>4645</v>
      </c>
      <c r="G1495" t="s">
        <v>4645</v>
      </c>
      <c r="H1495">
        <f t="shared" si="26"/>
        <v>9</v>
      </c>
      <c r="M1495" s="1">
        <v>5.6824698112904904E-3</v>
      </c>
      <c r="N1495">
        <v>1717.00170898438</v>
      </c>
      <c r="O1495">
        <v>573.34119999999905</v>
      </c>
      <c r="P1495">
        <v>1716.99609375</v>
      </c>
      <c r="Q1495">
        <v>573.33929443359295</v>
      </c>
      <c r="R1495">
        <v>3</v>
      </c>
      <c r="S1495">
        <v>2</v>
      </c>
      <c r="T1495">
        <v>13</v>
      </c>
      <c r="U1495">
        <v>37.272469999999899</v>
      </c>
      <c r="V1495">
        <v>372410.9</v>
      </c>
    </row>
    <row r="1496" spans="1:22" x14ac:dyDescent="0.25">
      <c r="A1496" t="s">
        <v>2733</v>
      </c>
      <c r="B1496" t="s">
        <v>2734</v>
      </c>
      <c r="C1496">
        <v>81</v>
      </c>
      <c r="D1496">
        <v>99</v>
      </c>
      <c r="E1496">
        <v>99</v>
      </c>
      <c r="F1496" t="s">
        <v>2735</v>
      </c>
      <c r="G1496" t="s">
        <v>2735</v>
      </c>
      <c r="H1496">
        <f t="shared" si="26"/>
        <v>9</v>
      </c>
      <c r="M1496" s="1">
        <v>1.3857100158929801E-2</v>
      </c>
      <c r="N1496">
        <v>1082.72021484375</v>
      </c>
      <c r="O1496">
        <v>542.36739999999895</v>
      </c>
      <c r="P1496">
        <v>1082.70629882813</v>
      </c>
      <c r="Q1496">
        <v>542.36041259765602</v>
      </c>
      <c r="R1496">
        <v>2</v>
      </c>
      <c r="S1496">
        <v>1</v>
      </c>
      <c r="T1496">
        <v>12</v>
      </c>
      <c r="U1496">
        <v>37.697670000000002</v>
      </c>
      <c r="V1496">
        <v>698272.1</v>
      </c>
    </row>
    <row r="1497" spans="1:22" x14ac:dyDescent="0.25">
      <c r="A1497" t="s">
        <v>3785</v>
      </c>
      <c r="B1497" t="s">
        <v>3786</v>
      </c>
      <c r="C1497">
        <v>17</v>
      </c>
      <c r="D1497">
        <v>97.5</v>
      </c>
      <c r="E1497">
        <v>97.54</v>
      </c>
      <c r="F1497" t="s">
        <v>407</v>
      </c>
      <c r="G1497" t="s">
        <v>407</v>
      </c>
      <c r="H1497">
        <f t="shared" si="26"/>
        <v>9</v>
      </c>
      <c r="M1497" s="1">
        <v>3.57724004425108E-3</v>
      </c>
      <c r="N1497">
        <v>1051.61743164063</v>
      </c>
      <c r="O1497">
        <v>526.81600000000003</v>
      </c>
      <c r="P1497">
        <v>1051.61376953125</v>
      </c>
      <c r="Q1497">
        <v>526.814208984375</v>
      </c>
      <c r="R1497">
        <v>2</v>
      </c>
      <c r="S1497">
        <v>1</v>
      </c>
      <c r="T1497">
        <v>13</v>
      </c>
      <c r="U1497">
        <v>25.830200000000001</v>
      </c>
      <c r="V1497">
        <v>2097003</v>
      </c>
    </row>
    <row r="1498" spans="1:22" x14ac:dyDescent="0.25">
      <c r="A1498" t="s">
        <v>2879</v>
      </c>
      <c r="B1498" t="s">
        <v>2880</v>
      </c>
      <c r="C1498">
        <v>544</v>
      </c>
      <c r="D1498">
        <v>99</v>
      </c>
      <c r="E1498">
        <v>99</v>
      </c>
      <c r="F1498" t="s">
        <v>2881</v>
      </c>
      <c r="G1498" t="s">
        <v>2881</v>
      </c>
      <c r="H1498">
        <f t="shared" si="26"/>
        <v>9</v>
      </c>
      <c r="L1498" t="s">
        <v>295</v>
      </c>
      <c r="M1498" s="1">
        <v>-2.4951000232249399E-3</v>
      </c>
      <c r="N1498">
        <v>1215.52392578125</v>
      </c>
      <c r="O1498">
        <v>608.76919999999905</v>
      </c>
      <c r="P1498">
        <v>1215.5263671875</v>
      </c>
      <c r="Q1498">
        <v>608.77044677734295</v>
      </c>
      <c r="R1498">
        <v>2</v>
      </c>
      <c r="S1498">
        <v>1</v>
      </c>
      <c r="T1498">
        <v>11</v>
      </c>
      <c r="U1498">
        <v>18.425370000000001</v>
      </c>
      <c r="V1498">
        <v>111956.3</v>
      </c>
    </row>
    <row r="1499" spans="1:22" x14ac:dyDescent="0.25">
      <c r="A1499" t="s">
        <v>1922</v>
      </c>
      <c r="B1499" t="s">
        <v>1923</v>
      </c>
      <c r="C1499">
        <v>21</v>
      </c>
      <c r="D1499">
        <v>99</v>
      </c>
      <c r="E1499">
        <v>99</v>
      </c>
      <c r="F1499" t="s">
        <v>1924</v>
      </c>
      <c r="G1499" t="s">
        <v>1924</v>
      </c>
      <c r="H1499">
        <f t="shared" si="26"/>
        <v>19</v>
      </c>
      <c r="M1499" s="1">
        <v>-7.2767701931297801E-4</v>
      </c>
      <c r="N1499">
        <v>1426.7119140625</v>
      </c>
      <c r="O1499">
        <v>714.36320000000001</v>
      </c>
      <c r="P1499">
        <v>1426.71264648438</v>
      </c>
      <c r="Q1499">
        <v>714.36358642578102</v>
      </c>
      <c r="R1499">
        <v>2</v>
      </c>
      <c r="S1499">
        <v>2</v>
      </c>
      <c r="T1499">
        <v>20</v>
      </c>
      <c r="U1499">
        <v>20.359850000000002</v>
      </c>
      <c r="V1499">
        <v>244956.1</v>
      </c>
    </row>
    <row r="1500" spans="1:22" x14ac:dyDescent="0.25">
      <c r="A1500" t="s">
        <v>3341</v>
      </c>
      <c r="B1500" t="s">
        <v>3342</v>
      </c>
      <c r="C1500">
        <v>58</v>
      </c>
      <c r="D1500">
        <v>99</v>
      </c>
      <c r="E1500">
        <v>99</v>
      </c>
      <c r="F1500" t="s">
        <v>3343</v>
      </c>
      <c r="G1500" t="s">
        <v>3343</v>
      </c>
      <c r="H1500">
        <f t="shared" si="26"/>
        <v>18</v>
      </c>
      <c r="M1500" s="1">
        <v>1.8461300060153001E-3</v>
      </c>
      <c r="N1500">
        <v>1077.6201171875</v>
      </c>
      <c r="O1500">
        <v>539.81730000000005</v>
      </c>
      <c r="P1500">
        <v>1077.61828613281</v>
      </c>
      <c r="Q1500">
        <v>539.81640625</v>
      </c>
      <c r="R1500">
        <v>2</v>
      </c>
      <c r="S1500">
        <v>1</v>
      </c>
      <c r="T1500">
        <v>12</v>
      </c>
      <c r="U1500">
        <v>28.805630000000001</v>
      </c>
      <c r="V1500">
        <v>22980670</v>
      </c>
    </row>
    <row r="1501" spans="1:22" x14ac:dyDescent="0.25">
      <c r="A1501" t="s">
        <v>1243</v>
      </c>
      <c r="B1501" t="s">
        <v>1244</v>
      </c>
      <c r="C1501">
        <v>75</v>
      </c>
      <c r="D1501">
        <v>99</v>
      </c>
      <c r="E1501">
        <v>99</v>
      </c>
      <c r="F1501" t="s">
        <v>1245</v>
      </c>
      <c r="G1501" t="s">
        <v>1245</v>
      </c>
      <c r="H1501">
        <f t="shared" si="26"/>
        <v>19</v>
      </c>
      <c r="M1501" s="1">
        <v>5.3914701566100103E-3</v>
      </c>
      <c r="N1501">
        <v>1612.8701171875</v>
      </c>
      <c r="O1501">
        <v>807.44230000000005</v>
      </c>
      <c r="P1501">
        <v>1612.86474609375</v>
      </c>
      <c r="Q1501">
        <v>807.43963623046795</v>
      </c>
      <c r="R1501">
        <v>2</v>
      </c>
      <c r="S1501">
        <v>2</v>
      </c>
      <c r="T1501">
        <v>19</v>
      </c>
      <c r="U1501">
        <v>34.865079999999899</v>
      </c>
      <c r="V1501">
        <v>191006.9</v>
      </c>
    </row>
    <row r="1502" spans="1:22" x14ac:dyDescent="0.25">
      <c r="A1502" t="s">
        <v>1243</v>
      </c>
      <c r="B1502" t="s">
        <v>1244</v>
      </c>
      <c r="C1502">
        <v>76</v>
      </c>
      <c r="D1502">
        <v>99</v>
      </c>
      <c r="E1502">
        <v>99</v>
      </c>
      <c r="F1502" t="s">
        <v>1246</v>
      </c>
      <c r="G1502" t="s">
        <v>1246</v>
      </c>
      <c r="H1502">
        <f t="shared" si="26"/>
        <v>18</v>
      </c>
      <c r="M1502" s="1">
        <v>-2.5126500986516502E-3</v>
      </c>
      <c r="N1502">
        <v>1966.14514160156</v>
      </c>
      <c r="O1502">
        <v>656.38900000000001</v>
      </c>
      <c r="P1502">
        <v>1966.14758300781</v>
      </c>
      <c r="Q1502">
        <v>656.38983154296795</v>
      </c>
      <c r="R1502">
        <v>3</v>
      </c>
      <c r="S1502">
        <v>1</v>
      </c>
      <c r="T1502">
        <v>10</v>
      </c>
      <c r="U1502">
        <v>23.04635</v>
      </c>
      <c r="V1502">
        <v>314425</v>
      </c>
    </row>
    <row r="1503" spans="1:22" x14ac:dyDescent="0.25">
      <c r="A1503" t="s">
        <v>1243</v>
      </c>
      <c r="B1503" t="s">
        <v>1244</v>
      </c>
      <c r="C1503">
        <v>1</v>
      </c>
      <c r="D1503">
        <v>99</v>
      </c>
      <c r="E1503">
        <v>99</v>
      </c>
      <c r="F1503" t="s">
        <v>1247</v>
      </c>
      <c r="G1503" t="s">
        <v>1247</v>
      </c>
      <c r="H1503">
        <f t="shared" si="26"/>
        <v>14</v>
      </c>
      <c r="M1503" s="1">
        <v>-8.51792003959417E-3</v>
      </c>
      <c r="N1503">
        <v>1312.77819824219</v>
      </c>
      <c r="O1503">
        <v>438.6</v>
      </c>
      <c r="P1503">
        <v>1312.78674316406</v>
      </c>
      <c r="Q1503">
        <v>438.60284423828102</v>
      </c>
      <c r="R1503">
        <v>3</v>
      </c>
      <c r="S1503">
        <v>2</v>
      </c>
      <c r="T1503">
        <v>14</v>
      </c>
      <c r="U1503">
        <v>18.122050000000002</v>
      </c>
      <c r="V1503">
        <v>264382.3</v>
      </c>
    </row>
    <row r="1504" spans="1:22" x14ac:dyDescent="0.25">
      <c r="A1504" t="s">
        <v>1243</v>
      </c>
      <c r="B1504" t="s">
        <v>1244</v>
      </c>
      <c r="C1504">
        <v>3</v>
      </c>
      <c r="D1504">
        <v>99</v>
      </c>
      <c r="E1504">
        <v>99</v>
      </c>
      <c r="F1504" t="s">
        <v>1248</v>
      </c>
      <c r="G1504" t="s">
        <v>1248</v>
      </c>
      <c r="H1504">
        <f t="shared" si="26"/>
        <v>13</v>
      </c>
      <c r="M1504" s="1">
        <v>3.6394800990819901E-3</v>
      </c>
      <c r="N1504">
        <v>2039.16040039063</v>
      </c>
      <c r="O1504">
        <v>680.72739999999897</v>
      </c>
      <c r="P1504">
        <v>2039.15673828125</v>
      </c>
      <c r="Q1504">
        <v>680.72619628906205</v>
      </c>
      <c r="R1504">
        <v>3</v>
      </c>
      <c r="S1504">
        <v>1</v>
      </c>
      <c r="T1504">
        <v>11</v>
      </c>
      <c r="U1504">
        <v>28.983830000000001</v>
      </c>
      <c r="V1504">
        <v>357298.3</v>
      </c>
    </row>
    <row r="1505" spans="1:22" x14ac:dyDescent="0.25">
      <c r="A1505" t="s">
        <v>1243</v>
      </c>
      <c r="B1505" t="s">
        <v>1244</v>
      </c>
      <c r="C1505">
        <v>75</v>
      </c>
      <c r="D1505">
        <v>99</v>
      </c>
      <c r="E1505">
        <v>99</v>
      </c>
      <c r="F1505" t="s">
        <v>1249</v>
      </c>
      <c r="G1505" t="s">
        <v>1249</v>
      </c>
      <c r="H1505">
        <f t="shared" si="26"/>
        <v>17</v>
      </c>
      <c r="M1505">
        <v>8.5599999999999999E-4</v>
      </c>
      <c r="N1505">
        <v>1466.83532714844</v>
      </c>
      <c r="O1505">
        <v>734.42489999999896</v>
      </c>
      <c r="P1505">
        <v>1466.83447265625</v>
      </c>
      <c r="Q1505">
        <v>734.42449951171795</v>
      </c>
      <c r="R1505">
        <v>2</v>
      </c>
      <c r="S1505">
        <v>1</v>
      </c>
      <c r="T1505">
        <v>12</v>
      </c>
      <c r="U1505">
        <v>43.2822999999999</v>
      </c>
      <c r="V1505">
        <v>615021.69999999902</v>
      </c>
    </row>
    <row r="1506" spans="1:22" x14ac:dyDescent="0.25">
      <c r="A1506" t="s">
        <v>1243</v>
      </c>
      <c r="B1506" t="s">
        <v>1244</v>
      </c>
      <c r="C1506">
        <v>75</v>
      </c>
      <c r="D1506">
        <v>99</v>
      </c>
      <c r="E1506">
        <v>99</v>
      </c>
      <c r="F1506" t="s">
        <v>1250</v>
      </c>
      <c r="G1506" t="s">
        <v>1250</v>
      </c>
      <c r="H1506">
        <f t="shared" si="26"/>
        <v>18</v>
      </c>
      <c r="M1506" s="1">
        <v>1.03781996294856E-2</v>
      </c>
      <c r="N1506">
        <v>1835.86547851563</v>
      </c>
      <c r="O1506">
        <v>918.94</v>
      </c>
      <c r="P1506">
        <v>1835.85510253906</v>
      </c>
      <c r="Q1506">
        <v>918.934814453125</v>
      </c>
      <c r="R1506">
        <v>2</v>
      </c>
      <c r="S1506">
        <v>1</v>
      </c>
      <c r="T1506">
        <v>12</v>
      </c>
      <c r="U1506">
        <v>22.670970000000001</v>
      </c>
      <c r="V1506">
        <v>385912.5</v>
      </c>
    </row>
    <row r="1507" spans="1:22" x14ac:dyDescent="0.25">
      <c r="A1507" t="s">
        <v>1243</v>
      </c>
      <c r="B1507" t="s">
        <v>1244</v>
      </c>
      <c r="C1507">
        <v>16</v>
      </c>
      <c r="D1507">
        <v>99</v>
      </c>
      <c r="E1507">
        <v>99</v>
      </c>
      <c r="F1507" t="s">
        <v>1251</v>
      </c>
      <c r="G1507" t="s">
        <v>1251</v>
      </c>
      <c r="H1507">
        <f t="shared" si="26"/>
        <v>11</v>
      </c>
      <c r="M1507" s="1">
        <v>4.9744802527129704E-4</v>
      </c>
      <c r="N1507">
        <v>1912.95043945313</v>
      </c>
      <c r="O1507">
        <v>638.65740000000005</v>
      </c>
      <c r="P1507">
        <v>1912.94995117188</v>
      </c>
      <c r="Q1507">
        <v>638.6572265625</v>
      </c>
      <c r="R1507">
        <v>3</v>
      </c>
      <c r="S1507">
        <v>1</v>
      </c>
      <c r="T1507">
        <v>13</v>
      </c>
      <c r="U1507">
        <v>29.871200000000002</v>
      </c>
      <c r="V1507">
        <v>784005.7</v>
      </c>
    </row>
    <row r="1508" spans="1:22" x14ac:dyDescent="0.25">
      <c r="A1508" t="s">
        <v>1243</v>
      </c>
      <c r="B1508" t="s">
        <v>1244</v>
      </c>
      <c r="C1508">
        <v>1</v>
      </c>
      <c r="D1508">
        <v>99</v>
      </c>
      <c r="E1508">
        <v>99</v>
      </c>
      <c r="F1508" t="s">
        <v>1252</v>
      </c>
      <c r="G1508" t="s">
        <v>1252</v>
      </c>
      <c r="H1508">
        <f t="shared" si="26"/>
        <v>15</v>
      </c>
      <c r="L1508" t="s">
        <v>377</v>
      </c>
      <c r="M1508" s="1">
        <v>7.0999101735651502E-3</v>
      </c>
      <c r="N1508">
        <v>1824.94750976563</v>
      </c>
      <c r="O1508">
        <v>913.48099999999897</v>
      </c>
      <c r="P1508">
        <v>1824.9404296875</v>
      </c>
      <c r="Q1508">
        <v>913.47747802734295</v>
      </c>
      <c r="R1508">
        <v>2</v>
      </c>
      <c r="S1508">
        <v>1</v>
      </c>
      <c r="T1508">
        <v>11</v>
      </c>
      <c r="U1508">
        <v>43.955550000000002</v>
      </c>
      <c r="V1508">
        <v>62779.02</v>
      </c>
    </row>
    <row r="1509" spans="1:22" x14ac:dyDescent="0.25">
      <c r="A1509" t="s">
        <v>1243</v>
      </c>
      <c r="B1509" t="s">
        <v>1244</v>
      </c>
      <c r="C1509">
        <v>75</v>
      </c>
      <c r="D1509">
        <v>99</v>
      </c>
      <c r="E1509">
        <v>99</v>
      </c>
      <c r="F1509" t="s">
        <v>1245</v>
      </c>
      <c r="G1509" t="s">
        <v>1245</v>
      </c>
      <c r="H1509">
        <f t="shared" si="26"/>
        <v>19</v>
      </c>
      <c r="L1509" t="s">
        <v>397</v>
      </c>
      <c r="M1509" s="1">
        <v>3.8965200074017E-3</v>
      </c>
      <c r="N1509">
        <v>1229.59423828125</v>
      </c>
      <c r="O1509">
        <v>615.80439999999896</v>
      </c>
      <c r="P1509">
        <v>1229.59033203125</v>
      </c>
      <c r="Q1509">
        <v>615.80242919921795</v>
      </c>
      <c r="R1509">
        <v>2</v>
      </c>
      <c r="S1509">
        <v>3</v>
      </c>
      <c r="T1509">
        <v>12</v>
      </c>
      <c r="U1509">
        <v>38.527230000000003</v>
      </c>
      <c r="V1509">
        <v>2313865</v>
      </c>
    </row>
    <row r="1510" spans="1:22" x14ac:dyDescent="0.25">
      <c r="A1510" t="s">
        <v>1286</v>
      </c>
      <c r="B1510" t="s">
        <v>1287</v>
      </c>
      <c r="C1510">
        <v>67</v>
      </c>
      <c r="D1510">
        <v>99</v>
      </c>
      <c r="E1510">
        <v>99</v>
      </c>
      <c r="F1510" t="s">
        <v>1288</v>
      </c>
      <c r="G1510" t="s">
        <v>1288</v>
      </c>
      <c r="H1510">
        <f t="shared" si="26"/>
        <v>10</v>
      </c>
      <c r="M1510" s="1">
        <v>5.92724001035094E-3</v>
      </c>
      <c r="N1510">
        <v>1460.82983398438</v>
      </c>
      <c r="O1510">
        <v>731.42219999999895</v>
      </c>
      <c r="P1510">
        <v>1460.82385253906</v>
      </c>
      <c r="Q1510">
        <v>731.419189453125</v>
      </c>
      <c r="R1510">
        <v>2</v>
      </c>
      <c r="S1510">
        <v>1</v>
      </c>
      <c r="T1510">
        <v>12</v>
      </c>
      <c r="U1510">
        <v>36.259770000000003</v>
      </c>
      <c r="V1510">
        <v>112186.1</v>
      </c>
    </row>
    <row r="1511" spans="1:22" x14ac:dyDescent="0.25">
      <c r="A1511" t="s">
        <v>1286</v>
      </c>
      <c r="B1511" t="s">
        <v>1287</v>
      </c>
      <c r="C1511">
        <v>66</v>
      </c>
      <c r="D1511">
        <v>99</v>
      </c>
      <c r="E1511">
        <v>99</v>
      </c>
      <c r="F1511" t="s">
        <v>1289</v>
      </c>
      <c r="G1511" t="s">
        <v>1289</v>
      </c>
      <c r="H1511">
        <f t="shared" si="26"/>
        <v>10</v>
      </c>
      <c r="M1511" s="1">
        <v>-1.3940900680609001E-4</v>
      </c>
      <c r="N1511">
        <v>1126.68212890625</v>
      </c>
      <c r="O1511">
        <v>564.34829999999897</v>
      </c>
      <c r="P1511">
        <v>1126.68225097656</v>
      </c>
      <c r="Q1511">
        <v>564.348388671875</v>
      </c>
      <c r="R1511">
        <v>2</v>
      </c>
      <c r="S1511">
        <v>9</v>
      </c>
      <c r="T1511">
        <v>13</v>
      </c>
      <c r="U1511">
        <v>28.070630000000001</v>
      </c>
      <c r="V1511">
        <v>1148448</v>
      </c>
    </row>
    <row r="1512" spans="1:22" x14ac:dyDescent="0.25">
      <c r="A1512" t="s">
        <v>1286</v>
      </c>
      <c r="B1512" t="s">
        <v>1287</v>
      </c>
      <c r="C1512">
        <v>65</v>
      </c>
      <c r="D1512">
        <v>99</v>
      </c>
      <c r="E1512">
        <v>99</v>
      </c>
      <c r="F1512" t="s">
        <v>1290</v>
      </c>
      <c r="G1512" t="s">
        <v>1290</v>
      </c>
      <c r="H1512">
        <f t="shared" si="26"/>
        <v>11</v>
      </c>
      <c r="M1512" s="1">
        <v>3.28306993469596E-3</v>
      </c>
      <c r="N1512">
        <v>2222.13232421875</v>
      </c>
      <c r="O1512">
        <v>741.71810000000005</v>
      </c>
      <c r="P1512">
        <v>2222.12915039063</v>
      </c>
      <c r="Q1512">
        <v>741.71697998046795</v>
      </c>
      <c r="R1512">
        <v>3</v>
      </c>
      <c r="S1512">
        <v>1</v>
      </c>
      <c r="T1512">
        <v>10</v>
      </c>
      <c r="U1512">
        <v>34.800820000000002</v>
      </c>
      <c r="V1512">
        <v>344354.8</v>
      </c>
    </row>
    <row r="1513" spans="1:22" x14ac:dyDescent="0.25">
      <c r="A1513" t="s">
        <v>1286</v>
      </c>
      <c r="B1513" t="s">
        <v>1287</v>
      </c>
      <c r="C1513">
        <v>67</v>
      </c>
      <c r="D1513">
        <v>99</v>
      </c>
      <c r="E1513">
        <v>99</v>
      </c>
      <c r="F1513" t="s">
        <v>1291</v>
      </c>
      <c r="G1513" t="s">
        <v>1291</v>
      </c>
      <c r="H1513">
        <f t="shared" si="26"/>
        <v>11</v>
      </c>
      <c r="M1513" s="1">
        <v>1.5266699483617999E-3</v>
      </c>
      <c r="N1513">
        <v>1381.74816894531</v>
      </c>
      <c r="O1513">
        <v>461.59</v>
      </c>
      <c r="P1513">
        <v>1381.74658203125</v>
      </c>
      <c r="Q1513">
        <v>461.58947753906301</v>
      </c>
      <c r="R1513">
        <v>3</v>
      </c>
      <c r="S1513">
        <v>1</v>
      </c>
      <c r="T1513">
        <v>10</v>
      </c>
      <c r="U1513">
        <v>22.059719999999899</v>
      </c>
      <c r="V1513">
        <v>650801.4</v>
      </c>
    </row>
    <row r="1514" spans="1:22" x14ac:dyDescent="0.25">
      <c r="A1514" t="s">
        <v>1286</v>
      </c>
      <c r="B1514" t="s">
        <v>1287</v>
      </c>
      <c r="C1514">
        <v>67</v>
      </c>
      <c r="D1514">
        <v>99</v>
      </c>
      <c r="E1514">
        <v>99</v>
      </c>
      <c r="F1514" t="s">
        <v>1292</v>
      </c>
      <c r="G1514" t="s">
        <v>1292</v>
      </c>
      <c r="H1514">
        <f t="shared" si="26"/>
        <v>12</v>
      </c>
      <c r="M1514" s="1">
        <v>-1.5520399902015901E-3</v>
      </c>
      <c r="N1514">
        <v>1934.06103515625</v>
      </c>
      <c r="O1514">
        <v>645.6943</v>
      </c>
      <c r="P1514">
        <v>1934.0625</v>
      </c>
      <c r="Q1514">
        <v>645.69476318359295</v>
      </c>
      <c r="R1514">
        <v>3</v>
      </c>
      <c r="S1514">
        <v>1</v>
      </c>
      <c r="T1514">
        <v>10</v>
      </c>
      <c r="U1514">
        <v>27.782330000000002</v>
      </c>
      <c r="V1514">
        <v>311541.40000000002</v>
      </c>
    </row>
    <row r="1515" spans="1:22" x14ac:dyDescent="0.25">
      <c r="A1515" t="s">
        <v>1286</v>
      </c>
      <c r="B1515" t="s">
        <v>1287</v>
      </c>
      <c r="C1515">
        <v>67</v>
      </c>
      <c r="D1515">
        <v>97.7</v>
      </c>
      <c r="E1515">
        <v>97.74</v>
      </c>
      <c r="F1515" t="s">
        <v>1293</v>
      </c>
      <c r="G1515" t="s">
        <v>1293</v>
      </c>
      <c r="H1515">
        <f t="shared" si="26"/>
        <v>13</v>
      </c>
      <c r="M1515" s="1">
        <v>-1.9984398968517802E-3</v>
      </c>
      <c r="N1515">
        <v>1114.62268066406</v>
      </c>
      <c r="O1515">
        <v>1115.6300000000001</v>
      </c>
      <c r="P1515">
        <v>1114.62475585938</v>
      </c>
      <c r="Q1515">
        <v>1115.63195800781</v>
      </c>
      <c r="R1515">
        <v>1</v>
      </c>
      <c r="S1515">
        <v>5</v>
      </c>
      <c r="T1515">
        <v>11</v>
      </c>
      <c r="U1515">
        <v>19.447849999999899</v>
      </c>
      <c r="V1515">
        <v>1850279</v>
      </c>
    </row>
    <row r="1516" spans="1:22" x14ac:dyDescent="0.25">
      <c r="A1516" t="s">
        <v>1286</v>
      </c>
      <c r="B1516" t="s">
        <v>1287</v>
      </c>
      <c r="C1516">
        <v>66</v>
      </c>
      <c r="D1516">
        <v>99</v>
      </c>
      <c r="E1516">
        <v>99</v>
      </c>
      <c r="F1516" t="s">
        <v>1294</v>
      </c>
      <c r="G1516" t="s">
        <v>1294</v>
      </c>
      <c r="H1516">
        <f t="shared" si="26"/>
        <v>11</v>
      </c>
      <c r="M1516" s="1">
        <v>-3.6561500746756801E-3</v>
      </c>
      <c r="N1516">
        <v>1135.71533203125</v>
      </c>
      <c r="O1516">
        <v>568.86490000000003</v>
      </c>
      <c r="P1516">
        <v>1135.71899414063</v>
      </c>
      <c r="Q1516">
        <v>568.86676025390602</v>
      </c>
      <c r="R1516">
        <v>2</v>
      </c>
      <c r="S1516">
        <v>1</v>
      </c>
      <c r="T1516">
        <v>11</v>
      </c>
      <c r="U1516">
        <v>18.01925</v>
      </c>
      <c r="V1516">
        <v>3434822</v>
      </c>
    </row>
    <row r="1517" spans="1:22" x14ac:dyDescent="0.25">
      <c r="A1517" t="s">
        <v>1286</v>
      </c>
      <c r="B1517" t="s">
        <v>1287</v>
      </c>
      <c r="C1517">
        <v>66</v>
      </c>
      <c r="D1517">
        <v>99</v>
      </c>
      <c r="E1517">
        <v>99</v>
      </c>
      <c r="F1517" t="s">
        <v>1295</v>
      </c>
      <c r="G1517" t="s">
        <v>1295</v>
      </c>
      <c r="H1517">
        <f t="shared" si="26"/>
        <v>13</v>
      </c>
      <c r="M1517" s="1">
        <v>-3.02073010243475E-3</v>
      </c>
      <c r="N1517">
        <v>1133.70031738281</v>
      </c>
      <c r="O1517">
        <v>567.85739999999896</v>
      </c>
      <c r="P1517">
        <v>1133.70336914063</v>
      </c>
      <c r="Q1517">
        <v>567.85894775390602</v>
      </c>
      <c r="R1517">
        <v>2</v>
      </c>
      <c r="S1517">
        <v>1</v>
      </c>
      <c r="T1517">
        <v>9</v>
      </c>
      <c r="U1517">
        <v>18.24615</v>
      </c>
      <c r="V1517">
        <v>224866.8</v>
      </c>
    </row>
    <row r="1518" spans="1:22" x14ac:dyDescent="0.25">
      <c r="A1518" t="s">
        <v>1286</v>
      </c>
      <c r="B1518" t="s">
        <v>1287</v>
      </c>
      <c r="C1518">
        <v>23</v>
      </c>
      <c r="D1518">
        <v>99</v>
      </c>
      <c r="E1518">
        <v>99</v>
      </c>
      <c r="F1518" t="s">
        <v>1296</v>
      </c>
      <c r="G1518" t="s">
        <v>1296</v>
      </c>
      <c r="H1518">
        <f t="shared" si="26"/>
        <v>18</v>
      </c>
      <c r="M1518" s="1">
        <v>3.0737700872123098E-3</v>
      </c>
      <c r="N1518">
        <v>1160.68090820313</v>
      </c>
      <c r="O1518">
        <v>387.90089999999901</v>
      </c>
      <c r="P1518">
        <v>1160.67785644531</v>
      </c>
      <c r="Q1518">
        <v>387.89987182617102</v>
      </c>
      <c r="R1518">
        <v>3</v>
      </c>
      <c r="S1518">
        <v>1</v>
      </c>
      <c r="T1518">
        <v>11</v>
      </c>
      <c r="U1518">
        <v>26.7075</v>
      </c>
      <c r="V1518">
        <v>2396058</v>
      </c>
    </row>
    <row r="1519" spans="1:22" x14ac:dyDescent="0.25">
      <c r="A1519" t="s">
        <v>250</v>
      </c>
      <c r="B1519" t="s">
        <v>251</v>
      </c>
      <c r="C1519">
        <v>456</v>
      </c>
      <c r="D1519">
        <v>98.9</v>
      </c>
      <c r="E1519">
        <v>98.92</v>
      </c>
      <c r="F1519" t="s">
        <v>252</v>
      </c>
      <c r="G1519" t="s">
        <v>252</v>
      </c>
      <c r="H1519">
        <f t="shared" si="26"/>
        <v>9</v>
      </c>
      <c r="L1519" t="s">
        <v>253</v>
      </c>
      <c r="M1519" s="1">
        <v>2.9931201133877E-3</v>
      </c>
      <c r="N1519">
        <v>1588.65930175781</v>
      </c>
      <c r="O1519">
        <v>795.33690000000001</v>
      </c>
      <c r="P1519">
        <v>1588.65625</v>
      </c>
      <c r="Q1519">
        <v>795.33538818359295</v>
      </c>
      <c r="R1519">
        <v>2</v>
      </c>
      <c r="S1519">
        <v>1</v>
      </c>
      <c r="T1519">
        <v>11</v>
      </c>
      <c r="U1519">
        <v>39.09798</v>
      </c>
      <c r="V1519">
        <v>714783.4</v>
      </c>
    </row>
    <row r="1520" spans="1:22" x14ac:dyDescent="0.25">
      <c r="A1520" t="s">
        <v>3077</v>
      </c>
      <c r="B1520" t="s">
        <v>3078</v>
      </c>
      <c r="C1520">
        <v>705</v>
      </c>
      <c r="D1520">
        <v>99</v>
      </c>
      <c r="E1520">
        <v>99</v>
      </c>
      <c r="F1520" t="s">
        <v>3079</v>
      </c>
      <c r="G1520" t="s">
        <v>3079</v>
      </c>
      <c r="H1520">
        <f t="shared" si="26"/>
        <v>9</v>
      </c>
      <c r="L1520" t="s">
        <v>253</v>
      </c>
      <c r="M1520" s="1">
        <v>8.4562497213482805E-3</v>
      </c>
      <c r="N1520">
        <v>2099.10815429688</v>
      </c>
      <c r="O1520">
        <v>700.71</v>
      </c>
      <c r="P1520">
        <v>2099.09985351563</v>
      </c>
      <c r="Q1520">
        <v>700.70721435546795</v>
      </c>
      <c r="R1520">
        <v>3</v>
      </c>
      <c r="S1520">
        <v>1</v>
      </c>
      <c r="T1520">
        <v>15</v>
      </c>
      <c r="U1520">
        <v>41.853349999999899</v>
      </c>
      <c r="V1520">
        <v>211551.2</v>
      </c>
    </row>
    <row r="1521" spans="1:22" x14ac:dyDescent="0.25">
      <c r="A1521" t="s">
        <v>1652</v>
      </c>
      <c r="B1521" t="s">
        <v>1653</v>
      </c>
      <c r="C1521">
        <v>9</v>
      </c>
      <c r="D1521">
        <v>99</v>
      </c>
      <c r="E1521">
        <v>99</v>
      </c>
      <c r="F1521" t="s">
        <v>528</v>
      </c>
      <c r="G1521" t="s">
        <v>528</v>
      </c>
      <c r="H1521">
        <f t="shared" si="26"/>
        <v>9</v>
      </c>
      <c r="M1521">
        <v>3.6900000000000002E-4</v>
      </c>
      <c r="N1521">
        <v>1150.62512207031</v>
      </c>
      <c r="O1521">
        <v>576.31979999999896</v>
      </c>
      <c r="P1521">
        <v>1150.62475585938</v>
      </c>
      <c r="Q1521">
        <v>576.31964111328102</v>
      </c>
      <c r="R1521">
        <v>2</v>
      </c>
      <c r="S1521">
        <v>4</v>
      </c>
      <c r="T1521">
        <v>10</v>
      </c>
      <c r="U1521">
        <v>23.983270000000001</v>
      </c>
      <c r="V1521">
        <v>2880932</v>
      </c>
    </row>
    <row r="1522" spans="1:22" x14ac:dyDescent="0.25">
      <c r="A1522" t="s">
        <v>1652</v>
      </c>
      <c r="B1522" t="s">
        <v>1653</v>
      </c>
      <c r="C1522">
        <v>1001</v>
      </c>
      <c r="D1522">
        <v>97.3</v>
      </c>
      <c r="E1522">
        <v>97.26</v>
      </c>
      <c r="F1522" t="s">
        <v>1654</v>
      </c>
      <c r="G1522" t="s">
        <v>1654</v>
      </c>
      <c r="H1522">
        <f t="shared" si="26"/>
        <v>9</v>
      </c>
      <c r="L1522" t="s">
        <v>377</v>
      </c>
      <c r="M1522">
        <v>7.6099999999999996E-4</v>
      </c>
      <c r="N1522">
        <v>1192.4462890625</v>
      </c>
      <c r="O1522">
        <v>597.23040000000003</v>
      </c>
      <c r="P1522">
        <v>1192.44555664063</v>
      </c>
      <c r="Q1522">
        <v>597.23004150390602</v>
      </c>
      <c r="R1522">
        <v>2</v>
      </c>
      <c r="S1522">
        <v>1</v>
      </c>
      <c r="T1522">
        <v>15</v>
      </c>
      <c r="U1522">
        <v>26.50412</v>
      </c>
      <c r="V1522">
        <v>1287722</v>
      </c>
    </row>
    <row r="1523" spans="1:22" x14ac:dyDescent="0.25">
      <c r="A1523" t="s">
        <v>330</v>
      </c>
      <c r="B1523" t="s">
        <v>331</v>
      </c>
      <c r="C1523">
        <v>401</v>
      </c>
      <c r="D1523">
        <v>99</v>
      </c>
      <c r="E1523">
        <v>99</v>
      </c>
      <c r="F1523" t="s">
        <v>3190</v>
      </c>
      <c r="G1523" t="s">
        <v>3190</v>
      </c>
      <c r="H1523">
        <f t="shared" si="26"/>
        <v>12</v>
      </c>
      <c r="M1523" s="1">
        <v>-2.7998900040984201E-3</v>
      </c>
      <c r="N1523">
        <v>1124.66381835938</v>
      </c>
      <c r="O1523">
        <v>563.33920000000001</v>
      </c>
      <c r="P1523">
        <v>1124.66662597656</v>
      </c>
      <c r="Q1523">
        <v>563.340576171875</v>
      </c>
      <c r="R1523">
        <v>2</v>
      </c>
      <c r="S1523">
        <v>2</v>
      </c>
      <c r="T1523">
        <v>12</v>
      </c>
      <c r="U1523">
        <v>19.711099999999899</v>
      </c>
      <c r="V1523">
        <v>906521.4</v>
      </c>
    </row>
    <row r="1524" spans="1:22" x14ac:dyDescent="0.25">
      <c r="A1524" t="s">
        <v>330</v>
      </c>
      <c r="B1524" t="s">
        <v>331</v>
      </c>
      <c r="C1524">
        <v>477</v>
      </c>
      <c r="D1524">
        <v>99</v>
      </c>
      <c r="E1524">
        <v>99</v>
      </c>
      <c r="F1524" t="s">
        <v>3191</v>
      </c>
      <c r="G1524" t="s">
        <v>3191</v>
      </c>
      <c r="H1524">
        <f t="shared" si="26"/>
        <v>13</v>
      </c>
      <c r="M1524" s="1">
        <v>-9.7855797503143506E-4</v>
      </c>
      <c r="N1524">
        <v>1149.66088867188</v>
      </c>
      <c r="O1524">
        <v>575.83770000000004</v>
      </c>
      <c r="P1524">
        <v>1149.66186523438</v>
      </c>
      <c r="Q1524">
        <v>575.83819580078102</v>
      </c>
      <c r="R1524">
        <v>2</v>
      </c>
      <c r="S1524">
        <v>2</v>
      </c>
      <c r="T1524">
        <v>12</v>
      </c>
      <c r="U1524">
        <v>23.63815</v>
      </c>
      <c r="V1524">
        <v>9731938</v>
      </c>
    </row>
    <row r="1525" spans="1:22" x14ac:dyDescent="0.25">
      <c r="A1525" t="s">
        <v>330</v>
      </c>
      <c r="B1525" t="s">
        <v>331</v>
      </c>
      <c r="C1525">
        <v>394</v>
      </c>
      <c r="D1525">
        <v>98.1</v>
      </c>
      <c r="E1525">
        <v>98.07</v>
      </c>
      <c r="F1525" t="s">
        <v>3192</v>
      </c>
      <c r="G1525" t="s">
        <v>3192</v>
      </c>
      <c r="H1525">
        <f t="shared" si="26"/>
        <v>19</v>
      </c>
      <c r="M1525" s="1">
        <v>-3.3271000720560499E-3</v>
      </c>
      <c r="N1525">
        <v>1176.67346191406</v>
      </c>
      <c r="O1525">
        <v>589.34400000000005</v>
      </c>
      <c r="P1525">
        <v>1176.6767578125</v>
      </c>
      <c r="Q1525">
        <v>589.34564208984295</v>
      </c>
      <c r="R1525">
        <v>2</v>
      </c>
      <c r="S1525">
        <v>5</v>
      </c>
      <c r="T1525">
        <v>11</v>
      </c>
      <c r="U1525">
        <v>22.006620000000002</v>
      </c>
      <c r="V1525">
        <v>1969477</v>
      </c>
    </row>
    <row r="1526" spans="1:22" x14ac:dyDescent="0.25">
      <c r="A1526" t="s">
        <v>330</v>
      </c>
      <c r="B1526" t="s">
        <v>331</v>
      </c>
      <c r="C1526">
        <v>400</v>
      </c>
      <c r="D1526">
        <v>97.8</v>
      </c>
      <c r="E1526">
        <v>97.81</v>
      </c>
      <c r="F1526" t="s">
        <v>332</v>
      </c>
      <c r="G1526" t="s">
        <v>332</v>
      </c>
      <c r="H1526">
        <f t="shared" si="26"/>
        <v>13</v>
      </c>
      <c r="L1526" t="s">
        <v>295</v>
      </c>
      <c r="M1526" s="1">
        <v>3.7406100891530501E-3</v>
      </c>
      <c r="N1526">
        <v>1582.86511230469</v>
      </c>
      <c r="O1526">
        <v>792.43979999999897</v>
      </c>
      <c r="P1526">
        <v>1582.861328125</v>
      </c>
      <c r="Q1526">
        <v>792.43792724609295</v>
      </c>
      <c r="R1526">
        <v>2</v>
      </c>
      <c r="S1526">
        <v>2</v>
      </c>
      <c r="T1526">
        <v>12</v>
      </c>
      <c r="U1526">
        <v>28.283280000000001</v>
      </c>
      <c r="V1526">
        <v>287521.5</v>
      </c>
    </row>
    <row r="1527" spans="1:22" x14ac:dyDescent="0.25">
      <c r="A1527" t="s">
        <v>3971</v>
      </c>
      <c r="B1527" t="s">
        <v>3972</v>
      </c>
      <c r="C1527">
        <v>54</v>
      </c>
      <c r="D1527">
        <v>98.5</v>
      </c>
      <c r="E1527">
        <v>98.52</v>
      </c>
      <c r="F1527" t="s">
        <v>3973</v>
      </c>
      <c r="G1527" t="s">
        <v>3973</v>
      </c>
      <c r="H1527">
        <f t="shared" si="26"/>
        <v>9</v>
      </c>
      <c r="M1527" s="1">
        <v>-5.04373013973236E-3</v>
      </c>
      <c r="N1527">
        <v>1183.70263671875</v>
      </c>
      <c r="O1527">
        <v>1184.71</v>
      </c>
      <c r="P1527">
        <v>1183.70776367188</v>
      </c>
      <c r="Q1527">
        <v>1184.71496582031</v>
      </c>
      <c r="R1527">
        <v>1</v>
      </c>
      <c r="S1527">
        <v>14</v>
      </c>
      <c r="T1527">
        <v>10</v>
      </c>
      <c r="U1527">
        <v>20.77732</v>
      </c>
      <c r="V1527">
        <v>2411652</v>
      </c>
    </row>
    <row r="1528" spans="1:22" x14ac:dyDescent="0.25">
      <c r="A1528" t="s">
        <v>4017</v>
      </c>
      <c r="B1528" t="s">
        <v>4018</v>
      </c>
      <c r="C1528">
        <v>684</v>
      </c>
      <c r="D1528">
        <v>99</v>
      </c>
      <c r="E1528">
        <v>99</v>
      </c>
      <c r="F1528" t="s">
        <v>4019</v>
      </c>
      <c r="G1528" t="s">
        <v>4019</v>
      </c>
      <c r="H1528">
        <f t="shared" si="26"/>
        <v>9</v>
      </c>
      <c r="M1528" s="1">
        <v>1.66654994245618E-3</v>
      </c>
      <c r="N1528">
        <v>913.50384521484295</v>
      </c>
      <c r="O1528">
        <v>457.75920000000002</v>
      </c>
      <c r="P1528">
        <v>913.50213623046795</v>
      </c>
      <c r="Q1528">
        <v>457.75836181640602</v>
      </c>
      <c r="R1528">
        <v>2</v>
      </c>
      <c r="S1528">
        <v>1</v>
      </c>
      <c r="T1528">
        <v>11</v>
      </c>
      <c r="U1528">
        <v>26.4733699999999</v>
      </c>
      <c r="V1528">
        <v>852433.1</v>
      </c>
    </row>
    <row r="1529" spans="1:22" x14ac:dyDescent="0.25">
      <c r="A1529" t="s">
        <v>4017</v>
      </c>
      <c r="B1529" t="s">
        <v>4018</v>
      </c>
      <c r="C1529">
        <v>684</v>
      </c>
      <c r="D1529">
        <v>99</v>
      </c>
      <c r="E1529">
        <v>99</v>
      </c>
      <c r="F1529" t="s">
        <v>4019</v>
      </c>
      <c r="G1529" t="s">
        <v>4019</v>
      </c>
      <c r="H1529">
        <f t="shared" si="26"/>
        <v>9</v>
      </c>
      <c r="L1529" t="s">
        <v>47</v>
      </c>
      <c r="M1529" s="1">
        <v>1.8563000485301E-2</v>
      </c>
      <c r="N1529">
        <v>1459.82543945313</v>
      </c>
      <c r="O1529">
        <v>730.92</v>
      </c>
      <c r="P1529">
        <v>1459.80688476563</v>
      </c>
      <c r="Q1529">
        <v>730.91070556640602</v>
      </c>
      <c r="R1529">
        <v>2</v>
      </c>
      <c r="S1529">
        <v>1</v>
      </c>
      <c r="T1529">
        <v>10</v>
      </c>
      <c r="U1529">
        <v>36.308720000000001</v>
      </c>
      <c r="V1529">
        <v>180582.9</v>
      </c>
    </row>
    <row r="1530" spans="1:22" x14ac:dyDescent="0.25">
      <c r="A1530" t="s">
        <v>2972</v>
      </c>
      <c r="B1530" t="s">
        <v>2973</v>
      </c>
      <c r="C1530">
        <v>329</v>
      </c>
      <c r="D1530">
        <v>99</v>
      </c>
      <c r="E1530">
        <v>99</v>
      </c>
      <c r="F1530" t="s">
        <v>2974</v>
      </c>
      <c r="G1530" t="s">
        <v>2974</v>
      </c>
      <c r="H1530">
        <f t="shared" si="26"/>
        <v>16</v>
      </c>
      <c r="M1530" s="1">
        <v>-5.3789899684488704E-3</v>
      </c>
      <c r="N1530">
        <v>2056.98803710938</v>
      </c>
      <c r="O1530">
        <v>686.67</v>
      </c>
      <c r="P1530">
        <v>2056.99340820313</v>
      </c>
      <c r="Q1530">
        <v>686.67175292968705</v>
      </c>
      <c r="R1530">
        <v>3</v>
      </c>
      <c r="S1530">
        <v>1</v>
      </c>
      <c r="T1530">
        <v>9</v>
      </c>
      <c r="U1530">
        <v>28.3262199999999</v>
      </c>
      <c r="V1530">
        <v>215791.3</v>
      </c>
    </row>
    <row r="1531" spans="1:22" x14ac:dyDescent="0.25">
      <c r="A1531" t="s">
        <v>2972</v>
      </c>
      <c r="B1531" t="s">
        <v>2973</v>
      </c>
      <c r="C1531">
        <v>377</v>
      </c>
      <c r="D1531">
        <v>97.5</v>
      </c>
      <c r="E1531">
        <v>97.46</v>
      </c>
      <c r="F1531" t="s">
        <v>2975</v>
      </c>
      <c r="G1531" t="s">
        <v>2975</v>
      </c>
      <c r="H1531">
        <f t="shared" si="26"/>
        <v>15</v>
      </c>
      <c r="M1531" s="1">
        <v>1.51495996396989E-3</v>
      </c>
      <c r="N1531">
        <v>1080.56530761719</v>
      </c>
      <c r="O1531">
        <v>541.28989999999897</v>
      </c>
      <c r="P1531">
        <v>1080.56372070313</v>
      </c>
      <c r="Q1531">
        <v>541.28918457031205</v>
      </c>
      <c r="R1531">
        <v>2</v>
      </c>
      <c r="S1531">
        <v>3</v>
      </c>
      <c r="T1531">
        <v>10</v>
      </c>
      <c r="U1531">
        <v>29.247029999999899</v>
      </c>
      <c r="V1531">
        <v>22523670</v>
      </c>
    </row>
    <row r="1532" spans="1:22" x14ac:dyDescent="0.25">
      <c r="A1532" t="s">
        <v>2972</v>
      </c>
      <c r="B1532" t="s">
        <v>2973</v>
      </c>
      <c r="C1532">
        <v>376</v>
      </c>
      <c r="D1532">
        <v>97</v>
      </c>
      <c r="E1532">
        <v>97.04</v>
      </c>
      <c r="F1532" t="s">
        <v>2976</v>
      </c>
      <c r="G1532" t="s">
        <v>2976</v>
      </c>
      <c r="H1532">
        <f t="shared" si="26"/>
        <v>16</v>
      </c>
      <c r="M1532" s="1">
        <v>2.0835099276155099E-3</v>
      </c>
      <c r="N1532">
        <v>1841.96569824219</v>
      </c>
      <c r="O1532">
        <v>461.49869999999902</v>
      </c>
      <c r="P1532">
        <v>1841.96350097656</v>
      </c>
      <c r="Q1532">
        <v>461.49816894531301</v>
      </c>
      <c r="R1532">
        <v>4</v>
      </c>
      <c r="S1532">
        <v>1</v>
      </c>
      <c r="T1532">
        <v>11</v>
      </c>
      <c r="U1532">
        <v>25.236000000000001</v>
      </c>
      <c r="V1532">
        <v>198557.6</v>
      </c>
    </row>
    <row r="1533" spans="1:22" x14ac:dyDescent="0.25">
      <c r="A1533" t="s">
        <v>2972</v>
      </c>
      <c r="B1533" t="s">
        <v>2973</v>
      </c>
      <c r="C1533">
        <v>330</v>
      </c>
      <c r="D1533">
        <v>99</v>
      </c>
      <c r="E1533">
        <v>99</v>
      </c>
      <c r="F1533" t="s">
        <v>2977</v>
      </c>
      <c r="G1533" t="s">
        <v>2977</v>
      </c>
      <c r="H1533">
        <f t="shared" si="26"/>
        <v>15</v>
      </c>
      <c r="M1533" s="1">
        <v>7.4619799852371103E-3</v>
      </c>
      <c r="N1533">
        <v>1550.75390625</v>
      </c>
      <c r="O1533">
        <v>776.38419999999905</v>
      </c>
      <c r="P1533">
        <v>1550.74645996094</v>
      </c>
      <c r="Q1533">
        <v>776.38049316406205</v>
      </c>
      <c r="R1533">
        <v>2</v>
      </c>
      <c r="S1533">
        <v>1</v>
      </c>
      <c r="T1533">
        <v>8</v>
      </c>
      <c r="U1533">
        <v>27.614820000000002</v>
      </c>
      <c r="V1533">
        <v>96287.039999999906</v>
      </c>
    </row>
    <row r="1534" spans="1:22" x14ac:dyDescent="0.25">
      <c r="A1534" t="s">
        <v>2972</v>
      </c>
      <c r="B1534" t="s">
        <v>2973</v>
      </c>
      <c r="C1534">
        <v>329</v>
      </c>
      <c r="D1534">
        <v>99</v>
      </c>
      <c r="E1534">
        <v>99</v>
      </c>
      <c r="F1534" t="s">
        <v>2974</v>
      </c>
      <c r="G1534" t="s">
        <v>2974</v>
      </c>
      <c r="H1534">
        <f t="shared" si="26"/>
        <v>16</v>
      </c>
      <c r="L1534" t="s">
        <v>1408</v>
      </c>
      <c r="M1534">
        <v>6.3449999999999999E-3</v>
      </c>
      <c r="N1534">
        <v>1774.927734375</v>
      </c>
      <c r="O1534">
        <v>888.47109999999896</v>
      </c>
      <c r="P1534">
        <v>1774.92138671875</v>
      </c>
      <c r="Q1534">
        <v>888.46795654296795</v>
      </c>
      <c r="R1534">
        <v>2</v>
      </c>
      <c r="S1534">
        <v>1</v>
      </c>
      <c r="T1534">
        <v>18</v>
      </c>
      <c r="U1534">
        <v>29.220800000000001</v>
      </c>
      <c r="V1534">
        <v>303972.90000000002</v>
      </c>
    </row>
    <row r="1535" spans="1:22" x14ac:dyDescent="0.25">
      <c r="A1535" t="s">
        <v>2972</v>
      </c>
      <c r="B1535" t="s">
        <v>2973</v>
      </c>
      <c r="C1535">
        <v>331</v>
      </c>
      <c r="D1535">
        <v>99</v>
      </c>
      <c r="E1535">
        <v>99</v>
      </c>
      <c r="F1535" t="s">
        <v>2978</v>
      </c>
      <c r="G1535" t="s">
        <v>2978</v>
      </c>
      <c r="H1535">
        <f t="shared" si="26"/>
        <v>14</v>
      </c>
      <c r="L1535" t="s">
        <v>43</v>
      </c>
      <c r="M1535" s="1">
        <v>-9.1043702559545604E-4</v>
      </c>
      <c r="N1535">
        <v>1060.62451171875</v>
      </c>
      <c r="O1535">
        <v>531.31949999999904</v>
      </c>
      <c r="P1535">
        <v>1060.62536621094</v>
      </c>
      <c r="Q1535">
        <v>531.31994628906205</v>
      </c>
      <c r="R1535">
        <v>2</v>
      </c>
      <c r="S1535">
        <v>2</v>
      </c>
      <c r="T1535">
        <v>11</v>
      </c>
      <c r="U1535">
        <v>20.7012</v>
      </c>
      <c r="V1535">
        <v>3286209</v>
      </c>
    </row>
    <row r="1536" spans="1:22" x14ac:dyDescent="0.25">
      <c r="A1536" t="s">
        <v>2972</v>
      </c>
      <c r="B1536" t="s">
        <v>2973</v>
      </c>
      <c r="C1536">
        <v>330</v>
      </c>
      <c r="D1536">
        <v>99</v>
      </c>
      <c r="E1536">
        <v>99</v>
      </c>
      <c r="F1536" t="s">
        <v>2977</v>
      </c>
      <c r="G1536" t="s">
        <v>2977</v>
      </c>
      <c r="H1536">
        <f t="shared" si="26"/>
        <v>15</v>
      </c>
      <c r="L1536" t="s">
        <v>87</v>
      </c>
      <c r="M1536" s="1">
        <v>-2.2093800362199502E-3</v>
      </c>
      <c r="N1536">
        <v>1199.529296875</v>
      </c>
      <c r="O1536">
        <v>600.77189999999905</v>
      </c>
      <c r="P1536">
        <v>1199.53149414063</v>
      </c>
      <c r="Q1536">
        <v>600.77301025390602</v>
      </c>
      <c r="R1536">
        <v>2</v>
      </c>
      <c r="S1536">
        <v>4</v>
      </c>
      <c r="T1536">
        <v>12</v>
      </c>
      <c r="U1536">
        <v>21.600650000000002</v>
      </c>
      <c r="V1536">
        <v>7174341</v>
      </c>
    </row>
    <row r="1537" spans="1:22" x14ac:dyDescent="0.25">
      <c r="A1537" t="s">
        <v>2272</v>
      </c>
      <c r="B1537" t="s">
        <v>2273</v>
      </c>
      <c r="C1537">
        <v>511</v>
      </c>
      <c r="D1537">
        <v>99</v>
      </c>
      <c r="E1537">
        <v>99</v>
      </c>
      <c r="F1537" t="s">
        <v>2274</v>
      </c>
      <c r="G1537" t="s">
        <v>2274</v>
      </c>
      <c r="H1537">
        <f t="shared" si="26"/>
        <v>9</v>
      </c>
      <c r="M1537" s="1">
        <v>1.76799995824695E-3</v>
      </c>
      <c r="N1537">
        <v>1119.67822265625</v>
      </c>
      <c r="O1537">
        <v>560.84640000000002</v>
      </c>
      <c r="P1537">
        <v>1119.67639160156</v>
      </c>
      <c r="Q1537">
        <v>560.84552001953102</v>
      </c>
      <c r="R1537">
        <v>2</v>
      </c>
      <c r="S1537">
        <v>1</v>
      </c>
      <c r="T1537">
        <v>11</v>
      </c>
      <c r="U1537">
        <v>23.67923</v>
      </c>
      <c r="V1537">
        <v>958493.1</v>
      </c>
    </row>
    <row r="1538" spans="1:22" x14ac:dyDescent="0.25">
      <c r="A1538" t="s">
        <v>662</v>
      </c>
      <c r="B1538" t="s">
        <v>663</v>
      </c>
      <c r="C1538">
        <v>68</v>
      </c>
      <c r="D1538">
        <v>98.7</v>
      </c>
      <c r="E1538">
        <v>98.69</v>
      </c>
      <c r="F1538" t="s">
        <v>664</v>
      </c>
      <c r="G1538" t="s">
        <v>664</v>
      </c>
      <c r="H1538">
        <f t="shared" si="26"/>
        <v>9</v>
      </c>
      <c r="M1538" s="1">
        <v>4.9133100546896501E-3</v>
      </c>
      <c r="N1538">
        <v>1901.00561523438</v>
      </c>
      <c r="O1538">
        <v>951.51009999999906</v>
      </c>
      <c r="P1538">
        <v>1901.00073242188</v>
      </c>
      <c r="Q1538">
        <v>951.50762939453102</v>
      </c>
      <c r="R1538">
        <v>2</v>
      </c>
      <c r="S1538">
        <v>2</v>
      </c>
      <c r="T1538">
        <v>12</v>
      </c>
      <c r="U1538">
        <v>31.361270000000001</v>
      </c>
      <c r="V1538">
        <v>292114.2</v>
      </c>
    </row>
    <row r="1539" spans="1:22" x14ac:dyDescent="0.25">
      <c r="A1539" t="s">
        <v>3277</v>
      </c>
      <c r="B1539" t="s">
        <v>3278</v>
      </c>
      <c r="C1539">
        <v>413</v>
      </c>
      <c r="D1539">
        <v>97.9</v>
      </c>
      <c r="E1539">
        <v>97.94</v>
      </c>
      <c r="F1539" t="s">
        <v>3279</v>
      </c>
      <c r="G1539" t="s">
        <v>3279</v>
      </c>
      <c r="H1539">
        <f t="shared" ref="H1539:H1602" si="27">LEN(G1539)</f>
        <v>9</v>
      </c>
      <c r="M1539" s="1">
        <v>4.46039019152522E-3</v>
      </c>
      <c r="N1539">
        <v>2009.98510742188</v>
      </c>
      <c r="O1539">
        <v>671.00229999999897</v>
      </c>
      <c r="P1539">
        <v>2009.98071289063</v>
      </c>
      <c r="Q1539">
        <v>671.00085449218705</v>
      </c>
      <c r="R1539">
        <v>3</v>
      </c>
      <c r="S1539">
        <v>1</v>
      </c>
      <c r="T1539">
        <v>12</v>
      </c>
      <c r="U1539">
        <v>26.9361</v>
      </c>
      <c r="V1539">
        <v>902953.3</v>
      </c>
    </row>
    <row r="1540" spans="1:22" x14ac:dyDescent="0.25">
      <c r="A1540" t="s">
        <v>4020</v>
      </c>
      <c r="B1540" t="s">
        <v>4021</v>
      </c>
      <c r="C1540">
        <v>2</v>
      </c>
      <c r="D1540">
        <v>99</v>
      </c>
      <c r="E1540">
        <v>99</v>
      </c>
      <c r="F1540" t="s">
        <v>4022</v>
      </c>
      <c r="G1540" t="s">
        <v>4022</v>
      </c>
      <c r="H1540">
        <f t="shared" si="27"/>
        <v>16</v>
      </c>
      <c r="L1540" t="s">
        <v>227</v>
      </c>
      <c r="M1540" s="1">
        <v>-2.6831000577658402E-3</v>
      </c>
      <c r="N1540">
        <v>1799.85510253906</v>
      </c>
      <c r="O1540">
        <v>900.9348</v>
      </c>
      <c r="P1540">
        <v>1799.85778808594</v>
      </c>
      <c r="Q1540">
        <v>900.93615722656205</v>
      </c>
      <c r="R1540">
        <v>2</v>
      </c>
      <c r="S1540">
        <v>1</v>
      </c>
      <c r="T1540">
        <v>15</v>
      </c>
      <c r="U1540">
        <v>53.922330000000002</v>
      </c>
      <c r="V1540">
        <v>89037.3</v>
      </c>
    </row>
    <row r="1541" spans="1:22" x14ac:dyDescent="0.25">
      <c r="A1541" t="s">
        <v>4583</v>
      </c>
      <c r="B1541" t="s">
        <v>4584</v>
      </c>
      <c r="C1541">
        <v>581</v>
      </c>
      <c r="D1541">
        <v>97</v>
      </c>
      <c r="E1541">
        <v>96.96</v>
      </c>
      <c r="F1541" t="s">
        <v>4585</v>
      </c>
      <c r="G1541" t="s">
        <v>4585</v>
      </c>
      <c r="H1541">
        <f t="shared" si="27"/>
        <v>9</v>
      </c>
      <c r="M1541" s="1">
        <v>3.4342100843787202E-3</v>
      </c>
      <c r="N1541">
        <v>1028.66284179688</v>
      </c>
      <c r="O1541">
        <v>515.33870000000002</v>
      </c>
      <c r="P1541">
        <v>1028.65942382813</v>
      </c>
      <c r="Q1541">
        <v>515.33697509765602</v>
      </c>
      <c r="R1541">
        <v>2</v>
      </c>
      <c r="S1541">
        <v>1</v>
      </c>
      <c r="T1541">
        <v>15</v>
      </c>
      <c r="U1541">
        <v>27.01998</v>
      </c>
      <c r="V1541">
        <v>352462.2</v>
      </c>
    </row>
    <row r="1542" spans="1:22" x14ac:dyDescent="0.25">
      <c r="A1542" t="s">
        <v>1719</v>
      </c>
      <c r="B1542" t="s">
        <v>1720</v>
      </c>
      <c r="C1542">
        <v>9</v>
      </c>
      <c r="D1542">
        <v>99</v>
      </c>
      <c r="E1542">
        <v>99</v>
      </c>
      <c r="F1542" t="s">
        <v>1721</v>
      </c>
      <c r="G1542" t="s">
        <v>1721</v>
      </c>
      <c r="H1542">
        <f t="shared" si="27"/>
        <v>9</v>
      </c>
      <c r="M1542" s="1">
        <v>-3.04583995603025E-3</v>
      </c>
      <c r="N1542">
        <v>1039.7451171875</v>
      </c>
      <c r="O1542">
        <v>520.87980000000005</v>
      </c>
      <c r="P1542">
        <v>1039.74816894531</v>
      </c>
      <c r="Q1542">
        <v>520.88134765625</v>
      </c>
      <c r="R1542">
        <v>2</v>
      </c>
      <c r="S1542">
        <v>1</v>
      </c>
      <c r="T1542">
        <v>13</v>
      </c>
      <c r="U1542">
        <v>21.081880000000002</v>
      </c>
      <c r="V1542">
        <v>2549620</v>
      </c>
    </row>
    <row r="1543" spans="1:22" x14ac:dyDescent="0.25">
      <c r="A1543" t="s">
        <v>4275</v>
      </c>
      <c r="B1543" t="s">
        <v>4276</v>
      </c>
      <c r="C1543">
        <v>273</v>
      </c>
      <c r="D1543">
        <v>98.6</v>
      </c>
      <c r="E1543">
        <v>98.63</v>
      </c>
      <c r="F1543" t="s">
        <v>4277</v>
      </c>
      <c r="G1543" t="s">
        <v>4277</v>
      </c>
      <c r="H1543">
        <f t="shared" si="27"/>
        <v>17</v>
      </c>
      <c r="M1543" s="1">
        <v>7.7220401726663104E-3</v>
      </c>
      <c r="N1543">
        <v>1638.93823242188</v>
      </c>
      <c r="O1543">
        <v>547.32000000000005</v>
      </c>
      <c r="P1543">
        <v>1638.93041992188</v>
      </c>
      <c r="Q1543">
        <v>547.31744384765602</v>
      </c>
      <c r="R1543">
        <v>3</v>
      </c>
      <c r="S1543">
        <v>1</v>
      </c>
      <c r="T1543">
        <v>11</v>
      </c>
      <c r="U1543">
        <v>34.417870000000001</v>
      </c>
      <c r="V1543">
        <v>328066</v>
      </c>
    </row>
    <row r="1544" spans="1:22" x14ac:dyDescent="0.25">
      <c r="A1544" t="s">
        <v>3151</v>
      </c>
      <c r="B1544" t="s">
        <v>3152</v>
      </c>
      <c r="C1544">
        <v>226</v>
      </c>
      <c r="D1544">
        <v>98.7</v>
      </c>
      <c r="E1544">
        <v>98.71</v>
      </c>
      <c r="F1544" t="s">
        <v>3153</v>
      </c>
      <c r="G1544" t="s">
        <v>3153</v>
      </c>
      <c r="H1544">
        <f t="shared" si="27"/>
        <v>9</v>
      </c>
      <c r="M1544" s="1">
        <v>5.9992200694978202E-3</v>
      </c>
      <c r="N1544">
        <v>1848.927734375</v>
      </c>
      <c r="O1544">
        <v>617.31650000000002</v>
      </c>
      <c r="P1544">
        <v>1848.92175292969</v>
      </c>
      <c r="Q1544">
        <v>617.31451416015602</v>
      </c>
      <c r="R1544">
        <v>3</v>
      </c>
      <c r="S1544">
        <v>2</v>
      </c>
      <c r="T1544">
        <v>11</v>
      </c>
      <c r="U1544">
        <v>28.598220000000001</v>
      </c>
      <c r="V1544">
        <v>196606.6</v>
      </c>
    </row>
    <row r="1545" spans="1:22" x14ac:dyDescent="0.25">
      <c r="A1545" t="s">
        <v>3151</v>
      </c>
      <c r="B1545" t="s">
        <v>3152</v>
      </c>
      <c r="C1545">
        <v>226</v>
      </c>
      <c r="D1545">
        <v>96.9</v>
      </c>
      <c r="E1545">
        <v>96.94</v>
      </c>
      <c r="F1545" t="s">
        <v>3153</v>
      </c>
      <c r="G1545" t="s">
        <v>3153</v>
      </c>
      <c r="H1545">
        <f t="shared" si="27"/>
        <v>9</v>
      </c>
      <c r="L1545" t="s">
        <v>47</v>
      </c>
      <c r="M1545" s="1">
        <v>-4.69886988867073E-4</v>
      </c>
      <c r="N1545">
        <v>1484.74963378906</v>
      </c>
      <c r="O1545">
        <v>743.38210000000004</v>
      </c>
      <c r="P1545">
        <v>1484.75012207031</v>
      </c>
      <c r="Q1545">
        <v>743.38232421875</v>
      </c>
      <c r="R1545">
        <v>2</v>
      </c>
      <c r="S1545">
        <v>2</v>
      </c>
      <c r="T1545">
        <v>10</v>
      </c>
      <c r="U1545">
        <v>27.243580000000001</v>
      </c>
      <c r="V1545">
        <v>208054.7</v>
      </c>
    </row>
    <row r="1546" spans="1:22" x14ac:dyDescent="0.25">
      <c r="A1546" t="s">
        <v>3868</v>
      </c>
      <c r="B1546" t="s">
        <v>3869</v>
      </c>
      <c r="C1546">
        <v>237</v>
      </c>
      <c r="D1546">
        <v>99</v>
      </c>
      <c r="E1546">
        <v>99</v>
      </c>
      <c r="F1546" t="s">
        <v>3870</v>
      </c>
      <c r="G1546" t="s">
        <v>3870</v>
      </c>
      <c r="H1546">
        <f t="shared" si="27"/>
        <v>10</v>
      </c>
      <c r="M1546" s="1">
        <v>8.5848001763224602E-3</v>
      </c>
      <c r="N1546">
        <v>1724.87072753906</v>
      </c>
      <c r="O1546">
        <v>863.44259999999895</v>
      </c>
      <c r="P1546">
        <v>1724.86206054688</v>
      </c>
      <c r="Q1546">
        <v>863.43835449218705</v>
      </c>
      <c r="R1546">
        <v>2</v>
      </c>
      <c r="S1546">
        <v>1</v>
      </c>
      <c r="T1546">
        <v>12</v>
      </c>
      <c r="U1546">
        <v>42.562669999999898</v>
      </c>
      <c r="V1546">
        <v>262551.3</v>
      </c>
    </row>
    <row r="1547" spans="1:22" x14ac:dyDescent="0.25">
      <c r="A1547" t="s">
        <v>2323</v>
      </c>
      <c r="B1547" t="s">
        <v>2324</v>
      </c>
      <c r="C1547">
        <v>502</v>
      </c>
      <c r="D1547">
        <v>99</v>
      </c>
      <c r="E1547">
        <v>99</v>
      </c>
      <c r="F1547" t="s">
        <v>2325</v>
      </c>
      <c r="G1547" t="s">
        <v>2325</v>
      </c>
      <c r="H1547">
        <f t="shared" si="27"/>
        <v>16</v>
      </c>
      <c r="M1547" s="1">
        <v>4.6605300158262201E-3</v>
      </c>
      <c r="N1547">
        <v>1040.63891601563</v>
      </c>
      <c r="O1547">
        <v>521.32669999999905</v>
      </c>
      <c r="P1547">
        <v>1040.63427734375</v>
      </c>
      <c r="Q1547">
        <v>521.32440185546795</v>
      </c>
      <c r="R1547">
        <v>2</v>
      </c>
      <c r="S1547">
        <v>4</v>
      </c>
      <c r="T1547">
        <v>13</v>
      </c>
      <c r="U1547">
        <v>31.46715</v>
      </c>
      <c r="V1547">
        <v>2184917</v>
      </c>
    </row>
    <row r="1548" spans="1:22" x14ac:dyDescent="0.25">
      <c r="A1548" t="s">
        <v>4235</v>
      </c>
      <c r="B1548" t="s">
        <v>4236</v>
      </c>
      <c r="C1548">
        <v>317</v>
      </c>
      <c r="D1548">
        <v>99</v>
      </c>
      <c r="E1548">
        <v>99</v>
      </c>
      <c r="F1548" t="s">
        <v>4237</v>
      </c>
      <c r="G1548" t="s">
        <v>4237</v>
      </c>
      <c r="H1548">
        <f t="shared" si="27"/>
        <v>10</v>
      </c>
      <c r="M1548" s="1">
        <v>4.2825499549508103E-3</v>
      </c>
      <c r="N1548">
        <v>1994.11450195313</v>
      </c>
      <c r="O1548">
        <v>499.53590000000003</v>
      </c>
      <c r="P1548">
        <v>1994.11010742188</v>
      </c>
      <c r="Q1548">
        <v>499.53482055664102</v>
      </c>
      <c r="R1548">
        <v>4</v>
      </c>
      <c r="S1548">
        <v>2</v>
      </c>
      <c r="T1548">
        <v>11</v>
      </c>
      <c r="U1548">
        <v>33.972479999999898</v>
      </c>
      <c r="V1548">
        <v>264504</v>
      </c>
    </row>
    <row r="1549" spans="1:22" x14ac:dyDescent="0.25">
      <c r="A1549" t="s">
        <v>632</v>
      </c>
      <c r="B1549" t="s">
        <v>633</v>
      </c>
      <c r="C1549">
        <v>124</v>
      </c>
      <c r="D1549">
        <v>98.4</v>
      </c>
      <c r="E1549">
        <v>98.44</v>
      </c>
      <c r="F1549" t="s">
        <v>634</v>
      </c>
      <c r="G1549" t="s">
        <v>634</v>
      </c>
      <c r="H1549">
        <f t="shared" si="27"/>
        <v>9</v>
      </c>
      <c r="M1549">
        <v>4.9919999999999999E-3</v>
      </c>
      <c r="N1549">
        <v>1091.67932128906</v>
      </c>
      <c r="O1549">
        <v>546.84690000000001</v>
      </c>
      <c r="P1549">
        <v>1091.67431640625</v>
      </c>
      <c r="Q1549">
        <v>546.84442138671795</v>
      </c>
      <c r="R1549">
        <v>2</v>
      </c>
      <c r="S1549">
        <v>2</v>
      </c>
      <c r="T1549">
        <v>12</v>
      </c>
      <c r="U1549">
        <v>38.563600000000001</v>
      </c>
      <c r="V1549">
        <v>311588.90000000002</v>
      </c>
    </row>
    <row r="1550" spans="1:22" x14ac:dyDescent="0.25">
      <c r="A1550" t="s">
        <v>3166</v>
      </c>
      <c r="B1550" t="s">
        <v>3167</v>
      </c>
      <c r="C1550">
        <v>37</v>
      </c>
      <c r="D1550">
        <v>99</v>
      </c>
      <c r="E1550">
        <v>99</v>
      </c>
      <c r="F1550" t="s">
        <v>3168</v>
      </c>
      <c r="G1550" t="s">
        <v>3168</v>
      </c>
      <c r="H1550">
        <f t="shared" si="27"/>
        <v>17</v>
      </c>
      <c r="M1550" s="1">
        <v>1.83496996760368E-3</v>
      </c>
      <c r="N1550">
        <v>1850.91809082031</v>
      </c>
      <c r="O1550">
        <v>617.98</v>
      </c>
      <c r="P1550">
        <v>1850.91625976563</v>
      </c>
      <c r="Q1550">
        <v>617.97937011718705</v>
      </c>
      <c r="R1550">
        <v>3</v>
      </c>
      <c r="S1550">
        <v>1</v>
      </c>
      <c r="T1550">
        <v>12</v>
      </c>
      <c r="U1550">
        <v>34.12997</v>
      </c>
      <c r="V1550">
        <v>373651.8</v>
      </c>
    </row>
    <row r="1551" spans="1:22" x14ac:dyDescent="0.25">
      <c r="A1551" t="s">
        <v>3166</v>
      </c>
      <c r="B1551" t="s">
        <v>3167</v>
      </c>
      <c r="C1551">
        <v>166</v>
      </c>
      <c r="D1551">
        <v>99</v>
      </c>
      <c r="E1551">
        <v>99</v>
      </c>
      <c r="F1551" t="s">
        <v>3169</v>
      </c>
      <c r="G1551" t="s">
        <v>3169</v>
      </c>
      <c r="H1551">
        <f t="shared" si="27"/>
        <v>15</v>
      </c>
      <c r="M1551" s="1">
        <v>6.3187899067997802E-3</v>
      </c>
      <c r="N1551">
        <v>1854.85217285156</v>
      </c>
      <c r="O1551">
        <v>619.29129999999896</v>
      </c>
      <c r="P1551">
        <v>1854.84582519531</v>
      </c>
      <c r="Q1551">
        <v>619.28918457031205</v>
      </c>
      <c r="R1551">
        <v>3</v>
      </c>
      <c r="S1551">
        <v>2</v>
      </c>
      <c r="T1551">
        <v>14</v>
      </c>
      <c r="U1551">
        <v>39.738050000000001</v>
      </c>
      <c r="V1551">
        <v>223616</v>
      </c>
    </row>
    <row r="1552" spans="1:22" x14ac:dyDescent="0.25">
      <c r="A1552" t="s">
        <v>3166</v>
      </c>
      <c r="B1552" t="s">
        <v>3167</v>
      </c>
      <c r="C1552">
        <v>214</v>
      </c>
      <c r="D1552">
        <v>99</v>
      </c>
      <c r="E1552">
        <v>99</v>
      </c>
      <c r="F1552" t="s">
        <v>3170</v>
      </c>
      <c r="G1552" t="s">
        <v>3170</v>
      </c>
      <c r="H1552">
        <f t="shared" si="27"/>
        <v>15</v>
      </c>
      <c r="M1552" s="1">
        <v>1.36654004454612E-2</v>
      </c>
      <c r="N1552">
        <v>837.54608154296795</v>
      </c>
      <c r="O1552">
        <v>419.78030000000001</v>
      </c>
      <c r="P1552">
        <v>837.53240966796795</v>
      </c>
      <c r="Q1552">
        <v>419.77346801757801</v>
      </c>
      <c r="R1552">
        <v>2</v>
      </c>
      <c r="S1552">
        <v>2</v>
      </c>
      <c r="T1552">
        <v>9</v>
      </c>
      <c r="U1552">
        <v>39.787869999999899</v>
      </c>
      <c r="V1552">
        <v>167315.4</v>
      </c>
    </row>
    <row r="1553" spans="1:22" x14ac:dyDescent="0.25">
      <c r="A1553" t="s">
        <v>3171</v>
      </c>
      <c r="B1553" t="s">
        <v>3172</v>
      </c>
      <c r="C1553">
        <v>41</v>
      </c>
      <c r="D1553">
        <v>99</v>
      </c>
      <c r="E1553">
        <v>99</v>
      </c>
      <c r="F1553" t="s">
        <v>3173</v>
      </c>
      <c r="G1553" t="s">
        <v>3173</v>
      </c>
      <c r="H1553">
        <f t="shared" si="27"/>
        <v>12</v>
      </c>
      <c r="M1553">
        <v>-2.307E-3</v>
      </c>
      <c r="N1553">
        <v>1524.84887695313</v>
      </c>
      <c r="O1553">
        <v>763.43169999999895</v>
      </c>
      <c r="P1553">
        <v>1524.85119628906</v>
      </c>
      <c r="Q1553">
        <v>763.432861328125</v>
      </c>
      <c r="R1553">
        <v>2</v>
      </c>
      <c r="S1553">
        <v>1</v>
      </c>
      <c r="T1553">
        <v>11</v>
      </c>
      <c r="U1553">
        <v>42.825629999999897</v>
      </c>
      <c r="V1553">
        <v>280797.3</v>
      </c>
    </row>
    <row r="1554" spans="1:22" x14ac:dyDescent="0.25">
      <c r="A1554" t="s">
        <v>3171</v>
      </c>
      <c r="B1554" t="s">
        <v>3172</v>
      </c>
      <c r="C1554">
        <v>39</v>
      </c>
      <c r="D1554">
        <v>99</v>
      </c>
      <c r="E1554">
        <v>99</v>
      </c>
      <c r="F1554" t="s">
        <v>3174</v>
      </c>
      <c r="G1554" t="s">
        <v>3174</v>
      </c>
      <c r="H1554">
        <f t="shared" si="27"/>
        <v>13</v>
      </c>
      <c r="L1554" t="s">
        <v>3175</v>
      </c>
      <c r="M1554" s="1">
        <v>1.98474992066622E-3</v>
      </c>
      <c r="N1554">
        <v>1207.61181640625</v>
      </c>
      <c r="O1554">
        <v>604.81320000000005</v>
      </c>
      <c r="P1554">
        <v>1207.60986328125</v>
      </c>
      <c r="Q1554">
        <v>604.81219482421795</v>
      </c>
      <c r="R1554">
        <v>2</v>
      </c>
      <c r="S1554">
        <v>1</v>
      </c>
      <c r="T1554">
        <v>13</v>
      </c>
      <c r="U1554">
        <v>34.314619999999898</v>
      </c>
      <c r="V1554">
        <v>675860.8</v>
      </c>
    </row>
    <row r="1555" spans="1:22" x14ac:dyDescent="0.25">
      <c r="A1555" t="s">
        <v>3171</v>
      </c>
      <c r="B1555" t="s">
        <v>3172</v>
      </c>
      <c r="C1555">
        <v>41</v>
      </c>
      <c r="D1555">
        <v>99</v>
      </c>
      <c r="E1555">
        <v>99</v>
      </c>
      <c r="F1555" t="s">
        <v>3173</v>
      </c>
      <c r="G1555" t="s">
        <v>3173</v>
      </c>
      <c r="H1555">
        <f t="shared" si="27"/>
        <v>12</v>
      </c>
      <c r="L1555" t="s">
        <v>47</v>
      </c>
      <c r="M1555">
        <v>3.5929999999999998E-3</v>
      </c>
      <c r="N1555">
        <v>880.48028564453102</v>
      </c>
      <c r="O1555">
        <v>441.24740000000003</v>
      </c>
      <c r="P1555">
        <v>880.47668457031205</v>
      </c>
      <c r="Q1555">
        <v>441.24560546875</v>
      </c>
      <c r="R1555">
        <v>2</v>
      </c>
      <c r="S1555">
        <v>1</v>
      </c>
      <c r="T1555">
        <v>11</v>
      </c>
      <c r="U1555">
        <v>40.505119999999899</v>
      </c>
      <c r="V1555">
        <v>344821.4</v>
      </c>
    </row>
    <row r="1556" spans="1:22" x14ac:dyDescent="0.25">
      <c r="A1556" t="s">
        <v>4217</v>
      </c>
      <c r="B1556" t="s">
        <v>4218</v>
      </c>
      <c r="C1556">
        <v>605</v>
      </c>
      <c r="D1556">
        <v>99</v>
      </c>
      <c r="E1556">
        <v>99</v>
      </c>
      <c r="F1556" t="s">
        <v>4219</v>
      </c>
      <c r="G1556" t="s">
        <v>4219</v>
      </c>
      <c r="H1556">
        <f t="shared" si="27"/>
        <v>9</v>
      </c>
      <c r="M1556">
        <v>9.3679999999999996E-3</v>
      </c>
      <c r="N1556">
        <v>1683.90783691406</v>
      </c>
      <c r="O1556">
        <v>842.96119999999905</v>
      </c>
      <c r="P1556">
        <v>1683.8984375</v>
      </c>
      <c r="Q1556">
        <v>842.95648193359295</v>
      </c>
      <c r="R1556">
        <v>2</v>
      </c>
      <c r="S1556">
        <v>1</v>
      </c>
      <c r="T1556">
        <v>8</v>
      </c>
      <c r="U1556">
        <v>50.580579999999898</v>
      </c>
      <c r="V1556">
        <v>122828.8</v>
      </c>
    </row>
    <row r="1557" spans="1:22" x14ac:dyDescent="0.25">
      <c r="A1557" t="s">
        <v>3726</v>
      </c>
      <c r="B1557" t="s">
        <v>3727</v>
      </c>
      <c r="C1557">
        <v>14</v>
      </c>
      <c r="D1557">
        <v>98.9</v>
      </c>
      <c r="E1557">
        <v>98.93</v>
      </c>
      <c r="F1557" t="s">
        <v>3728</v>
      </c>
      <c r="G1557" t="s">
        <v>3728</v>
      </c>
      <c r="H1557">
        <f t="shared" si="27"/>
        <v>9</v>
      </c>
      <c r="M1557" s="1">
        <v>7.57964001968503E-3</v>
      </c>
      <c r="N1557">
        <v>2001.05419921875</v>
      </c>
      <c r="O1557">
        <v>668.02530000000002</v>
      </c>
      <c r="P1557">
        <v>2001.04663085938</v>
      </c>
      <c r="Q1557">
        <v>668.02282714843705</v>
      </c>
      <c r="R1557">
        <v>3</v>
      </c>
      <c r="S1557">
        <v>1</v>
      </c>
      <c r="T1557">
        <v>11</v>
      </c>
      <c r="U1557">
        <v>46.055779999999899</v>
      </c>
      <c r="V1557">
        <v>164189.6</v>
      </c>
    </row>
    <row r="1558" spans="1:22" x14ac:dyDescent="0.25">
      <c r="A1558" t="s">
        <v>681</v>
      </c>
      <c r="B1558" t="s">
        <v>682</v>
      </c>
      <c r="C1558">
        <v>183</v>
      </c>
      <c r="D1558">
        <v>97.7</v>
      </c>
      <c r="E1558">
        <v>97.7</v>
      </c>
      <c r="F1558" t="s">
        <v>683</v>
      </c>
      <c r="G1558" t="s">
        <v>683</v>
      </c>
      <c r="H1558">
        <f t="shared" si="27"/>
        <v>13</v>
      </c>
      <c r="M1558" s="1">
        <v>9.3387402594089508E-3</v>
      </c>
      <c r="N1558">
        <v>1808.95483398438</v>
      </c>
      <c r="O1558">
        <v>905.48469999999895</v>
      </c>
      <c r="P1558">
        <v>1808.94543457031</v>
      </c>
      <c r="Q1558">
        <v>905.47998046875</v>
      </c>
      <c r="R1558">
        <v>2</v>
      </c>
      <c r="S1558">
        <v>1</v>
      </c>
      <c r="T1558">
        <v>11</v>
      </c>
      <c r="U1558">
        <v>48.130679999999899</v>
      </c>
      <c r="V1558">
        <v>74155.14</v>
      </c>
    </row>
    <row r="1559" spans="1:22" x14ac:dyDescent="0.25">
      <c r="A1559" t="s">
        <v>3568</v>
      </c>
      <c r="B1559" t="s">
        <v>3569</v>
      </c>
      <c r="C1559">
        <v>347</v>
      </c>
      <c r="D1559">
        <v>99</v>
      </c>
      <c r="E1559">
        <v>99</v>
      </c>
      <c r="F1559" t="s">
        <v>3570</v>
      </c>
      <c r="G1559" t="s">
        <v>3570</v>
      </c>
      <c r="H1559">
        <f t="shared" si="27"/>
        <v>9</v>
      </c>
      <c r="M1559">
        <v>8.2730000000000008E-3</v>
      </c>
      <c r="N1559">
        <v>1812.9453125</v>
      </c>
      <c r="O1559">
        <v>907.47990000000004</v>
      </c>
      <c r="P1559">
        <v>1812.93701171875</v>
      </c>
      <c r="Q1559">
        <v>907.47576904296795</v>
      </c>
      <c r="R1559">
        <v>2</v>
      </c>
      <c r="S1559">
        <v>1</v>
      </c>
      <c r="T1559">
        <v>16</v>
      </c>
      <c r="U1559">
        <v>41.10942</v>
      </c>
      <c r="V1559">
        <v>275974.2</v>
      </c>
    </row>
    <row r="1560" spans="1:22" x14ac:dyDescent="0.25">
      <c r="A1560" t="s">
        <v>4241</v>
      </c>
      <c r="B1560" t="s">
        <v>4242</v>
      </c>
      <c r="C1560">
        <v>121</v>
      </c>
      <c r="D1560">
        <v>97.8</v>
      </c>
      <c r="E1560">
        <v>97.78</v>
      </c>
      <c r="F1560" t="s">
        <v>4243</v>
      </c>
      <c r="G1560" t="s">
        <v>4243</v>
      </c>
      <c r="H1560">
        <f t="shared" si="27"/>
        <v>9</v>
      </c>
      <c r="M1560" s="1">
        <v>6.1784298159182002E-3</v>
      </c>
      <c r="N1560">
        <v>1398.603515625</v>
      </c>
      <c r="O1560">
        <v>700.30899999999895</v>
      </c>
      <c r="P1560">
        <v>1398.59729003906</v>
      </c>
      <c r="Q1560">
        <v>700.305908203125</v>
      </c>
      <c r="R1560">
        <v>2</v>
      </c>
      <c r="S1560">
        <v>1</v>
      </c>
      <c r="T1560">
        <v>12</v>
      </c>
      <c r="U1560">
        <v>52.340890000000002</v>
      </c>
      <c r="V1560">
        <v>399688.5</v>
      </c>
    </row>
    <row r="1561" spans="1:22" x14ac:dyDescent="0.25">
      <c r="A1561" t="s">
        <v>4600</v>
      </c>
      <c r="B1561" t="s">
        <v>4601</v>
      </c>
      <c r="C1561">
        <v>121</v>
      </c>
      <c r="D1561">
        <v>99</v>
      </c>
      <c r="E1561">
        <v>99</v>
      </c>
      <c r="F1561" t="s">
        <v>4602</v>
      </c>
      <c r="G1561" t="s">
        <v>4602</v>
      </c>
      <c r="H1561">
        <f t="shared" si="27"/>
        <v>9</v>
      </c>
      <c r="M1561">
        <v>1.3167999999999999E-2</v>
      </c>
      <c r="N1561">
        <v>1810.00805664063</v>
      </c>
      <c r="O1561">
        <v>906.01130000000001</v>
      </c>
      <c r="P1561">
        <v>1809.99487304688</v>
      </c>
      <c r="Q1561">
        <v>906.00469970703102</v>
      </c>
      <c r="R1561">
        <v>2</v>
      </c>
      <c r="S1561">
        <v>1</v>
      </c>
      <c r="T1561">
        <v>10</v>
      </c>
      <c r="U1561">
        <v>47.274349999999899</v>
      </c>
      <c r="V1561">
        <v>61810.78</v>
      </c>
    </row>
    <row r="1562" spans="1:22" x14ac:dyDescent="0.25">
      <c r="A1562" t="s">
        <v>2298</v>
      </c>
      <c r="B1562" t="s">
        <v>2299</v>
      </c>
      <c r="C1562">
        <v>627</v>
      </c>
      <c r="D1562">
        <v>98.9</v>
      </c>
      <c r="E1562">
        <v>98.85</v>
      </c>
      <c r="F1562" t="s">
        <v>2300</v>
      </c>
      <c r="G1562" t="s">
        <v>2300</v>
      </c>
      <c r="H1562">
        <f t="shared" si="27"/>
        <v>15</v>
      </c>
      <c r="M1562" s="1">
        <v>-8.8391397148370708E-3</v>
      </c>
      <c r="N1562">
        <v>1250.60546875</v>
      </c>
      <c r="O1562">
        <v>626.30999999999904</v>
      </c>
      <c r="P1562">
        <v>1250.6142578125</v>
      </c>
      <c r="Q1562">
        <v>626.31439208984295</v>
      </c>
      <c r="R1562">
        <v>2</v>
      </c>
      <c r="S1562">
        <v>1</v>
      </c>
      <c r="T1562">
        <v>14</v>
      </c>
      <c r="U1562">
        <v>37.5961199999999</v>
      </c>
      <c r="V1562">
        <v>270663.8</v>
      </c>
    </row>
    <row r="1563" spans="1:22" x14ac:dyDescent="0.25">
      <c r="A1563" t="s">
        <v>3617</v>
      </c>
      <c r="B1563" t="s">
        <v>3618</v>
      </c>
      <c r="C1563">
        <v>42</v>
      </c>
      <c r="D1563">
        <v>97.5</v>
      </c>
      <c r="E1563">
        <v>97.49</v>
      </c>
      <c r="F1563" t="s">
        <v>3619</v>
      </c>
      <c r="G1563" t="s">
        <v>3619</v>
      </c>
      <c r="H1563">
        <f t="shared" si="27"/>
        <v>9</v>
      </c>
      <c r="M1563" s="1">
        <v>6.1944001354277004E-3</v>
      </c>
      <c r="N1563">
        <v>1508.70568847656</v>
      </c>
      <c r="O1563">
        <v>755.36009999999897</v>
      </c>
      <c r="P1563">
        <v>1508.69946289063</v>
      </c>
      <c r="Q1563">
        <v>755.35699462890602</v>
      </c>
      <c r="R1563">
        <v>2</v>
      </c>
      <c r="S1563">
        <v>1</v>
      </c>
      <c r="T1563">
        <v>13</v>
      </c>
      <c r="U1563">
        <v>37.033000000000001</v>
      </c>
      <c r="V1563">
        <v>261697</v>
      </c>
    </row>
    <row r="1564" spans="1:22" x14ac:dyDescent="0.25">
      <c r="A1564" t="s">
        <v>4326</v>
      </c>
      <c r="B1564" t="s">
        <v>4327</v>
      </c>
      <c r="C1564">
        <v>188</v>
      </c>
      <c r="D1564">
        <v>99</v>
      </c>
      <c r="E1564">
        <v>99</v>
      </c>
      <c r="F1564" t="s">
        <v>4328</v>
      </c>
      <c r="G1564" t="s">
        <v>4328</v>
      </c>
      <c r="H1564">
        <f t="shared" si="27"/>
        <v>15</v>
      </c>
      <c r="M1564" s="1">
        <v>1.28472000360489E-2</v>
      </c>
      <c r="N1564">
        <v>2275.22631835938</v>
      </c>
      <c r="O1564">
        <v>759.41600000000005</v>
      </c>
      <c r="P1564">
        <v>2275.21337890625</v>
      </c>
      <c r="Q1564">
        <v>759.41174316406205</v>
      </c>
      <c r="R1564">
        <v>3</v>
      </c>
      <c r="S1564">
        <v>1</v>
      </c>
      <c r="T1564">
        <v>10</v>
      </c>
      <c r="U1564">
        <v>41.658279999999898</v>
      </c>
      <c r="V1564">
        <v>145984.6</v>
      </c>
    </row>
    <row r="1565" spans="1:22" x14ac:dyDescent="0.25">
      <c r="A1565" t="s">
        <v>3757</v>
      </c>
      <c r="B1565" t="s">
        <v>3758</v>
      </c>
      <c r="C1565">
        <v>250</v>
      </c>
      <c r="D1565">
        <v>97.3</v>
      </c>
      <c r="E1565">
        <v>97.27</v>
      </c>
      <c r="F1565" t="s">
        <v>3759</v>
      </c>
      <c r="G1565" t="s">
        <v>3759</v>
      </c>
      <c r="H1565">
        <f t="shared" si="27"/>
        <v>11</v>
      </c>
      <c r="M1565" s="1">
        <v>8.4925402188673605E-4</v>
      </c>
      <c r="N1565">
        <v>1445.75231933594</v>
      </c>
      <c r="O1565">
        <v>723.88340000000005</v>
      </c>
      <c r="P1565">
        <v>1445.75146484375</v>
      </c>
      <c r="Q1565">
        <v>723.88299560546795</v>
      </c>
      <c r="R1565">
        <v>2</v>
      </c>
      <c r="S1565">
        <v>1</v>
      </c>
      <c r="T1565">
        <v>15</v>
      </c>
      <c r="U1565">
        <v>37.86918</v>
      </c>
      <c r="V1565">
        <v>304695.40000000002</v>
      </c>
    </row>
    <row r="1566" spans="1:22" x14ac:dyDescent="0.25">
      <c r="A1566" t="s">
        <v>1500</v>
      </c>
      <c r="B1566" t="s">
        <v>1501</v>
      </c>
      <c r="C1566">
        <v>312</v>
      </c>
      <c r="D1566">
        <v>96.7</v>
      </c>
      <c r="E1566">
        <v>96.72</v>
      </c>
      <c r="F1566" t="s">
        <v>1502</v>
      </c>
      <c r="G1566" t="s">
        <v>1502</v>
      </c>
      <c r="H1566">
        <f t="shared" si="27"/>
        <v>16</v>
      </c>
      <c r="M1566" s="1">
        <v>1.7462100367992999E-3</v>
      </c>
      <c r="N1566">
        <v>1558.83728027344</v>
      </c>
      <c r="O1566">
        <v>780.42589999999905</v>
      </c>
      <c r="P1566">
        <v>1558.83544921875</v>
      </c>
      <c r="Q1566">
        <v>780.425048828125</v>
      </c>
      <c r="R1566">
        <v>2</v>
      </c>
      <c r="S1566">
        <v>2</v>
      </c>
      <c r="T1566">
        <v>13</v>
      </c>
      <c r="U1566">
        <v>42.268450000000001</v>
      </c>
      <c r="V1566">
        <v>231640.5</v>
      </c>
    </row>
    <row r="1567" spans="1:22" x14ac:dyDescent="0.25">
      <c r="A1567" t="s">
        <v>3529</v>
      </c>
      <c r="B1567" t="s">
        <v>3530</v>
      </c>
      <c r="C1567">
        <v>804</v>
      </c>
      <c r="D1567">
        <v>99</v>
      </c>
      <c r="E1567">
        <v>99</v>
      </c>
      <c r="F1567" t="s">
        <v>3531</v>
      </c>
      <c r="G1567" t="s">
        <v>3531</v>
      </c>
      <c r="H1567">
        <f t="shared" si="27"/>
        <v>9</v>
      </c>
      <c r="M1567">
        <v>3.0980000000000001E-3</v>
      </c>
      <c r="N1567">
        <v>1466.64172363281</v>
      </c>
      <c r="O1567">
        <v>734.32809999999904</v>
      </c>
      <c r="P1567">
        <v>1466.63854980469</v>
      </c>
      <c r="Q1567">
        <v>734.32659912109295</v>
      </c>
      <c r="R1567">
        <v>2</v>
      </c>
      <c r="S1567">
        <v>1</v>
      </c>
      <c r="T1567">
        <v>9</v>
      </c>
      <c r="U1567">
        <v>25.267320000000002</v>
      </c>
      <c r="V1567">
        <v>268081</v>
      </c>
    </row>
    <row r="1568" spans="1:22" x14ac:dyDescent="0.25">
      <c r="A1568" t="s">
        <v>95</v>
      </c>
      <c r="B1568" t="s">
        <v>96</v>
      </c>
      <c r="C1568">
        <v>408</v>
      </c>
      <c r="D1568">
        <v>99</v>
      </c>
      <c r="E1568">
        <v>99</v>
      </c>
      <c r="F1568" t="s">
        <v>1582</v>
      </c>
      <c r="G1568" t="s">
        <v>1582</v>
      </c>
      <c r="H1568">
        <f t="shared" si="27"/>
        <v>15</v>
      </c>
      <c r="M1568" s="1">
        <v>4.7107399441301701E-3</v>
      </c>
      <c r="N1568">
        <v>1921.01049804688</v>
      </c>
      <c r="O1568">
        <v>961.51250000000005</v>
      </c>
      <c r="P1568">
        <v>1921.00573730469</v>
      </c>
      <c r="Q1568">
        <v>961.51013183593705</v>
      </c>
      <c r="R1568">
        <v>2</v>
      </c>
      <c r="S1568">
        <v>2</v>
      </c>
      <c r="T1568">
        <v>11</v>
      </c>
      <c r="U1568">
        <v>38.461239999999897</v>
      </c>
      <c r="V1568">
        <v>207151</v>
      </c>
    </row>
    <row r="1569" spans="1:22" x14ac:dyDescent="0.25">
      <c r="A1569" t="s">
        <v>95</v>
      </c>
      <c r="B1569" t="s">
        <v>96</v>
      </c>
      <c r="C1569">
        <v>67</v>
      </c>
      <c r="D1569">
        <v>98.2</v>
      </c>
      <c r="E1569">
        <v>98.17</v>
      </c>
      <c r="F1569" t="s">
        <v>1583</v>
      </c>
      <c r="G1569" t="s">
        <v>1583</v>
      </c>
      <c r="H1569">
        <f t="shared" si="27"/>
        <v>9</v>
      </c>
      <c r="M1569" s="1">
        <v>3.2338500022888201E-3</v>
      </c>
      <c r="N1569">
        <v>3014.5341796875</v>
      </c>
      <c r="O1569">
        <v>754.64080000000001</v>
      </c>
      <c r="P1569">
        <v>3014.53100585938</v>
      </c>
      <c r="Q1569">
        <v>754.64001464843705</v>
      </c>
      <c r="R1569">
        <v>4</v>
      </c>
      <c r="S1569">
        <v>1</v>
      </c>
      <c r="T1569">
        <v>17</v>
      </c>
      <c r="U1569">
        <v>39.24203</v>
      </c>
      <c r="V1569">
        <v>720386.8</v>
      </c>
    </row>
    <row r="1570" spans="1:22" x14ac:dyDescent="0.25">
      <c r="A1570" t="s">
        <v>1899</v>
      </c>
      <c r="B1570" t="s">
        <v>1900</v>
      </c>
      <c r="C1570">
        <v>92</v>
      </c>
      <c r="D1570">
        <v>99</v>
      </c>
      <c r="E1570">
        <v>99</v>
      </c>
      <c r="F1570" t="s">
        <v>385</v>
      </c>
      <c r="G1570" t="s">
        <v>385</v>
      </c>
      <c r="H1570">
        <f t="shared" si="27"/>
        <v>9</v>
      </c>
      <c r="M1570" s="1">
        <v>6.7363302223384302E-3</v>
      </c>
      <c r="N1570">
        <v>1054.54748535156</v>
      </c>
      <c r="O1570">
        <v>528.28099999999904</v>
      </c>
      <c r="P1570">
        <v>1054.54077148438</v>
      </c>
      <c r="Q1570">
        <v>528.27764892578102</v>
      </c>
      <c r="R1570">
        <v>2</v>
      </c>
      <c r="S1570">
        <v>1</v>
      </c>
      <c r="T1570">
        <v>13</v>
      </c>
      <c r="U1570">
        <v>29.734929999999899</v>
      </c>
      <c r="V1570">
        <v>593753.1</v>
      </c>
    </row>
    <row r="1571" spans="1:22" x14ac:dyDescent="0.25">
      <c r="A1571" t="s">
        <v>383</v>
      </c>
      <c r="B1571" t="s">
        <v>384</v>
      </c>
      <c r="C1571">
        <v>217</v>
      </c>
      <c r="D1571">
        <v>99</v>
      </c>
      <c r="E1571">
        <v>99</v>
      </c>
      <c r="F1571" t="s">
        <v>2182</v>
      </c>
      <c r="G1571" t="s">
        <v>2182</v>
      </c>
      <c r="H1571">
        <f t="shared" si="27"/>
        <v>9</v>
      </c>
      <c r="M1571" s="1">
        <v>4.9586598761379701E-3</v>
      </c>
      <c r="N1571">
        <v>1676.94116210938</v>
      </c>
      <c r="O1571">
        <v>559.98770000000002</v>
      </c>
      <c r="P1571">
        <v>1676.93627929688</v>
      </c>
      <c r="Q1571">
        <v>559.98602294921795</v>
      </c>
      <c r="R1571">
        <v>3</v>
      </c>
      <c r="S1571">
        <v>1</v>
      </c>
      <c r="T1571">
        <v>11</v>
      </c>
      <c r="U1571">
        <v>43.303199999999897</v>
      </c>
      <c r="V1571">
        <v>228917.1</v>
      </c>
    </row>
    <row r="1572" spans="1:22" x14ac:dyDescent="0.25">
      <c r="A1572" t="s">
        <v>3087</v>
      </c>
      <c r="B1572" t="s">
        <v>3088</v>
      </c>
      <c r="C1572">
        <v>434</v>
      </c>
      <c r="D1572">
        <v>99</v>
      </c>
      <c r="E1572">
        <v>99</v>
      </c>
      <c r="F1572" t="s">
        <v>3089</v>
      </c>
      <c r="G1572" t="s">
        <v>3089</v>
      </c>
      <c r="H1572">
        <f t="shared" si="27"/>
        <v>19</v>
      </c>
      <c r="M1572" s="1">
        <v>4.7655798494815702E-2</v>
      </c>
      <c r="N1572">
        <v>1091.66381835938</v>
      </c>
      <c r="O1572">
        <v>546.83920000000001</v>
      </c>
      <c r="P1572">
        <v>1091.61608886719</v>
      </c>
      <c r="Q1572">
        <v>546.81536865234295</v>
      </c>
      <c r="R1572">
        <v>2</v>
      </c>
      <c r="S1572">
        <v>3</v>
      </c>
      <c r="T1572">
        <v>10</v>
      </c>
      <c r="U1572">
        <v>18.584969999999899</v>
      </c>
      <c r="V1572">
        <v>498222.9</v>
      </c>
    </row>
    <row r="1573" spans="1:22" x14ac:dyDescent="0.25">
      <c r="A1573" t="s">
        <v>4130</v>
      </c>
      <c r="B1573" t="s">
        <v>4131</v>
      </c>
      <c r="C1573">
        <v>1301</v>
      </c>
      <c r="D1573">
        <v>99</v>
      </c>
      <c r="E1573">
        <v>99</v>
      </c>
      <c r="F1573" t="s">
        <v>4132</v>
      </c>
      <c r="G1573" t="s">
        <v>4132</v>
      </c>
      <c r="H1573">
        <f t="shared" si="27"/>
        <v>13</v>
      </c>
      <c r="M1573" s="1">
        <v>1.80334004107862E-3</v>
      </c>
      <c r="N1573">
        <v>1082.60302734375</v>
      </c>
      <c r="O1573">
        <v>542.30880000000002</v>
      </c>
      <c r="P1573">
        <v>1082.60119628906</v>
      </c>
      <c r="Q1573">
        <v>542.307861328125</v>
      </c>
      <c r="R1573">
        <v>2</v>
      </c>
      <c r="S1573">
        <v>1</v>
      </c>
      <c r="T1573">
        <v>11</v>
      </c>
      <c r="U1573">
        <v>39.592100000000002</v>
      </c>
      <c r="V1573">
        <v>1547010</v>
      </c>
    </row>
    <row r="1574" spans="1:22" x14ac:dyDescent="0.25">
      <c r="A1574" t="s">
        <v>3093</v>
      </c>
      <c r="B1574" t="s">
        <v>3094</v>
      </c>
      <c r="C1574">
        <v>477</v>
      </c>
      <c r="D1574">
        <v>98.4</v>
      </c>
      <c r="E1574">
        <v>98.4</v>
      </c>
      <c r="F1574" t="s">
        <v>3095</v>
      </c>
      <c r="G1574" t="s">
        <v>3095</v>
      </c>
      <c r="H1574">
        <f t="shared" si="27"/>
        <v>9</v>
      </c>
      <c r="M1574" s="1">
        <v>3.6235500592738299E-3</v>
      </c>
      <c r="N1574">
        <v>1881.06079101563</v>
      </c>
      <c r="O1574">
        <v>628.02750000000003</v>
      </c>
      <c r="P1574">
        <v>1881.05712890625</v>
      </c>
      <c r="Q1574">
        <v>628.02630615234295</v>
      </c>
      <c r="R1574">
        <v>3</v>
      </c>
      <c r="S1574">
        <v>1</v>
      </c>
      <c r="T1574">
        <v>12</v>
      </c>
      <c r="U1574">
        <v>29.3541799999999</v>
      </c>
      <c r="V1574">
        <v>285719.90000000002</v>
      </c>
    </row>
    <row r="1575" spans="1:22" x14ac:dyDescent="0.25">
      <c r="A1575" t="s">
        <v>3211</v>
      </c>
      <c r="B1575" t="s">
        <v>3212</v>
      </c>
      <c r="C1575">
        <v>36</v>
      </c>
      <c r="D1575">
        <v>99</v>
      </c>
      <c r="E1575">
        <v>99</v>
      </c>
      <c r="F1575" t="s">
        <v>3213</v>
      </c>
      <c r="G1575" t="s">
        <v>3213</v>
      </c>
      <c r="H1575">
        <f t="shared" si="27"/>
        <v>15</v>
      </c>
      <c r="M1575" s="1">
        <v>3.6577798891812602E-3</v>
      </c>
      <c r="N1575">
        <v>1832.04443359375</v>
      </c>
      <c r="O1575">
        <v>917.02949999999896</v>
      </c>
      <c r="P1575">
        <v>1832.04077148438</v>
      </c>
      <c r="Q1575">
        <v>917.02764892578102</v>
      </c>
      <c r="R1575">
        <v>2</v>
      </c>
      <c r="S1575">
        <v>2</v>
      </c>
      <c r="T1575">
        <v>18</v>
      </c>
      <c r="U1575">
        <v>32.14132</v>
      </c>
      <c r="V1575">
        <v>247877.7</v>
      </c>
    </row>
    <row r="1576" spans="1:22" x14ac:dyDescent="0.25">
      <c r="A1576" t="s">
        <v>3211</v>
      </c>
      <c r="B1576" t="s">
        <v>3212</v>
      </c>
      <c r="C1576">
        <v>37</v>
      </c>
      <c r="D1576">
        <v>99</v>
      </c>
      <c r="E1576">
        <v>99</v>
      </c>
      <c r="F1576" t="s">
        <v>3214</v>
      </c>
      <c r="G1576" t="s">
        <v>3214</v>
      </c>
      <c r="H1576">
        <f t="shared" si="27"/>
        <v>14</v>
      </c>
      <c r="M1576" s="1">
        <v>1.83584995102137E-3</v>
      </c>
      <c r="N1576">
        <v>1681.98571777344</v>
      </c>
      <c r="O1576">
        <v>561.66920000000005</v>
      </c>
      <c r="P1576">
        <v>1681.98388671875</v>
      </c>
      <c r="Q1576">
        <v>561.66857910156205</v>
      </c>
      <c r="R1576">
        <v>3</v>
      </c>
      <c r="S1576">
        <v>2</v>
      </c>
      <c r="T1576">
        <v>10</v>
      </c>
      <c r="U1576">
        <v>23.764130000000002</v>
      </c>
      <c r="V1576">
        <v>219185.1</v>
      </c>
    </row>
    <row r="1577" spans="1:22" x14ac:dyDescent="0.25">
      <c r="A1577" t="s">
        <v>4433</v>
      </c>
      <c r="B1577" t="s">
        <v>4434</v>
      </c>
      <c r="C1577">
        <v>11</v>
      </c>
      <c r="D1577">
        <v>98.8</v>
      </c>
      <c r="E1577">
        <v>98.81</v>
      </c>
      <c r="F1577" t="s">
        <v>4435</v>
      </c>
      <c r="G1577" t="s">
        <v>4435</v>
      </c>
      <c r="H1577">
        <f t="shared" si="27"/>
        <v>17</v>
      </c>
      <c r="M1577" s="1">
        <v>-1.16702998057008E-2</v>
      </c>
      <c r="N1577">
        <v>1890.06823730469</v>
      </c>
      <c r="O1577">
        <v>631.03</v>
      </c>
      <c r="P1577">
        <v>1890.07995605469</v>
      </c>
      <c r="Q1577">
        <v>631.033935546875</v>
      </c>
      <c r="R1577">
        <v>3</v>
      </c>
      <c r="S1577">
        <v>1</v>
      </c>
      <c r="T1577">
        <v>11</v>
      </c>
      <c r="U1577">
        <v>23.323530000000002</v>
      </c>
      <c r="V1577">
        <v>367385.4</v>
      </c>
    </row>
    <row r="1578" spans="1:22" x14ac:dyDescent="0.25">
      <c r="A1578" t="s">
        <v>4433</v>
      </c>
      <c r="B1578" t="s">
        <v>4434</v>
      </c>
      <c r="C1578">
        <v>13</v>
      </c>
      <c r="D1578">
        <v>99</v>
      </c>
      <c r="E1578">
        <v>99</v>
      </c>
      <c r="F1578" t="s">
        <v>4436</v>
      </c>
      <c r="G1578" t="s">
        <v>4436</v>
      </c>
      <c r="H1578">
        <f t="shared" si="27"/>
        <v>17</v>
      </c>
      <c r="M1578" s="1">
        <v>1.1137300170958001E-2</v>
      </c>
      <c r="N1578">
        <v>1784.13989257813</v>
      </c>
      <c r="O1578">
        <v>595.72059999999897</v>
      </c>
      <c r="P1578">
        <v>1784.12878417969</v>
      </c>
      <c r="Q1578">
        <v>595.71685791015602</v>
      </c>
      <c r="R1578">
        <v>3</v>
      </c>
      <c r="S1578">
        <v>1</v>
      </c>
      <c r="T1578">
        <v>10</v>
      </c>
      <c r="U1578">
        <v>45.70147</v>
      </c>
      <c r="V1578">
        <v>80289.61</v>
      </c>
    </row>
    <row r="1579" spans="1:22" x14ac:dyDescent="0.25">
      <c r="A1579" t="s">
        <v>4433</v>
      </c>
      <c r="B1579" t="s">
        <v>4434</v>
      </c>
      <c r="C1579">
        <v>2</v>
      </c>
      <c r="D1579">
        <v>98.7</v>
      </c>
      <c r="E1579">
        <v>98.72</v>
      </c>
      <c r="F1579" t="s">
        <v>4437</v>
      </c>
      <c r="G1579" t="s">
        <v>4437</v>
      </c>
      <c r="H1579">
        <f t="shared" si="27"/>
        <v>19</v>
      </c>
      <c r="L1579" t="s">
        <v>227</v>
      </c>
      <c r="M1579" s="1">
        <v>3.3083299640566102E-3</v>
      </c>
      <c r="N1579">
        <v>1478.81665039063</v>
      </c>
      <c r="O1579">
        <v>740.41560000000004</v>
      </c>
      <c r="P1579">
        <v>1478.81335449219</v>
      </c>
      <c r="Q1579">
        <v>740.41394042968705</v>
      </c>
      <c r="R1579">
        <v>2</v>
      </c>
      <c r="S1579">
        <v>1</v>
      </c>
      <c r="T1579">
        <v>12</v>
      </c>
      <c r="U1579">
        <v>55.8085799999999</v>
      </c>
      <c r="V1579">
        <v>282963.7</v>
      </c>
    </row>
    <row r="1580" spans="1:22" x14ac:dyDescent="0.25">
      <c r="A1580" t="s">
        <v>3763</v>
      </c>
      <c r="B1580" t="s">
        <v>3764</v>
      </c>
      <c r="C1580">
        <v>283</v>
      </c>
      <c r="D1580">
        <v>99</v>
      </c>
      <c r="E1580">
        <v>99</v>
      </c>
      <c r="F1580" t="s">
        <v>3765</v>
      </c>
      <c r="G1580" t="s">
        <v>3765</v>
      </c>
      <c r="H1580">
        <f t="shared" si="27"/>
        <v>17</v>
      </c>
      <c r="M1580" s="1">
        <v>-8.27051990199834E-4</v>
      </c>
      <c r="N1580">
        <v>992.637451171875</v>
      </c>
      <c r="O1580">
        <v>497.32600000000002</v>
      </c>
      <c r="P1580">
        <v>992.63824462890602</v>
      </c>
      <c r="Q1580">
        <v>497.326416015625</v>
      </c>
      <c r="R1580">
        <v>2</v>
      </c>
      <c r="S1580">
        <v>1</v>
      </c>
      <c r="T1580">
        <v>11</v>
      </c>
      <c r="U1580">
        <v>34.464320000000001</v>
      </c>
      <c r="V1580">
        <v>171492.4</v>
      </c>
    </row>
    <row r="1581" spans="1:22" x14ac:dyDescent="0.25">
      <c r="A1581" t="s">
        <v>3763</v>
      </c>
      <c r="B1581" t="s">
        <v>3764</v>
      </c>
      <c r="C1581">
        <v>284</v>
      </c>
      <c r="D1581">
        <v>99</v>
      </c>
      <c r="E1581">
        <v>99</v>
      </c>
      <c r="F1581" t="s">
        <v>3766</v>
      </c>
      <c r="G1581" t="s">
        <v>3766</v>
      </c>
      <c r="H1581">
        <f t="shared" si="27"/>
        <v>16</v>
      </c>
      <c r="M1581" s="1">
        <v>3.26266000047326E-3</v>
      </c>
      <c r="N1581">
        <v>1875.07629394531</v>
      </c>
      <c r="O1581">
        <v>626.03269999999895</v>
      </c>
      <c r="P1581">
        <v>1875.07299804688</v>
      </c>
      <c r="Q1581">
        <v>626.03161621093705</v>
      </c>
      <c r="R1581">
        <v>3</v>
      </c>
      <c r="S1581">
        <v>1</v>
      </c>
      <c r="T1581">
        <v>12</v>
      </c>
      <c r="U1581">
        <v>39.2179199999999</v>
      </c>
      <c r="V1581">
        <v>316283.7</v>
      </c>
    </row>
    <row r="1582" spans="1:22" x14ac:dyDescent="0.25">
      <c r="A1582" t="s">
        <v>2079</v>
      </c>
      <c r="B1582" t="s">
        <v>2080</v>
      </c>
      <c r="C1582">
        <v>137</v>
      </c>
      <c r="D1582">
        <v>99</v>
      </c>
      <c r="E1582">
        <v>99</v>
      </c>
      <c r="F1582" t="s">
        <v>2081</v>
      </c>
      <c r="G1582" t="s">
        <v>2081</v>
      </c>
      <c r="H1582">
        <f t="shared" si="27"/>
        <v>14</v>
      </c>
      <c r="M1582">
        <v>3.0490000000000001E-3</v>
      </c>
      <c r="N1582">
        <v>1563.78112792969</v>
      </c>
      <c r="O1582">
        <v>782.89779999999905</v>
      </c>
      <c r="P1582">
        <v>1563.77807617188</v>
      </c>
      <c r="Q1582">
        <v>782.89630126953102</v>
      </c>
      <c r="R1582">
        <v>2</v>
      </c>
      <c r="S1582">
        <v>1</v>
      </c>
      <c r="T1582">
        <v>9</v>
      </c>
      <c r="U1582">
        <v>36.657139999999899</v>
      </c>
      <c r="V1582">
        <v>251464.4</v>
      </c>
    </row>
    <row r="1583" spans="1:22" x14ac:dyDescent="0.25">
      <c r="A1583" t="s">
        <v>2079</v>
      </c>
      <c r="B1583" t="s">
        <v>2080</v>
      </c>
      <c r="C1583">
        <v>137</v>
      </c>
      <c r="D1583">
        <v>99</v>
      </c>
      <c r="E1583">
        <v>99</v>
      </c>
      <c r="F1583" t="s">
        <v>2082</v>
      </c>
      <c r="G1583" t="s">
        <v>2082</v>
      </c>
      <c r="H1583">
        <f t="shared" si="27"/>
        <v>16</v>
      </c>
      <c r="M1583" s="1">
        <v>1.5875799581408501E-3</v>
      </c>
      <c r="N1583">
        <v>1553.70141601563</v>
      </c>
      <c r="O1583">
        <v>777.85799999999904</v>
      </c>
      <c r="P1583">
        <v>1553.69982910156</v>
      </c>
      <c r="Q1583">
        <v>777.857177734375</v>
      </c>
      <c r="R1583">
        <v>2</v>
      </c>
      <c r="S1583">
        <v>2</v>
      </c>
      <c r="T1583">
        <v>13</v>
      </c>
      <c r="U1583">
        <v>33.294449999999898</v>
      </c>
      <c r="V1583">
        <v>401014.3</v>
      </c>
    </row>
    <row r="1584" spans="1:22" x14ac:dyDescent="0.25">
      <c r="A1584" t="s">
        <v>4468</v>
      </c>
      <c r="B1584" t="s">
        <v>4469</v>
      </c>
      <c r="C1584">
        <v>64</v>
      </c>
      <c r="D1584">
        <v>98.6</v>
      </c>
      <c r="E1584">
        <v>98.57</v>
      </c>
      <c r="F1584" t="s">
        <v>4470</v>
      </c>
      <c r="G1584" t="s">
        <v>4470</v>
      </c>
      <c r="H1584">
        <f t="shared" si="27"/>
        <v>8</v>
      </c>
      <c r="M1584" s="1">
        <v>5.4687801748514201E-3</v>
      </c>
      <c r="N1584">
        <v>1610.919921875</v>
      </c>
      <c r="O1584">
        <v>806.46720000000005</v>
      </c>
      <c r="P1584">
        <v>1610.91442871094</v>
      </c>
      <c r="Q1584">
        <v>806.46447753906205</v>
      </c>
      <c r="R1584">
        <v>2</v>
      </c>
      <c r="S1584">
        <v>1</v>
      </c>
      <c r="T1584">
        <v>13</v>
      </c>
      <c r="U1584">
        <v>55.930979999999899</v>
      </c>
      <c r="V1584">
        <v>144942.5</v>
      </c>
    </row>
    <row r="1585" spans="1:22" x14ac:dyDescent="0.25">
      <c r="A1585" t="s">
        <v>299</v>
      </c>
      <c r="B1585" t="s">
        <v>300</v>
      </c>
      <c r="C1585">
        <v>334</v>
      </c>
      <c r="D1585">
        <v>98.8</v>
      </c>
      <c r="E1585">
        <v>98.75</v>
      </c>
      <c r="F1585" t="s">
        <v>2749</v>
      </c>
      <c r="G1585" t="s">
        <v>2749</v>
      </c>
      <c r="H1585">
        <f t="shared" si="27"/>
        <v>9</v>
      </c>
      <c r="M1585" s="1">
        <v>2.8696099761873501E-3</v>
      </c>
      <c r="N1585">
        <v>1764.84350585938</v>
      </c>
      <c r="O1585">
        <v>883.42899999999895</v>
      </c>
      <c r="P1585">
        <v>1764.84057617188</v>
      </c>
      <c r="Q1585">
        <v>883.42755126953102</v>
      </c>
      <c r="R1585">
        <v>2</v>
      </c>
      <c r="S1585">
        <v>1</v>
      </c>
      <c r="T1585">
        <v>8</v>
      </c>
      <c r="U1585">
        <v>41.934330000000003</v>
      </c>
      <c r="V1585">
        <v>45250.76</v>
      </c>
    </row>
    <row r="1586" spans="1:22" x14ac:dyDescent="0.25">
      <c r="A1586" t="s">
        <v>426</v>
      </c>
      <c r="B1586" t="s">
        <v>427</v>
      </c>
      <c r="C1586">
        <v>325</v>
      </c>
      <c r="D1586">
        <v>98.7</v>
      </c>
      <c r="E1586">
        <v>98.71</v>
      </c>
      <c r="F1586" t="s">
        <v>428</v>
      </c>
      <c r="G1586" t="s">
        <v>428</v>
      </c>
      <c r="H1586">
        <f t="shared" si="27"/>
        <v>9</v>
      </c>
      <c r="M1586" s="1">
        <v>3.7509500980377202E-3</v>
      </c>
      <c r="N1586">
        <v>1519.78210449219</v>
      </c>
      <c r="O1586">
        <v>760.89829999999904</v>
      </c>
      <c r="P1586">
        <v>1519.7783203125</v>
      </c>
      <c r="Q1586">
        <v>760.89642333984295</v>
      </c>
      <c r="R1586">
        <v>2</v>
      </c>
      <c r="S1586">
        <v>1</v>
      </c>
      <c r="T1586">
        <v>8</v>
      </c>
      <c r="U1586">
        <v>36.3889</v>
      </c>
      <c r="V1586">
        <v>325725.09999999899</v>
      </c>
    </row>
    <row r="1587" spans="1:22" x14ac:dyDescent="0.25">
      <c r="A1587" t="s">
        <v>408</v>
      </c>
      <c r="B1587" t="s">
        <v>409</v>
      </c>
      <c r="C1587">
        <v>462</v>
      </c>
      <c r="D1587">
        <v>98.7</v>
      </c>
      <c r="E1587">
        <v>98.73</v>
      </c>
      <c r="F1587" t="s">
        <v>410</v>
      </c>
      <c r="G1587" t="s">
        <v>410</v>
      </c>
      <c r="H1587">
        <f t="shared" si="27"/>
        <v>9</v>
      </c>
      <c r="L1587" t="s">
        <v>43</v>
      </c>
      <c r="M1587" s="1">
        <v>4.8890598118305102E-3</v>
      </c>
      <c r="N1587">
        <v>1910.91333007813</v>
      </c>
      <c r="O1587">
        <v>956.46389999999894</v>
      </c>
      <c r="P1587">
        <v>1910.90844726563</v>
      </c>
      <c r="Q1587">
        <v>956.46148681640602</v>
      </c>
      <c r="R1587">
        <v>2</v>
      </c>
      <c r="S1587">
        <v>1</v>
      </c>
      <c r="T1587">
        <v>11</v>
      </c>
      <c r="U1587">
        <v>41.779400000000003</v>
      </c>
      <c r="V1587">
        <v>110972.3</v>
      </c>
    </row>
    <row r="1588" spans="1:22" x14ac:dyDescent="0.25">
      <c r="A1588" t="s">
        <v>2490</v>
      </c>
      <c r="B1588" t="s">
        <v>2491</v>
      </c>
      <c r="C1588">
        <v>93</v>
      </c>
      <c r="D1588">
        <v>98.1</v>
      </c>
      <c r="E1588">
        <v>98.14</v>
      </c>
      <c r="F1588" t="s">
        <v>2492</v>
      </c>
      <c r="G1588" t="s">
        <v>2492</v>
      </c>
      <c r="H1588">
        <f t="shared" si="27"/>
        <v>9</v>
      </c>
      <c r="M1588" s="1">
        <v>7.4950698763132104E-3</v>
      </c>
      <c r="N1588">
        <v>2767.2939453125</v>
      </c>
      <c r="O1588">
        <v>923.43859999999904</v>
      </c>
      <c r="P1588">
        <v>2767.28637695313</v>
      </c>
      <c r="Q1588">
        <v>923.43609619140602</v>
      </c>
      <c r="R1588">
        <v>3</v>
      </c>
      <c r="S1588">
        <v>1</v>
      </c>
      <c r="T1588">
        <v>11</v>
      </c>
      <c r="U1588">
        <v>34.200800000000001</v>
      </c>
      <c r="V1588">
        <v>312598.8</v>
      </c>
    </row>
    <row r="1589" spans="1:22" x14ac:dyDescent="0.25">
      <c r="A1589" t="s">
        <v>2435</v>
      </c>
      <c r="B1589" t="s">
        <v>2436</v>
      </c>
      <c r="C1589">
        <v>124</v>
      </c>
      <c r="D1589">
        <v>98.6</v>
      </c>
      <c r="E1589">
        <v>98.58</v>
      </c>
      <c r="F1589" t="s">
        <v>2437</v>
      </c>
      <c r="G1589" t="s">
        <v>2437</v>
      </c>
      <c r="H1589">
        <f t="shared" si="27"/>
        <v>17</v>
      </c>
      <c r="M1589" s="1">
        <v>8.8376097846776204E-4</v>
      </c>
      <c r="N1589">
        <v>1964.07397460938</v>
      </c>
      <c r="O1589">
        <v>655.69860000000006</v>
      </c>
      <c r="P1589">
        <v>1964.07312011719</v>
      </c>
      <c r="Q1589">
        <v>655.69830322265602</v>
      </c>
      <c r="R1589">
        <v>3</v>
      </c>
      <c r="S1589">
        <v>1</v>
      </c>
      <c r="T1589">
        <v>10</v>
      </c>
      <c r="U1589">
        <v>35.96772</v>
      </c>
      <c r="V1589">
        <v>468425.2</v>
      </c>
    </row>
    <row r="1590" spans="1:22" x14ac:dyDescent="0.25">
      <c r="A1590" t="s">
        <v>2435</v>
      </c>
      <c r="B1590" t="s">
        <v>2436</v>
      </c>
      <c r="C1590">
        <v>105</v>
      </c>
      <c r="D1590">
        <v>98.2</v>
      </c>
      <c r="E1590">
        <v>98.21</v>
      </c>
      <c r="F1590" t="s">
        <v>2438</v>
      </c>
      <c r="G1590" t="s">
        <v>2438</v>
      </c>
      <c r="H1590">
        <f t="shared" si="27"/>
        <v>14</v>
      </c>
      <c r="M1590" s="1">
        <v>-2.0049100276082802E-3</v>
      </c>
      <c r="N1590">
        <v>1674.84582519531</v>
      </c>
      <c r="O1590">
        <v>838.43020000000001</v>
      </c>
      <c r="P1590">
        <v>1674.84777832031</v>
      </c>
      <c r="Q1590">
        <v>838.43115234375</v>
      </c>
      <c r="R1590">
        <v>2</v>
      </c>
      <c r="S1590">
        <v>2</v>
      </c>
      <c r="T1590">
        <v>14</v>
      </c>
      <c r="U1590">
        <v>25.312999999999899</v>
      </c>
      <c r="V1590">
        <v>918316.1</v>
      </c>
    </row>
    <row r="1591" spans="1:22" x14ac:dyDescent="0.25">
      <c r="A1591" t="s">
        <v>2996</v>
      </c>
      <c r="B1591" t="s">
        <v>2997</v>
      </c>
      <c r="C1591">
        <v>113</v>
      </c>
      <c r="D1591">
        <v>98.6</v>
      </c>
      <c r="E1591">
        <v>98.64</v>
      </c>
      <c r="F1591" t="s">
        <v>2998</v>
      </c>
      <c r="G1591" t="s">
        <v>2998</v>
      </c>
      <c r="H1591">
        <f t="shared" si="27"/>
        <v>17</v>
      </c>
      <c r="M1591" s="1">
        <v>3.9979801513254504E-3</v>
      </c>
      <c r="N1591">
        <v>1599.8701171875</v>
      </c>
      <c r="O1591">
        <v>534.29729999999904</v>
      </c>
      <c r="P1591">
        <v>1599.86608886719</v>
      </c>
      <c r="Q1591">
        <v>534.29595947265602</v>
      </c>
      <c r="R1591">
        <v>3</v>
      </c>
      <c r="S1591">
        <v>1</v>
      </c>
      <c r="T1591">
        <v>14</v>
      </c>
      <c r="U1591">
        <v>44.482149999999898</v>
      </c>
      <c r="V1591">
        <v>166111.299999999</v>
      </c>
    </row>
    <row r="1592" spans="1:22" x14ac:dyDescent="0.25">
      <c r="A1592" t="s">
        <v>2996</v>
      </c>
      <c r="B1592" t="s">
        <v>2997</v>
      </c>
      <c r="C1592">
        <v>168</v>
      </c>
      <c r="D1592">
        <v>99</v>
      </c>
      <c r="E1592">
        <v>99</v>
      </c>
      <c r="F1592" t="s">
        <v>2999</v>
      </c>
      <c r="G1592" t="s">
        <v>2999</v>
      </c>
      <c r="H1592">
        <f t="shared" si="27"/>
        <v>9</v>
      </c>
      <c r="M1592" s="1">
        <v>6.5358700230717702E-3</v>
      </c>
      <c r="N1592">
        <v>1567.85363769531</v>
      </c>
      <c r="O1592">
        <v>784.93409999999903</v>
      </c>
      <c r="P1592">
        <v>1567.84704589844</v>
      </c>
      <c r="Q1592">
        <v>784.93078613281205</v>
      </c>
      <c r="R1592">
        <v>2</v>
      </c>
      <c r="S1592">
        <v>1</v>
      </c>
      <c r="T1592">
        <v>10</v>
      </c>
      <c r="U1592">
        <v>41.406280000000002</v>
      </c>
      <c r="V1592">
        <v>245445.7</v>
      </c>
    </row>
    <row r="1593" spans="1:22" x14ac:dyDescent="0.25">
      <c r="A1593" t="s">
        <v>4480</v>
      </c>
      <c r="B1593" t="s">
        <v>4481</v>
      </c>
      <c r="C1593">
        <v>45</v>
      </c>
      <c r="D1593">
        <v>99</v>
      </c>
      <c r="E1593">
        <v>99</v>
      </c>
      <c r="F1593" t="s">
        <v>4482</v>
      </c>
      <c r="G1593" t="s">
        <v>4482</v>
      </c>
      <c r="H1593">
        <f t="shared" si="27"/>
        <v>16</v>
      </c>
      <c r="M1593" s="1">
        <v>8.40022973716259E-3</v>
      </c>
      <c r="N1593">
        <v>1587.87048339844</v>
      </c>
      <c r="O1593">
        <v>794.9425</v>
      </c>
      <c r="P1593">
        <v>1587.86206054688</v>
      </c>
      <c r="Q1593">
        <v>794.93829345703102</v>
      </c>
      <c r="R1593">
        <v>2</v>
      </c>
      <c r="S1593">
        <v>1</v>
      </c>
      <c r="T1593">
        <v>12</v>
      </c>
      <c r="U1593">
        <v>41.996130000000001</v>
      </c>
      <c r="V1593">
        <v>305627</v>
      </c>
    </row>
    <row r="1594" spans="1:22" x14ac:dyDescent="0.25">
      <c r="A1594" t="s">
        <v>2200</v>
      </c>
      <c r="B1594" t="s">
        <v>2201</v>
      </c>
      <c r="C1594">
        <v>123</v>
      </c>
      <c r="D1594">
        <v>99</v>
      </c>
      <c r="E1594">
        <v>99</v>
      </c>
      <c r="F1594" t="s">
        <v>2202</v>
      </c>
      <c r="G1594" t="s">
        <v>2202</v>
      </c>
      <c r="H1594">
        <f t="shared" si="27"/>
        <v>18</v>
      </c>
      <c r="M1594" s="1">
        <v>3.0495100654661599E-3</v>
      </c>
      <c r="N1594">
        <v>1762.92443847656</v>
      </c>
      <c r="O1594">
        <v>882.46950000000004</v>
      </c>
      <c r="P1594">
        <v>1762.92138671875</v>
      </c>
      <c r="Q1594">
        <v>882.46795654296795</v>
      </c>
      <c r="R1594">
        <v>2</v>
      </c>
      <c r="S1594">
        <v>2</v>
      </c>
      <c r="T1594">
        <v>14</v>
      </c>
      <c r="U1594">
        <v>41.650329999999897</v>
      </c>
      <c r="V1594">
        <v>103667.9</v>
      </c>
    </row>
    <row r="1595" spans="1:22" x14ac:dyDescent="0.25">
      <c r="A1595" t="s">
        <v>2203</v>
      </c>
      <c r="B1595" t="s">
        <v>2204</v>
      </c>
      <c r="C1595">
        <v>156</v>
      </c>
      <c r="D1595">
        <v>99</v>
      </c>
      <c r="E1595">
        <v>99</v>
      </c>
      <c r="F1595" t="s">
        <v>2205</v>
      </c>
      <c r="G1595" t="s">
        <v>2205</v>
      </c>
      <c r="H1595">
        <f t="shared" si="27"/>
        <v>16</v>
      </c>
      <c r="M1595" s="1">
        <v>3.4531001001596399E-3</v>
      </c>
      <c r="N1595">
        <v>1358.748046875</v>
      </c>
      <c r="O1595">
        <v>680.38130000000001</v>
      </c>
      <c r="P1595">
        <v>1358.74450683594</v>
      </c>
      <c r="Q1595">
        <v>680.37957763671795</v>
      </c>
      <c r="R1595">
        <v>2</v>
      </c>
      <c r="S1595">
        <v>1</v>
      </c>
      <c r="T1595">
        <v>10</v>
      </c>
      <c r="U1595">
        <v>45.008650000000003</v>
      </c>
      <c r="V1595">
        <v>140609.60000000001</v>
      </c>
    </row>
    <row r="1596" spans="1:22" x14ac:dyDescent="0.25">
      <c r="A1596" t="s">
        <v>2203</v>
      </c>
      <c r="B1596" t="s">
        <v>2204</v>
      </c>
      <c r="C1596">
        <v>154</v>
      </c>
      <c r="D1596">
        <v>99</v>
      </c>
      <c r="E1596">
        <v>99</v>
      </c>
      <c r="F1596" t="s">
        <v>2206</v>
      </c>
      <c r="G1596" t="s">
        <v>2206</v>
      </c>
      <c r="H1596">
        <f t="shared" si="27"/>
        <v>18</v>
      </c>
      <c r="M1596" s="1">
        <v>6.8230400793254401E-3</v>
      </c>
      <c r="N1596">
        <v>1903.01330566406</v>
      </c>
      <c r="O1596">
        <v>476.76060000000001</v>
      </c>
      <c r="P1596">
        <v>1903.00646972656</v>
      </c>
      <c r="Q1596">
        <v>476.75888061523301</v>
      </c>
      <c r="R1596">
        <v>4</v>
      </c>
      <c r="S1596">
        <v>2</v>
      </c>
      <c r="T1596">
        <v>10</v>
      </c>
      <c r="U1596">
        <v>39.77478</v>
      </c>
      <c r="V1596">
        <v>189596.3</v>
      </c>
    </row>
    <row r="1597" spans="1:22" x14ac:dyDescent="0.25">
      <c r="A1597" t="s">
        <v>2203</v>
      </c>
      <c r="B1597" t="s">
        <v>2204</v>
      </c>
      <c r="C1597">
        <v>155</v>
      </c>
      <c r="D1597">
        <v>97.7</v>
      </c>
      <c r="E1597">
        <v>97.71</v>
      </c>
      <c r="F1597" t="s">
        <v>2207</v>
      </c>
      <c r="G1597" t="s">
        <v>2207</v>
      </c>
      <c r="H1597">
        <f t="shared" si="27"/>
        <v>17</v>
      </c>
      <c r="M1597" s="1">
        <v>4.2397999204695103E-3</v>
      </c>
      <c r="N1597">
        <v>1810.99841308594</v>
      </c>
      <c r="O1597">
        <v>604.67340000000002</v>
      </c>
      <c r="P1597">
        <v>1810.994140625</v>
      </c>
      <c r="Q1597">
        <v>604.67199707031205</v>
      </c>
      <c r="R1597">
        <v>3</v>
      </c>
      <c r="S1597">
        <v>1</v>
      </c>
      <c r="T1597">
        <v>11</v>
      </c>
      <c r="U1597">
        <v>39.853169999999899</v>
      </c>
      <c r="V1597">
        <v>207827.1</v>
      </c>
    </row>
    <row r="1598" spans="1:22" x14ac:dyDescent="0.25">
      <c r="A1598" t="s">
        <v>2582</v>
      </c>
      <c r="B1598" t="s">
        <v>2583</v>
      </c>
      <c r="C1598">
        <v>66</v>
      </c>
      <c r="D1598">
        <v>98</v>
      </c>
      <c r="E1598">
        <v>97.96</v>
      </c>
      <c r="F1598" t="s">
        <v>2584</v>
      </c>
      <c r="G1598" t="s">
        <v>2584</v>
      </c>
      <c r="H1598">
        <f t="shared" si="27"/>
        <v>14</v>
      </c>
      <c r="M1598" s="1">
        <v>4.1127000004053003E-3</v>
      </c>
      <c r="N1598">
        <v>981.61248779296795</v>
      </c>
      <c r="O1598">
        <v>491.81349999999901</v>
      </c>
      <c r="P1598">
        <v>981.60833740234295</v>
      </c>
      <c r="Q1598">
        <v>491.81146240234301</v>
      </c>
      <c r="R1598">
        <v>2</v>
      </c>
      <c r="S1598">
        <v>2</v>
      </c>
      <c r="T1598">
        <v>10</v>
      </c>
      <c r="U1598">
        <v>27.810700000000001</v>
      </c>
      <c r="V1598">
        <v>1544423</v>
      </c>
    </row>
    <row r="1599" spans="1:22" x14ac:dyDescent="0.25">
      <c r="A1599" t="s">
        <v>592</v>
      </c>
      <c r="B1599" t="s">
        <v>593</v>
      </c>
      <c r="C1599">
        <v>501</v>
      </c>
      <c r="D1599">
        <v>99</v>
      </c>
      <c r="E1599">
        <v>99</v>
      </c>
      <c r="F1599" t="s">
        <v>594</v>
      </c>
      <c r="G1599" t="s">
        <v>594</v>
      </c>
      <c r="H1599">
        <f t="shared" si="27"/>
        <v>9</v>
      </c>
      <c r="M1599" s="1">
        <v>7.7641499228775501E-4</v>
      </c>
      <c r="N1599">
        <v>1026.63061523438</v>
      </c>
      <c r="O1599">
        <v>514.32259999999906</v>
      </c>
      <c r="P1599">
        <v>1026.62976074219</v>
      </c>
      <c r="Q1599">
        <v>514.32220458984295</v>
      </c>
      <c r="R1599">
        <v>2</v>
      </c>
      <c r="S1599">
        <v>1</v>
      </c>
      <c r="T1599">
        <v>11</v>
      </c>
      <c r="U1599">
        <v>26.4611699999999</v>
      </c>
      <c r="V1599">
        <v>3985351</v>
      </c>
    </row>
    <row r="1600" spans="1:22" x14ac:dyDescent="0.25">
      <c r="A1600" t="s">
        <v>1644</v>
      </c>
      <c r="B1600" t="s">
        <v>1645</v>
      </c>
      <c r="C1600">
        <v>533</v>
      </c>
      <c r="D1600">
        <v>99</v>
      </c>
      <c r="E1600">
        <v>99</v>
      </c>
      <c r="F1600" t="s">
        <v>1646</v>
      </c>
      <c r="G1600" t="s">
        <v>1646</v>
      </c>
      <c r="H1600">
        <f t="shared" si="27"/>
        <v>16</v>
      </c>
      <c r="M1600">
        <v>7.1310000000000002E-3</v>
      </c>
      <c r="N1600">
        <v>1347.63781738281</v>
      </c>
      <c r="O1600">
        <v>674.82619999999895</v>
      </c>
      <c r="P1600">
        <v>1347.63061523438</v>
      </c>
      <c r="Q1600">
        <v>674.82263183593705</v>
      </c>
      <c r="R1600">
        <v>2</v>
      </c>
      <c r="S1600">
        <v>1</v>
      </c>
      <c r="T1600">
        <v>9</v>
      </c>
      <c r="U1600">
        <v>40.55283</v>
      </c>
      <c r="V1600">
        <v>238214.8</v>
      </c>
    </row>
    <row r="1601" spans="1:22" x14ac:dyDescent="0.25">
      <c r="A1601" t="s">
        <v>1644</v>
      </c>
      <c r="B1601" t="s">
        <v>1645</v>
      </c>
      <c r="C1601">
        <v>533</v>
      </c>
      <c r="D1601">
        <v>99</v>
      </c>
      <c r="E1601">
        <v>99</v>
      </c>
      <c r="F1601" t="s">
        <v>1647</v>
      </c>
      <c r="G1601" t="s">
        <v>1647</v>
      </c>
      <c r="H1601">
        <f t="shared" si="27"/>
        <v>17</v>
      </c>
      <c r="M1601" s="1">
        <v>8.2002999261021493E-3</v>
      </c>
      <c r="N1601">
        <v>1242.68029785156</v>
      </c>
      <c r="O1601">
        <v>622.34739999999897</v>
      </c>
      <c r="P1601">
        <v>1242.67211914063</v>
      </c>
      <c r="Q1601">
        <v>622.34332275390602</v>
      </c>
      <c r="R1601">
        <v>2</v>
      </c>
      <c r="S1601">
        <v>3</v>
      </c>
      <c r="T1601">
        <v>9</v>
      </c>
      <c r="U1601">
        <v>45.219070000000002</v>
      </c>
      <c r="V1601">
        <v>128377.3</v>
      </c>
    </row>
    <row r="1602" spans="1:22" x14ac:dyDescent="0.25">
      <c r="A1602" t="s">
        <v>1644</v>
      </c>
      <c r="B1602" t="s">
        <v>1645</v>
      </c>
      <c r="C1602">
        <v>598</v>
      </c>
      <c r="D1602">
        <v>98.6</v>
      </c>
      <c r="E1602">
        <v>98.6</v>
      </c>
      <c r="F1602" t="s">
        <v>1648</v>
      </c>
      <c r="G1602" t="s">
        <v>1648</v>
      </c>
      <c r="H1602">
        <f t="shared" si="27"/>
        <v>18</v>
      </c>
      <c r="M1602" s="1">
        <v>-4.0191099978983402E-3</v>
      </c>
      <c r="N1602">
        <v>1101.63671875</v>
      </c>
      <c r="O1602">
        <v>551.82560000000001</v>
      </c>
      <c r="P1602">
        <v>1101.64074707031</v>
      </c>
      <c r="Q1602">
        <v>551.82763671875</v>
      </c>
      <c r="R1602">
        <v>2</v>
      </c>
      <c r="S1602">
        <v>2</v>
      </c>
      <c r="T1602">
        <v>13</v>
      </c>
      <c r="U1602">
        <v>19.200579999999899</v>
      </c>
      <c r="V1602">
        <v>1723165</v>
      </c>
    </row>
    <row r="1603" spans="1:22" x14ac:dyDescent="0.25">
      <c r="A1603" t="s">
        <v>1644</v>
      </c>
      <c r="B1603" t="s">
        <v>1645</v>
      </c>
      <c r="C1603">
        <v>535</v>
      </c>
      <c r="D1603">
        <v>98</v>
      </c>
      <c r="E1603">
        <v>97.97</v>
      </c>
      <c r="F1603" t="s">
        <v>1649</v>
      </c>
      <c r="G1603" t="s">
        <v>1649</v>
      </c>
      <c r="H1603">
        <f t="shared" ref="H1603:H1666" si="28">LEN(G1603)</f>
        <v>15</v>
      </c>
      <c r="M1603" s="1">
        <v>-1.8078499706462E-3</v>
      </c>
      <c r="N1603">
        <v>1177.70251464844</v>
      </c>
      <c r="O1603">
        <v>393.57479999999902</v>
      </c>
      <c r="P1603">
        <v>1177.70434570313</v>
      </c>
      <c r="Q1603">
        <v>393.57540893554602</v>
      </c>
      <c r="R1603">
        <v>3</v>
      </c>
      <c r="S1603">
        <v>1</v>
      </c>
      <c r="T1603">
        <v>10</v>
      </c>
      <c r="U1603">
        <v>20.2296499999999</v>
      </c>
      <c r="V1603">
        <v>2235608</v>
      </c>
    </row>
    <row r="1604" spans="1:22" x14ac:dyDescent="0.25">
      <c r="A1604" t="s">
        <v>1644</v>
      </c>
      <c r="B1604" t="s">
        <v>1645</v>
      </c>
      <c r="C1604">
        <v>599</v>
      </c>
      <c r="D1604">
        <v>99</v>
      </c>
      <c r="E1604">
        <v>99</v>
      </c>
      <c r="F1604" t="s">
        <v>1650</v>
      </c>
      <c r="G1604" t="s">
        <v>1650</v>
      </c>
      <c r="H1604">
        <f t="shared" si="28"/>
        <v>16</v>
      </c>
      <c r="L1604" t="s">
        <v>295</v>
      </c>
      <c r="M1604">
        <v>5.339E-3</v>
      </c>
      <c r="N1604">
        <v>2529.30639648438</v>
      </c>
      <c r="O1604">
        <v>844.10940000000005</v>
      </c>
      <c r="P1604">
        <v>2529.30102539063</v>
      </c>
      <c r="Q1604">
        <v>844.10760498046795</v>
      </c>
      <c r="R1604">
        <v>3</v>
      </c>
      <c r="S1604">
        <v>1</v>
      </c>
      <c r="T1604">
        <v>17</v>
      </c>
      <c r="U1604">
        <v>39.971730000000001</v>
      </c>
      <c r="V1604">
        <v>905059.9</v>
      </c>
    </row>
    <row r="1605" spans="1:22" x14ac:dyDescent="0.25">
      <c r="A1605" t="s">
        <v>1644</v>
      </c>
      <c r="B1605" t="s">
        <v>1645</v>
      </c>
      <c r="C1605">
        <v>599</v>
      </c>
      <c r="D1605">
        <v>99</v>
      </c>
      <c r="E1605">
        <v>99</v>
      </c>
      <c r="F1605" t="s">
        <v>1651</v>
      </c>
      <c r="G1605" t="s">
        <v>1651</v>
      </c>
      <c r="H1605">
        <f t="shared" si="28"/>
        <v>17</v>
      </c>
      <c r="L1605" t="s">
        <v>295</v>
      </c>
      <c r="M1605" s="1">
        <v>4.4235498644411503E-3</v>
      </c>
      <c r="N1605">
        <v>2529.30541992188</v>
      </c>
      <c r="O1605">
        <v>844.10910000000001</v>
      </c>
      <c r="P1605">
        <v>2529.30102539063</v>
      </c>
      <c r="Q1605">
        <v>844.10760498046795</v>
      </c>
      <c r="R1605">
        <v>3</v>
      </c>
      <c r="S1605">
        <v>1</v>
      </c>
      <c r="T1605">
        <v>15</v>
      </c>
      <c r="U1605">
        <v>39.9878199999999</v>
      </c>
      <c r="V1605">
        <v>447000.4</v>
      </c>
    </row>
    <row r="1606" spans="1:22" x14ac:dyDescent="0.25">
      <c r="A1606" t="s">
        <v>1476</v>
      </c>
      <c r="B1606" t="s">
        <v>1477</v>
      </c>
      <c r="C1606">
        <v>1859</v>
      </c>
      <c r="D1606">
        <v>99</v>
      </c>
      <c r="E1606">
        <v>99</v>
      </c>
      <c r="F1606" t="s">
        <v>1478</v>
      </c>
      <c r="G1606" t="s">
        <v>1478</v>
      </c>
      <c r="H1606">
        <f t="shared" si="28"/>
        <v>10</v>
      </c>
      <c r="M1606">
        <v>2.532E-3</v>
      </c>
      <c r="N1606">
        <v>1184.63269042969</v>
      </c>
      <c r="O1606">
        <v>1185.6400000000001</v>
      </c>
      <c r="P1606">
        <v>1184.63024902344</v>
      </c>
      <c r="Q1606">
        <v>1185.63745117188</v>
      </c>
      <c r="R1606">
        <v>1</v>
      </c>
      <c r="S1606">
        <v>4</v>
      </c>
      <c r="T1606">
        <v>10</v>
      </c>
      <c r="U1606">
        <v>26.2095699999999</v>
      </c>
      <c r="V1606">
        <v>2711680</v>
      </c>
    </row>
    <row r="1607" spans="1:22" x14ac:dyDescent="0.25">
      <c r="A1607" t="s">
        <v>1476</v>
      </c>
      <c r="B1607" t="s">
        <v>1477</v>
      </c>
      <c r="C1607">
        <v>1859</v>
      </c>
      <c r="D1607">
        <v>99</v>
      </c>
      <c r="E1607">
        <v>99</v>
      </c>
      <c r="F1607" t="s">
        <v>1478</v>
      </c>
      <c r="G1607" t="s">
        <v>1478</v>
      </c>
      <c r="H1607">
        <f t="shared" si="28"/>
        <v>10</v>
      </c>
      <c r="L1607" t="s">
        <v>47</v>
      </c>
      <c r="M1607" s="1">
        <v>4.0649101138114903E-3</v>
      </c>
      <c r="N1607">
        <v>1595.71130371094</v>
      </c>
      <c r="O1607">
        <v>798.86289999999894</v>
      </c>
      <c r="P1607">
        <v>1595.70715332031</v>
      </c>
      <c r="Q1607">
        <v>798.86090087890602</v>
      </c>
      <c r="R1607">
        <v>2</v>
      </c>
      <c r="S1607">
        <v>1</v>
      </c>
      <c r="T1607">
        <v>9</v>
      </c>
      <c r="U1607">
        <v>26.480799999999899</v>
      </c>
      <c r="V1607">
        <v>192431</v>
      </c>
    </row>
    <row r="1608" spans="1:22" x14ac:dyDescent="0.25">
      <c r="A1608" t="s">
        <v>3679</v>
      </c>
      <c r="B1608" t="s">
        <v>3680</v>
      </c>
      <c r="C1608">
        <v>386</v>
      </c>
      <c r="D1608">
        <v>97.1</v>
      </c>
      <c r="E1608">
        <v>97.05</v>
      </c>
      <c r="F1608" t="s">
        <v>3681</v>
      </c>
      <c r="G1608" t="s">
        <v>3681</v>
      </c>
      <c r="H1608">
        <f t="shared" si="28"/>
        <v>9</v>
      </c>
      <c r="M1608" s="1">
        <v>1.79584996658377E-4</v>
      </c>
      <c r="N1608">
        <v>1148.68542480469</v>
      </c>
      <c r="O1608">
        <v>575.35</v>
      </c>
      <c r="P1608">
        <v>1148.68518066406</v>
      </c>
      <c r="Q1608">
        <v>575.34991455078102</v>
      </c>
      <c r="R1608">
        <v>2</v>
      </c>
      <c r="S1608">
        <v>2</v>
      </c>
      <c r="T1608">
        <v>12</v>
      </c>
      <c r="U1608">
        <v>19.173480000000001</v>
      </c>
      <c r="V1608">
        <v>1995943</v>
      </c>
    </row>
    <row r="1609" spans="1:22" x14ac:dyDescent="0.25">
      <c r="A1609" t="s">
        <v>3679</v>
      </c>
      <c r="B1609" t="s">
        <v>3680</v>
      </c>
      <c r="C1609">
        <v>902</v>
      </c>
      <c r="D1609">
        <v>99</v>
      </c>
      <c r="E1609">
        <v>99</v>
      </c>
      <c r="F1609" t="s">
        <v>3682</v>
      </c>
      <c r="G1609" t="s">
        <v>3682</v>
      </c>
      <c r="H1609">
        <f t="shared" si="28"/>
        <v>9</v>
      </c>
      <c r="M1609" s="1">
        <v>1.34153999388218E-2</v>
      </c>
      <c r="N1609">
        <v>1754.79809570313</v>
      </c>
      <c r="O1609">
        <v>878.40629999999896</v>
      </c>
      <c r="P1609">
        <v>1754.78466796875</v>
      </c>
      <c r="Q1609">
        <v>878.39959716796795</v>
      </c>
      <c r="R1609">
        <v>2</v>
      </c>
      <c r="S1609">
        <v>1</v>
      </c>
      <c r="T1609">
        <v>10</v>
      </c>
      <c r="U1609">
        <v>42.453949999999899</v>
      </c>
      <c r="V1609">
        <v>100189.5</v>
      </c>
    </row>
    <row r="1610" spans="1:22" x14ac:dyDescent="0.25">
      <c r="A1610" t="s">
        <v>959</v>
      </c>
      <c r="B1610" t="s">
        <v>960</v>
      </c>
      <c r="C1610">
        <v>131</v>
      </c>
      <c r="D1610">
        <v>98.9</v>
      </c>
      <c r="E1610">
        <v>98.94</v>
      </c>
      <c r="F1610" t="s">
        <v>961</v>
      </c>
      <c r="G1610" t="s">
        <v>961</v>
      </c>
      <c r="H1610">
        <f t="shared" si="28"/>
        <v>16</v>
      </c>
      <c r="L1610" t="s">
        <v>87</v>
      </c>
      <c r="M1610" s="1">
        <v>4.9521499313414001E-3</v>
      </c>
      <c r="N1610">
        <v>1216.59265136719</v>
      </c>
      <c r="O1610">
        <v>609.30359999999905</v>
      </c>
      <c r="P1610">
        <v>1216.58764648438</v>
      </c>
      <c r="Q1610">
        <v>609.30108642578102</v>
      </c>
      <c r="R1610">
        <v>2</v>
      </c>
      <c r="S1610">
        <v>8</v>
      </c>
      <c r="T1610">
        <v>13</v>
      </c>
      <c r="U1610">
        <v>44.905999999999899</v>
      </c>
      <c r="V1610">
        <v>1264753</v>
      </c>
    </row>
    <row r="1611" spans="1:22" x14ac:dyDescent="0.25">
      <c r="A1611" t="s">
        <v>2043</v>
      </c>
      <c r="B1611" t="s">
        <v>2044</v>
      </c>
      <c r="C1611">
        <v>289</v>
      </c>
      <c r="D1611">
        <v>98.2</v>
      </c>
      <c r="E1611">
        <v>98.24</v>
      </c>
      <c r="F1611" t="s">
        <v>2045</v>
      </c>
      <c r="G1611" t="s">
        <v>2045</v>
      </c>
      <c r="H1611">
        <f t="shared" si="28"/>
        <v>9</v>
      </c>
      <c r="M1611" s="1">
        <v>3.6694901064038199E-3</v>
      </c>
      <c r="N1611">
        <v>1061.52124023438</v>
      </c>
      <c r="O1611">
        <v>531.76790000000005</v>
      </c>
      <c r="P1611">
        <v>1061.517578125</v>
      </c>
      <c r="Q1611">
        <v>531.76605224609295</v>
      </c>
      <c r="R1611">
        <v>2</v>
      </c>
      <c r="S1611">
        <v>1</v>
      </c>
      <c r="T1611">
        <v>10</v>
      </c>
      <c r="U1611">
        <v>36.651400000000002</v>
      </c>
      <c r="V1611">
        <v>1578071</v>
      </c>
    </row>
    <row r="1612" spans="1:22" x14ac:dyDescent="0.25">
      <c r="A1612" t="s">
        <v>4248</v>
      </c>
      <c r="B1612" t="s">
        <v>4249</v>
      </c>
      <c r="C1612">
        <v>1162</v>
      </c>
      <c r="D1612">
        <v>99</v>
      </c>
      <c r="E1612">
        <v>99</v>
      </c>
      <c r="F1612" t="s">
        <v>4250</v>
      </c>
      <c r="G1612" t="s">
        <v>4250</v>
      </c>
      <c r="H1612">
        <f t="shared" si="28"/>
        <v>15</v>
      </c>
      <c r="M1612" s="1">
        <v>-1.3420999748632301E-3</v>
      </c>
      <c r="N1612">
        <v>1157.60266113281</v>
      </c>
      <c r="O1612">
        <v>1158.6099999999899</v>
      </c>
      <c r="P1612">
        <v>1157.60400390625</v>
      </c>
      <c r="Q1612">
        <v>1158.611328125</v>
      </c>
      <c r="R1612">
        <v>1</v>
      </c>
      <c r="S1612">
        <v>9</v>
      </c>
      <c r="T1612">
        <v>10</v>
      </c>
      <c r="U1612">
        <v>21.062270000000002</v>
      </c>
      <c r="V1612">
        <v>1346326</v>
      </c>
    </row>
    <row r="1613" spans="1:22" x14ac:dyDescent="0.25">
      <c r="A1613" t="s">
        <v>3577</v>
      </c>
      <c r="B1613" t="s">
        <v>3578</v>
      </c>
      <c r="C1613">
        <v>149</v>
      </c>
      <c r="D1613">
        <v>99</v>
      </c>
      <c r="E1613">
        <v>99</v>
      </c>
      <c r="F1613" t="s">
        <v>3579</v>
      </c>
      <c r="G1613" t="s">
        <v>3579</v>
      </c>
      <c r="H1613">
        <f t="shared" si="28"/>
        <v>9</v>
      </c>
      <c r="M1613" s="1">
        <v>5.9937201440334303E-3</v>
      </c>
      <c r="N1613">
        <v>1191.69360351563</v>
      </c>
      <c r="O1613">
        <v>398.23849999999902</v>
      </c>
      <c r="P1613">
        <v>1191.68762207031</v>
      </c>
      <c r="Q1613">
        <v>398.23651123046801</v>
      </c>
      <c r="R1613">
        <v>3</v>
      </c>
      <c r="S1613">
        <v>1</v>
      </c>
      <c r="T1613">
        <v>9</v>
      </c>
      <c r="U1613">
        <v>43.665579999999899</v>
      </c>
      <c r="V1613">
        <v>154991.20000000001</v>
      </c>
    </row>
    <row r="1614" spans="1:22" x14ac:dyDescent="0.25">
      <c r="A1614" t="s">
        <v>1486</v>
      </c>
      <c r="B1614" t="s">
        <v>1487</v>
      </c>
      <c r="C1614">
        <v>366</v>
      </c>
      <c r="D1614">
        <v>98.9</v>
      </c>
      <c r="E1614">
        <v>98.86</v>
      </c>
      <c r="F1614" t="s">
        <v>1488</v>
      </c>
      <c r="G1614" t="s">
        <v>1488</v>
      </c>
      <c r="H1614">
        <f t="shared" si="28"/>
        <v>9</v>
      </c>
      <c r="M1614">
        <v>-2.493E-3</v>
      </c>
      <c r="N1614">
        <v>1143.69641113281</v>
      </c>
      <c r="O1614">
        <v>382.23939999999902</v>
      </c>
      <c r="P1614">
        <v>1143.69885253906</v>
      </c>
      <c r="Q1614">
        <v>382.240234375</v>
      </c>
      <c r="R1614">
        <v>3</v>
      </c>
      <c r="S1614">
        <v>3</v>
      </c>
      <c r="T1614">
        <v>12</v>
      </c>
      <c r="U1614">
        <v>18.30555</v>
      </c>
      <c r="V1614">
        <v>1232386</v>
      </c>
    </row>
    <row r="1615" spans="1:22" x14ac:dyDescent="0.25">
      <c r="A1615" t="s">
        <v>3350</v>
      </c>
      <c r="B1615" t="s">
        <v>3351</v>
      </c>
      <c r="C1615">
        <v>378</v>
      </c>
      <c r="D1615">
        <v>99</v>
      </c>
      <c r="E1615">
        <v>99</v>
      </c>
      <c r="F1615" t="s">
        <v>3352</v>
      </c>
      <c r="G1615" t="s">
        <v>3352</v>
      </c>
      <c r="H1615">
        <f t="shared" si="28"/>
        <v>16</v>
      </c>
      <c r="M1615" s="1">
        <v>3.0246600508689902E-3</v>
      </c>
      <c r="N1615">
        <v>1115.70971679688</v>
      </c>
      <c r="O1615">
        <v>558.86210000000005</v>
      </c>
      <c r="P1615">
        <v>1115.70666503906</v>
      </c>
      <c r="Q1615">
        <v>558.860595703125</v>
      </c>
      <c r="R1615">
        <v>2</v>
      </c>
      <c r="S1615">
        <v>1</v>
      </c>
      <c r="T1615">
        <v>11</v>
      </c>
      <c r="U1615">
        <v>36.385129999999897</v>
      </c>
      <c r="V1615">
        <v>2412323</v>
      </c>
    </row>
    <row r="1616" spans="1:22" x14ac:dyDescent="0.25">
      <c r="A1616" t="s">
        <v>2227</v>
      </c>
      <c r="B1616" t="s">
        <v>2228</v>
      </c>
      <c r="C1616">
        <v>2</v>
      </c>
      <c r="D1616">
        <v>99</v>
      </c>
      <c r="E1616">
        <v>99</v>
      </c>
      <c r="F1616" t="s">
        <v>2229</v>
      </c>
      <c r="G1616" t="s">
        <v>2229</v>
      </c>
      <c r="H1616">
        <f t="shared" si="28"/>
        <v>8</v>
      </c>
      <c r="L1616" t="s">
        <v>227</v>
      </c>
      <c r="M1616" s="1">
        <v>-3.4023199696093802E-3</v>
      </c>
      <c r="N1616">
        <v>1013.50427246094</v>
      </c>
      <c r="O1616">
        <v>507.75940000000003</v>
      </c>
      <c r="P1616">
        <v>1013.50762939453</v>
      </c>
      <c r="Q1616">
        <v>507.76110839843801</v>
      </c>
      <c r="R1616">
        <v>2</v>
      </c>
      <c r="S1616">
        <v>7</v>
      </c>
      <c r="T1616">
        <v>13</v>
      </c>
      <c r="U1616">
        <v>18.735320000000002</v>
      </c>
      <c r="V1616">
        <v>659402.4</v>
      </c>
    </row>
    <row r="1617" spans="1:22" x14ac:dyDescent="0.25">
      <c r="A1617" t="s">
        <v>3235</v>
      </c>
      <c r="B1617" t="s">
        <v>3236</v>
      </c>
      <c r="C1617">
        <v>86</v>
      </c>
      <c r="D1617">
        <v>99</v>
      </c>
      <c r="E1617">
        <v>99</v>
      </c>
      <c r="F1617" t="s">
        <v>3237</v>
      </c>
      <c r="G1617" t="s">
        <v>3237</v>
      </c>
      <c r="H1617">
        <f t="shared" si="28"/>
        <v>10</v>
      </c>
      <c r="M1617" s="1">
        <v>9.2323101125657602E-4</v>
      </c>
      <c r="N1617">
        <v>1118.68212890625</v>
      </c>
      <c r="O1617">
        <v>560.34829999999897</v>
      </c>
      <c r="P1617">
        <v>1118.68115234375</v>
      </c>
      <c r="Q1617">
        <v>560.34783935546795</v>
      </c>
      <c r="R1617">
        <v>2</v>
      </c>
      <c r="S1617">
        <v>1</v>
      </c>
      <c r="T1617">
        <v>10</v>
      </c>
      <c r="U1617">
        <v>29.617470000000001</v>
      </c>
      <c r="V1617">
        <v>3422049</v>
      </c>
    </row>
    <row r="1618" spans="1:22" x14ac:dyDescent="0.25">
      <c r="A1618" t="s">
        <v>2558</v>
      </c>
      <c r="B1618" t="s">
        <v>2559</v>
      </c>
      <c r="C1618">
        <v>210</v>
      </c>
      <c r="D1618">
        <v>97.8</v>
      </c>
      <c r="E1618">
        <v>97.75</v>
      </c>
      <c r="F1618" t="s">
        <v>2560</v>
      </c>
      <c r="G1618" t="s">
        <v>2560</v>
      </c>
      <c r="H1618">
        <f t="shared" si="28"/>
        <v>9</v>
      </c>
      <c r="M1618" s="1">
        <v>4.4762401375919602E-4</v>
      </c>
      <c r="N1618">
        <v>1159.62890625</v>
      </c>
      <c r="O1618">
        <v>580.82169999999905</v>
      </c>
      <c r="P1618">
        <v>1159.62841796875</v>
      </c>
      <c r="Q1618">
        <v>580.82147216796795</v>
      </c>
      <c r="R1618">
        <v>2</v>
      </c>
      <c r="S1618">
        <v>2</v>
      </c>
      <c r="T1618">
        <v>11</v>
      </c>
      <c r="U1618">
        <v>23.996649999999899</v>
      </c>
      <c r="V1618">
        <v>1091111</v>
      </c>
    </row>
    <row r="1619" spans="1:22" x14ac:dyDescent="0.25">
      <c r="A1619" t="s">
        <v>3686</v>
      </c>
      <c r="B1619" t="s">
        <v>3687</v>
      </c>
      <c r="C1619">
        <v>310</v>
      </c>
      <c r="D1619">
        <v>97.4</v>
      </c>
      <c r="E1619">
        <v>97.39</v>
      </c>
      <c r="F1619" t="s">
        <v>3688</v>
      </c>
      <c r="G1619" t="s">
        <v>3688</v>
      </c>
      <c r="H1619">
        <f t="shared" si="28"/>
        <v>9</v>
      </c>
      <c r="M1619" s="1">
        <v>-2.2638500668108398E-3</v>
      </c>
      <c r="N1619">
        <v>1681.7958984375</v>
      </c>
      <c r="O1619">
        <v>841.90520000000004</v>
      </c>
      <c r="P1619">
        <v>1681.79809570313</v>
      </c>
      <c r="Q1619">
        <v>841.90637207031205</v>
      </c>
      <c r="R1619">
        <v>2</v>
      </c>
      <c r="S1619">
        <v>1</v>
      </c>
      <c r="T1619">
        <v>9</v>
      </c>
      <c r="U1619">
        <v>31.206980000000001</v>
      </c>
      <c r="V1619">
        <v>344806.3</v>
      </c>
    </row>
    <row r="1620" spans="1:22" x14ac:dyDescent="0.25">
      <c r="A1620" t="s">
        <v>4270</v>
      </c>
      <c r="B1620" t="s">
        <v>4271</v>
      </c>
      <c r="C1620">
        <v>312</v>
      </c>
      <c r="D1620">
        <v>99</v>
      </c>
      <c r="E1620">
        <v>99</v>
      </c>
      <c r="F1620" t="s">
        <v>18</v>
      </c>
      <c r="G1620" t="s">
        <v>18</v>
      </c>
      <c r="H1620">
        <f t="shared" si="28"/>
        <v>9</v>
      </c>
      <c r="M1620" s="1">
        <v>4.9562300555408001E-3</v>
      </c>
      <c r="N1620">
        <v>1089.60546875</v>
      </c>
      <c r="O1620">
        <v>545.80999999999904</v>
      </c>
      <c r="P1620">
        <v>1089.60046386719</v>
      </c>
      <c r="Q1620">
        <v>545.80749511718705</v>
      </c>
      <c r="R1620">
        <v>2</v>
      </c>
      <c r="S1620">
        <v>3</v>
      </c>
      <c r="T1620">
        <v>12</v>
      </c>
      <c r="U1620">
        <v>48.646349999999899</v>
      </c>
      <c r="V1620">
        <v>355714.1</v>
      </c>
    </row>
    <row r="1621" spans="1:22" x14ac:dyDescent="0.25">
      <c r="A1621" t="s">
        <v>1019</v>
      </c>
      <c r="B1621" t="s">
        <v>1020</v>
      </c>
      <c r="C1621">
        <v>61</v>
      </c>
      <c r="D1621">
        <v>99</v>
      </c>
      <c r="E1621">
        <v>99</v>
      </c>
      <c r="F1621" t="s">
        <v>1021</v>
      </c>
      <c r="G1621" t="s">
        <v>1021</v>
      </c>
      <c r="H1621">
        <f t="shared" si="28"/>
        <v>9</v>
      </c>
      <c r="M1621" s="1">
        <v>3.9738197810947904E-3</v>
      </c>
      <c r="N1621">
        <v>1191.64404296875</v>
      </c>
      <c r="O1621">
        <v>596.82929999999897</v>
      </c>
      <c r="P1621">
        <v>1191.64001464844</v>
      </c>
      <c r="Q1621">
        <v>596.82727050781205</v>
      </c>
      <c r="R1621">
        <v>2</v>
      </c>
      <c r="S1621">
        <v>1</v>
      </c>
      <c r="T1621">
        <v>9</v>
      </c>
      <c r="U1621">
        <v>31.190280000000001</v>
      </c>
      <c r="V1621">
        <v>70381.67</v>
      </c>
    </row>
    <row r="1622" spans="1:22" x14ac:dyDescent="0.25">
      <c r="A1622" t="s">
        <v>4281</v>
      </c>
      <c r="B1622" t="s">
        <v>4282</v>
      </c>
      <c r="C1622">
        <v>1116</v>
      </c>
      <c r="D1622">
        <v>99</v>
      </c>
      <c r="E1622">
        <v>99</v>
      </c>
      <c r="F1622" t="s">
        <v>4283</v>
      </c>
      <c r="G1622" t="s">
        <v>4283</v>
      </c>
      <c r="H1622">
        <f t="shared" si="28"/>
        <v>9</v>
      </c>
      <c r="M1622" s="1">
        <v>4.6563698560930702E-4</v>
      </c>
      <c r="N1622">
        <v>1128.64086914063</v>
      </c>
      <c r="O1622">
        <v>565.32770000000005</v>
      </c>
      <c r="P1622">
        <v>1128.64038085938</v>
      </c>
      <c r="Q1622">
        <v>565.32745361328102</v>
      </c>
      <c r="R1622">
        <v>2</v>
      </c>
      <c r="S1622">
        <v>1</v>
      </c>
      <c r="T1622">
        <v>11</v>
      </c>
      <c r="U1622">
        <v>23.194870000000002</v>
      </c>
      <c r="V1622">
        <v>2029903</v>
      </c>
    </row>
    <row r="1623" spans="1:22" x14ac:dyDescent="0.25">
      <c r="A1623" t="s">
        <v>3452</v>
      </c>
      <c r="B1623" t="s">
        <v>3453</v>
      </c>
      <c r="C1623">
        <v>443</v>
      </c>
      <c r="D1623">
        <v>98.2</v>
      </c>
      <c r="E1623">
        <v>98.21</v>
      </c>
      <c r="F1623" t="s">
        <v>3454</v>
      </c>
      <c r="G1623" t="s">
        <v>3454</v>
      </c>
      <c r="H1623">
        <f t="shared" si="28"/>
        <v>11</v>
      </c>
      <c r="M1623" s="1">
        <v>-1.8424700247123801E-3</v>
      </c>
      <c r="N1623">
        <v>1455.83911132813</v>
      </c>
      <c r="O1623">
        <v>728.92679999999905</v>
      </c>
      <c r="P1623">
        <v>1455.84094238281</v>
      </c>
      <c r="Q1623">
        <v>728.927734375</v>
      </c>
      <c r="R1623">
        <v>2</v>
      </c>
      <c r="S1623">
        <v>2</v>
      </c>
      <c r="T1623">
        <v>15</v>
      </c>
      <c r="U1623">
        <v>26.592369999999899</v>
      </c>
      <c r="V1623">
        <v>358141.1</v>
      </c>
    </row>
    <row r="1624" spans="1:22" x14ac:dyDescent="0.25">
      <c r="A1624" t="s">
        <v>3452</v>
      </c>
      <c r="B1624" t="s">
        <v>3453</v>
      </c>
      <c r="C1624">
        <v>506</v>
      </c>
      <c r="D1624">
        <v>99</v>
      </c>
      <c r="E1624">
        <v>99</v>
      </c>
      <c r="F1624" t="s">
        <v>3455</v>
      </c>
      <c r="G1624" t="s">
        <v>3455</v>
      </c>
      <c r="H1624">
        <f t="shared" si="28"/>
        <v>18</v>
      </c>
      <c r="M1624" s="1">
        <v>4.1552102193236403E-3</v>
      </c>
      <c r="N1624">
        <v>1583.90368652344</v>
      </c>
      <c r="O1624">
        <v>792.95910000000003</v>
      </c>
      <c r="P1624">
        <v>1583.89953613281</v>
      </c>
      <c r="Q1624">
        <v>792.95703125</v>
      </c>
      <c r="R1624">
        <v>2</v>
      </c>
      <c r="S1624">
        <v>1</v>
      </c>
      <c r="T1624">
        <v>15</v>
      </c>
      <c r="U1624">
        <v>25.6873</v>
      </c>
      <c r="V1624">
        <v>254913.3</v>
      </c>
    </row>
    <row r="1625" spans="1:22" x14ac:dyDescent="0.25">
      <c r="A1625" t="s">
        <v>105</v>
      </c>
      <c r="B1625" t="s">
        <v>106</v>
      </c>
      <c r="C1625">
        <v>115</v>
      </c>
      <c r="D1625">
        <v>97.6</v>
      </c>
      <c r="E1625">
        <v>97.57</v>
      </c>
      <c r="F1625" t="s">
        <v>107</v>
      </c>
      <c r="G1625" t="s">
        <v>107</v>
      </c>
      <c r="H1625">
        <f t="shared" si="28"/>
        <v>9</v>
      </c>
      <c r="M1625" s="1">
        <v>5.4390202276408603E-3</v>
      </c>
      <c r="N1625">
        <v>1754.01049804688</v>
      </c>
      <c r="O1625">
        <v>878.01250000000005</v>
      </c>
      <c r="P1625">
        <v>1754.00500488281</v>
      </c>
      <c r="Q1625">
        <v>878.009765625</v>
      </c>
      <c r="R1625">
        <v>2</v>
      </c>
      <c r="S1625">
        <v>1</v>
      </c>
      <c r="T1625">
        <v>16</v>
      </c>
      <c r="U1625">
        <v>29.582180000000001</v>
      </c>
      <c r="V1625">
        <v>451776.7</v>
      </c>
    </row>
    <row r="1626" spans="1:22" x14ac:dyDescent="0.25">
      <c r="A1626" t="s">
        <v>2966</v>
      </c>
      <c r="B1626" t="s">
        <v>2967</v>
      </c>
      <c r="C1626">
        <v>519</v>
      </c>
      <c r="D1626">
        <v>99</v>
      </c>
      <c r="E1626">
        <v>99</v>
      </c>
      <c r="F1626" t="s">
        <v>2968</v>
      </c>
      <c r="G1626" t="s">
        <v>2968</v>
      </c>
      <c r="H1626">
        <f t="shared" si="28"/>
        <v>17</v>
      </c>
      <c r="M1626" s="1">
        <v>4.5485198497772104E-3</v>
      </c>
      <c r="N1626">
        <v>1440.79821777344</v>
      </c>
      <c r="O1626">
        <v>721.40639999999905</v>
      </c>
      <c r="P1626">
        <v>1440.79370117188</v>
      </c>
      <c r="Q1626">
        <v>721.40411376953102</v>
      </c>
      <c r="R1626">
        <v>2</v>
      </c>
      <c r="S1626">
        <v>2</v>
      </c>
      <c r="T1626">
        <v>8</v>
      </c>
      <c r="U1626">
        <v>48.880180000000003</v>
      </c>
      <c r="V1626">
        <v>37025.08</v>
      </c>
    </row>
    <row r="1627" spans="1:22" x14ac:dyDescent="0.25">
      <c r="A1627" t="s">
        <v>2885</v>
      </c>
      <c r="B1627" t="s">
        <v>2886</v>
      </c>
      <c r="C1627">
        <v>1199</v>
      </c>
      <c r="D1627">
        <v>98.9</v>
      </c>
      <c r="E1627">
        <v>98.88</v>
      </c>
      <c r="F1627" t="s">
        <v>2887</v>
      </c>
      <c r="G1627" t="s">
        <v>2887</v>
      </c>
      <c r="H1627">
        <f t="shared" si="28"/>
        <v>9</v>
      </c>
      <c r="M1627" s="1">
        <v>1.5052499948069501E-3</v>
      </c>
      <c r="N1627">
        <v>957.56628417968705</v>
      </c>
      <c r="O1627">
        <v>479.79039999999901</v>
      </c>
      <c r="P1627">
        <v>957.56475830078102</v>
      </c>
      <c r="Q1627">
        <v>479.78964233398301</v>
      </c>
      <c r="R1627">
        <v>2</v>
      </c>
      <c r="S1627">
        <v>1</v>
      </c>
      <c r="T1627">
        <v>11</v>
      </c>
      <c r="U1627">
        <v>32.424250000000001</v>
      </c>
      <c r="V1627">
        <v>1807398</v>
      </c>
    </row>
    <row r="1628" spans="1:22" x14ac:dyDescent="0.25">
      <c r="A1628" t="s">
        <v>2885</v>
      </c>
      <c r="B1628" t="s">
        <v>2886</v>
      </c>
      <c r="C1628">
        <v>684</v>
      </c>
      <c r="D1628">
        <v>97.9</v>
      </c>
      <c r="E1628">
        <v>97.94</v>
      </c>
      <c r="F1628" t="s">
        <v>2888</v>
      </c>
      <c r="G1628" t="s">
        <v>2888</v>
      </c>
      <c r="H1628">
        <f t="shared" si="28"/>
        <v>9</v>
      </c>
      <c r="L1628" t="s">
        <v>295</v>
      </c>
      <c r="M1628" s="1">
        <v>8.0631701275706309E-3</v>
      </c>
      <c r="N1628">
        <v>1886.89001464844</v>
      </c>
      <c r="O1628">
        <v>944.45230000000004</v>
      </c>
      <c r="P1628">
        <v>1886.88195800781</v>
      </c>
      <c r="Q1628">
        <v>944.4482421875</v>
      </c>
      <c r="R1628">
        <v>2</v>
      </c>
      <c r="S1628">
        <v>1</v>
      </c>
      <c r="T1628">
        <v>12</v>
      </c>
      <c r="U1628">
        <v>41.834220000000002</v>
      </c>
      <c r="V1628">
        <v>332150.5</v>
      </c>
    </row>
    <row r="1629" spans="1:22" x14ac:dyDescent="0.25">
      <c r="A1629" t="s">
        <v>3716</v>
      </c>
      <c r="B1629" t="s">
        <v>3717</v>
      </c>
      <c r="C1629">
        <v>93</v>
      </c>
      <c r="D1629">
        <v>99</v>
      </c>
      <c r="E1629">
        <v>99</v>
      </c>
      <c r="F1629" t="s">
        <v>35</v>
      </c>
      <c r="G1629" t="s">
        <v>35</v>
      </c>
      <c r="H1629">
        <f t="shared" si="28"/>
        <v>15</v>
      </c>
      <c r="M1629">
        <v>2.9E-5</v>
      </c>
      <c r="N1629">
        <v>1548.77844238281</v>
      </c>
      <c r="O1629">
        <v>775.39649999999904</v>
      </c>
      <c r="P1629">
        <v>1548.77844238281</v>
      </c>
      <c r="Q1629">
        <v>775.396484375</v>
      </c>
      <c r="R1629">
        <v>2</v>
      </c>
      <c r="S1629">
        <v>1</v>
      </c>
      <c r="T1629">
        <v>13</v>
      </c>
      <c r="U1629">
        <v>38.386049999999898</v>
      </c>
      <c r="V1629">
        <v>116058.5</v>
      </c>
    </row>
    <row r="1630" spans="1:22" x14ac:dyDescent="0.25">
      <c r="A1630" t="s">
        <v>4421</v>
      </c>
      <c r="B1630" t="s">
        <v>4422</v>
      </c>
      <c r="C1630">
        <v>1018</v>
      </c>
      <c r="D1630">
        <v>99</v>
      </c>
      <c r="E1630">
        <v>99</v>
      </c>
      <c r="F1630" t="s">
        <v>461</v>
      </c>
      <c r="G1630" t="s">
        <v>461</v>
      </c>
      <c r="H1630">
        <f t="shared" si="28"/>
        <v>9</v>
      </c>
      <c r="M1630" s="1">
        <v>5.2102701738476699E-4</v>
      </c>
      <c r="N1630">
        <v>1170.6806640625</v>
      </c>
      <c r="O1630">
        <v>586.34760000000006</v>
      </c>
      <c r="P1630">
        <v>1170.68017578125</v>
      </c>
      <c r="Q1630">
        <v>586.34735107421795</v>
      </c>
      <c r="R1630">
        <v>2</v>
      </c>
      <c r="S1630">
        <v>1</v>
      </c>
      <c r="T1630">
        <v>11</v>
      </c>
      <c r="U1630">
        <v>56.165930000000003</v>
      </c>
      <c r="V1630">
        <v>281901.90000000002</v>
      </c>
    </row>
    <row r="1631" spans="1:22" x14ac:dyDescent="0.25">
      <c r="A1631" t="s">
        <v>3847</v>
      </c>
      <c r="B1631" t="s">
        <v>3848</v>
      </c>
      <c r="C1631">
        <v>511</v>
      </c>
      <c r="D1631">
        <v>97.7</v>
      </c>
      <c r="E1631">
        <v>97.66</v>
      </c>
      <c r="F1631" t="s">
        <v>3849</v>
      </c>
      <c r="G1631" t="s">
        <v>3849</v>
      </c>
      <c r="H1631">
        <f t="shared" si="28"/>
        <v>9</v>
      </c>
      <c r="M1631">
        <v>-7.2000000000000002E-5</v>
      </c>
      <c r="N1631">
        <v>1170.60729980469</v>
      </c>
      <c r="O1631">
        <v>586.31089999999904</v>
      </c>
      <c r="P1631">
        <v>1170.60729980469</v>
      </c>
      <c r="Q1631">
        <v>586.31097412109295</v>
      </c>
      <c r="R1631">
        <v>2</v>
      </c>
      <c r="S1631">
        <v>2</v>
      </c>
      <c r="T1631">
        <v>13</v>
      </c>
      <c r="U1631">
        <v>44.822870000000002</v>
      </c>
      <c r="V1631">
        <v>1505117</v>
      </c>
    </row>
    <row r="1632" spans="1:22" x14ac:dyDescent="0.25">
      <c r="A1632" t="s">
        <v>4070</v>
      </c>
      <c r="B1632" t="s">
        <v>4071</v>
      </c>
      <c r="C1632">
        <v>349</v>
      </c>
      <c r="D1632">
        <v>99</v>
      </c>
      <c r="E1632">
        <v>99</v>
      </c>
      <c r="F1632" t="s">
        <v>4072</v>
      </c>
      <c r="G1632" t="s">
        <v>4072</v>
      </c>
      <c r="H1632">
        <f t="shared" si="28"/>
        <v>9</v>
      </c>
      <c r="M1632" s="1">
        <v>3.1918899621814398E-3</v>
      </c>
      <c r="N1632">
        <v>1908.86682128906</v>
      </c>
      <c r="O1632">
        <v>637.2962</v>
      </c>
      <c r="P1632">
        <v>1908.86364746094</v>
      </c>
      <c r="Q1632">
        <v>637.295166015625</v>
      </c>
      <c r="R1632">
        <v>3</v>
      </c>
      <c r="S1632">
        <v>1</v>
      </c>
      <c r="T1632">
        <v>11</v>
      </c>
      <c r="U1632">
        <v>30.542929999999899</v>
      </c>
      <c r="V1632">
        <v>193830.2</v>
      </c>
    </row>
    <row r="1633" spans="1:22" x14ac:dyDescent="0.25">
      <c r="A1633" t="s">
        <v>3456</v>
      </c>
      <c r="B1633" t="s">
        <v>3457</v>
      </c>
      <c r="C1633">
        <v>133</v>
      </c>
      <c r="D1633">
        <v>98</v>
      </c>
      <c r="E1633">
        <v>98.03</v>
      </c>
      <c r="F1633" t="s">
        <v>3458</v>
      </c>
      <c r="G1633" t="s">
        <v>3458</v>
      </c>
      <c r="H1633">
        <f t="shared" si="28"/>
        <v>10</v>
      </c>
      <c r="M1633" s="1">
        <v>5.5271601304411801E-3</v>
      </c>
      <c r="N1633">
        <v>2184.98022460938</v>
      </c>
      <c r="O1633">
        <v>729.33399999999904</v>
      </c>
      <c r="P1633">
        <v>2184.974609375</v>
      </c>
      <c r="Q1633">
        <v>729.33215332031205</v>
      </c>
      <c r="R1633">
        <v>3</v>
      </c>
      <c r="S1633">
        <v>2</v>
      </c>
      <c r="T1633">
        <v>13</v>
      </c>
      <c r="U1633">
        <v>37.878770000000003</v>
      </c>
      <c r="V1633">
        <v>711348.6</v>
      </c>
    </row>
    <row r="1634" spans="1:22" x14ac:dyDescent="0.25">
      <c r="A1634" t="s">
        <v>3862</v>
      </c>
      <c r="B1634" t="s">
        <v>3863</v>
      </c>
      <c r="C1634">
        <v>511</v>
      </c>
      <c r="D1634">
        <v>97.3</v>
      </c>
      <c r="E1634">
        <v>97.26</v>
      </c>
      <c r="F1634" t="s">
        <v>3864</v>
      </c>
      <c r="G1634" t="s">
        <v>3864</v>
      </c>
      <c r="H1634">
        <f t="shared" si="28"/>
        <v>17</v>
      </c>
      <c r="M1634" s="1">
        <v>3.7428699433803602E-3</v>
      </c>
      <c r="N1634">
        <v>1114.55590820313</v>
      </c>
      <c r="O1634">
        <v>558.28520000000003</v>
      </c>
      <c r="P1634">
        <v>1114.55212402344</v>
      </c>
      <c r="Q1634">
        <v>558.28332519531205</v>
      </c>
      <c r="R1634">
        <v>2</v>
      </c>
      <c r="S1634">
        <v>2</v>
      </c>
      <c r="T1634">
        <v>13</v>
      </c>
      <c r="U1634">
        <v>48.759900000000002</v>
      </c>
      <c r="V1634">
        <v>1129806</v>
      </c>
    </row>
    <row r="1635" spans="1:22" x14ac:dyDescent="0.25">
      <c r="A1635" t="s">
        <v>3862</v>
      </c>
      <c r="B1635" t="s">
        <v>3863</v>
      </c>
      <c r="C1635">
        <v>511</v>
      </c>
      <c r="D1635">
        <v>99</v>
      </c>
      <c r="E1635">
        <v>99</v>
      </c>
      <c r="F1635" t="s">
        <v>3865</v>
      </c>
      <c r="G1635" t="s">
        <v>3865</v>
      </c>
      <c r="H1635">
        <f t="shared" si="28"/>
        <v>18</v>
      </c>
      <c r="M1635" s="1">
        <v>3.7823999300598998E-3</v>
      </c>
      <c r="N1635">
        <v>1071.65124511719</v>
      </c>
      <c r="O1635">
        <v>536.8329</v>
      </c>
      <c r="P1635">
        <v>1071.6474609375</v>
      </c>
      <c r="Q1635">
        <v>536.83099365234295</v>
      </c>
      <c r="R1635">
        <v>2</v>
      </c>
      <c r="S1635">
        <v>1</v>
      </c>
      <c r="T1635">
        <v>11</v>
      </c>
      <c r="U1635">
        <v>41.594259999999899</v>
      </c>
      <c r="V1635">
        <v>306062.7</v>
      </c>
    </row>
    <row r="1636" spans="1:22" x14ac:dyDescent="0.25">
      <c r="A1636" t="s">
        <v>3399</v>
      </c>
      <c r="B1636" t="s">
        <v>3400</v>
      </c>
      <c r="C1636">
        <v>327</v>
      </c>
      <c r="D1636">
        <v>99</v>
      </c>
      <c r="E1636">
        <v>99</v>
      </c>
      <c r="F1636" t="s">
        <v>3401</v>
      </c>
      <c r="G1636" t="s">
        <v>3401</v>
      </c>
      <c r="H1636">
        <f t="shared" si="28"/>
        <v>9</v>
      </c>
      <c r="M1636" s="1">
        <v>6.6124601289629902E-3</v>
      </c>
      <c r="N1636">
        <v>1588.84484863281</v>
      </c>
      <c r="O1636">
        <v>795.42970000000003</v>
      </c>
      <c r="P1636">
        <v>1588.83825683594</v>
      </c>
      <c r="Q1636">
        <v>795.42639160156205</v>
      </c>
      <c r="R1636">
        <v>2</v>
      </c>
      <c r="S1636">
        <v>1</v>
      </c>
      <c r="T1636">
        <v>11</v>
      </c>
      <c r="U1636">
        <v>56.809249999999899</v>
      </c>
      <c r="V1636">
        <v>172562.5</v>
      </c>
    </row>
    <row r="1637" spans="1:22" x14ac:dyDescent="0.25">
      <c r="A1637" t="s">
        <v>3142</v>
      </c>
      <c r="B1637" t="s">
        <v>3143</v>
      </c>
      <c r="C1637">
        <v>168</v>
      </c>
      <c r="D1637">
        <v>97.2</v>
      </c>
      <c r="E1637">
        <v>97.16</v>
      </c>
      <c r="F1637" t="s">
        <v>3144</v>
      </c>
      <c r="G1637" t="s">
        <v>3144</v>
      </c>
      <c r="H1637">
        <f t="shared" si="28"/>
        <v>9</v>
      </c>
      <c r="L1637" t="s">
        <v>47</v>
      </c>
      <c r="M1637" s="1">
        <v>2.4163799360394402E-2</v>
      </c>
      <c r="N1637">
        <v>1939.98815917969</v>
      </c>
      <c r="O1637">
        <v>647.66999999999905</v>
      </c>
      <c r="P1637">
        <v>1939.96398925781</v>
      </c>
      <c r="Q1637">
        <v>647.66192626953102</v>
      </c>
      <c r="R1637">
        <v>3</v>
      </c>
      <c r="S1637">
        <v>1</v>
      </c>
      <c r="T1637">
        <v>11</v>
      </c>
      <c r="U1637">
        <v>43.381950000000003</v>
      </c>
      <c r="V1637">
        <v>320316</v>
      </c>
    </row>
    <row r="1638" spans="1:22" x14ac:dyDescent="0.25">
      <c r="A1638" t="s">
        <v>3993</v>
      </c>
      <c r="B1638" t="s">
        <v>3994</v>
      </c>
      <c r="C1638">
        <v>107</v>
      </c>
      <c r="D1638">
        <v>99</v>
      </c>
      <c r="E1638">
        <v>99</v>
      </c>
      <c r="F1638" t="s">
        <v>3995</v>
      </c>
      <c r="G1638" t="s">
        <v>3995</v>
      </c>
      <c r="H1638">
        <f t="shared" si="28"/>
        <v>12</v>
      </c>
      <c r="M1638" s="1">
        <v>2.8939999174326702E-3</v>
      </c>
      <c r="N1638">
        <v>1054.52990722656</v>
      </c>
      <c r="O1638">
        <v>528.2722</v>
      </c>
      <c r="P1638">
        <v>1054.52697753906</v>
      </c>
      <c r="Q1638">
        <v>528.270751953125</v>
      </c>
      <c r="R1638">
        <v>2</v>
      </c>
      <c r="S1638">
        <v>1</v>
      </c>
      <c r="T1638">
        <v>10</v>
      </c>
      <c r="U1638">
        <v>55.802430000000001</v>
      </c>
      <c r="V1638">
        <v>2048030</v>
      </c>
    </row>
    <row r="1639" spans="1:22" x14ac:dyDescent="0.25">
      <c r="A1639" t="s">
        <v>3238</v>
      </c>
      <c r="B1639" t="s">
        <v>3239</v>
      </c>
      <c r="C1639">
        <v>460</v>
      </c>
      <c r="D1639">
        <v>99</v>
      </c>
      <c r="E1639">
        <v>99</v>
      </c>
      <c r="F1639" t="s">
        <v>3240</v>
      </c>
      <c r="G1639" t="s">
        <v>3240</v>
      </c>
      <c r="H1639">
        <f t="shared" si="28"/>
        <v>9</v>
      </c>
      <c r="M1639" s="1">
        <v>-9.3114201445132505E-4</v>
      </c>
      <c r="N1639">
        <v>1115.62646484375</v>
      </c>
      <c r="O1639">
        <v>558.82050000000004</v>
      </c>
      <c r="P1639">
        <v>1115.62731933594</v>
      </c>
      <c r="Q1639">
        <v>558.82098388671795</v>
      </c>
      <c r="R1639">
        <v>2</v>
      </c>
      <c r="S1639">
        <v>1</v>
      </c>
      <c r="T1639">
        <v>11</v>
      </c>
      <c r="U1639">
        <v>23.25365</v>
      </c>
      <c r="V1639">
        <v>1239118</v>
      </c>
    </row>
    <row r="1640" spans="1:22" x14ac:dyDescent="0.25">
      <c r="A1640" t="s">
        <v>4678</v>
      </c>
      <c r="B1640" t="s">
        <v>4679</v>
      </c>
      <c r="C1640">
        <v>617</v>
      </c>
      <c r="D1640">
        <v>98.1</v>
      </c>
      <c r="E1640">
        <v>98.09</v>
      </c>
      <c r="F1640" t="s">
        <v>4680</v>
      </c>
      <c r="G1640" t="s">
        <v>4680</v>
      </c>
      <c r="H1640">
        <f t="shared" si="28"/>
        <v>15</v>
      </c>
      <c r="M1640" s="1">
        <v>4.0007098577916501E-3</v>
      </c>
      <c r="N1640">
        <v>1218.64050292969</v>
      </c>
      <c r="O1640">
        <v>407.2208</v>
      </c>
      <c r="P1640">
        <v>1218.63659667969</v>
      </c>
      <c r="Q1640">
        <v>407.21945190429602</v>
      </c>
      <c r="R1640">
        <v>3</v>
      </c>
      <c r="S1640">
        <v>2</v>
      </c>
      <c r="T1640">
        <v>11</v>
      </c>
      <c r="U1640">
        <v>27.311630000000001</v>
      </c>
      <c r="V1640">
        <v>2158055</v>
      </c>
    </row>
    <row r="1641" spans="1:22" x14ac:dyDescent="0.25">
      <c r="A1641" t="s">
        <v>4678</v>
      </c>
      <c r="B1641" t="s">
        <v>4679</v>
      </c>
      <c r="C1641">
        <v>930</v>
      </c>
      <c r="D1641">
        <v>99</v>
      </c>
      <c r="E1641">
        <v>99</v>
      </c>
      <c r="F1641" t="s">
        <v>4681</v>
      </c>
      <c r="G1641" t="s">
        <v>4681</v>
      </c>
      <c r="H1641">
        <f t="shared" si="28"/>
        <v>9</v>
      </c>
      <c r="M1641" s="1">
        <v>4.4167898595333004E-3</v>
      </c>
      <c r="N1641">
        <v>1184.65319824219</v>
      </c>
      <c r="O1641">
        <v>395.89170000000001</v>
      </c>
      <c r="P1641">
        <v>1184.64880371094</v>
      </c>
      <c r="Q1641">
        <v>395.89022827148301</v>
      </c>
      <c r="R1641">
        <v>3</v>
      </c>
      <c r="S1641">
        <v>1</v>
      </c>
      <c r="T1641">
        <v>9</v>
      </c>
      <c r="U1641">
        <v>27.40203</v>
      </c>
      <c r="V1641">
        <v>6515545</v>
      </c>
    </row>
    <row r="1642" spans="1:22" x14ac:dyDescent="0.25">
      <c r="A1642" t="s">
        <v>4611</v>
      </c>
      <c r="B1642" t="s">
        <v>4612</v>
      </c>
      <c r="C1642">
        <v>206</v>
      </c>
      <c r="D1642">
        <v>99</v>
      </c>
      <c r="E1642">
        <v>99</v>
      </c>
      <c r="F1642" t="s">
        <v>4613</v>
      </c>
      <c r="G1642" t="s">
        <v>4613</v>
      </c>
      <c r="H1642">
        <f t="shared" si="28"/>
        <v>9</v>
      </c>
      <c r="M1642" s="1">
        <v>-1.39647000469267E-3</v>
      </c>
      <c r="N1642">
        <v>1141.58349609375</v>
      </c>
      <c r="O1642">
        <v>381.5351</v>
      </c>
      <c r="P1642">
        <v>1141.58483886719</v>
      </c>
      <c r="Q1642">
        <v>381.53555297851602</v>
      </c>
      <c r="R1642">
        <v>3</v>
      </c>
      <c r="S1642">
        <v>2</v>
      </c>
      <c r="T1642">
        <v>11</v>
      </c>
      <c r="U1642">
        <v>21.536919999999899</v>
      </c>
      <c r="V1642">
        <v>4426051</v>
      </c>
    </row>
    <row r="1643" spans="1:22" x14ac:dyDescent="0.25">
      <c r="A1643" t="s">
        <v>2801</v>
      </c>
      <c r="B1643" t="s">
        <v>2802</v>
      </c>
      <c r="C1643">
        <v>133</v>
      </c>
      <c r="D1643">
        <v>99</v>
      </c>
      <c r="E1643">
        <v>99</v>
      </c>
      <c r="F1643" t="s">
        <v>2803</v>
      </c>
      <c r="G1643" t="s">
        <v>2803</v>
      </c>
      <c r="H1643">
        <f t="shared" si="28"/>
        <v>9</v>
      </c>
      <c r="M1643" s="1">
        <v>6.1474402900785099E-4</v>
      </c>
      <c r="N1643">
        <v>1245.55285644531</v>
      </c>
      <c r="O1643">
        <v>623.78369999999904</v>
      </c>
      <c r="P1643">
        <v>1245.55224609375</v>
      </c>
      <c r="Q1643">
        <v>623.78338623046795</v>
      </c>
      <c r="R1643">
        <v>2</v>
      </c>
      <c r="S1643">
        <v>1</v>
      </c>
      <c r="T1643">
        <v>9</v>
      </c>
      <c r="U1643">
        <v>48.369340000000001</v>
      </c>
      <c r="V1643">
        <v>167908.2</v>
      </c>
    </row>
    <row r="1644" spans="1:22" x14ac:dyDescent="0.25">
      <c r="A1644" t="s">
        <v>2569</v>
      </c>
      <c r="B1644" t="s">
        <v>2570</v>
      </c>
      <c r="C1644">
        <v>293</v>
      </c>
      <c r="D1644">
        <v>99</v>
      </c>
      <c r="E1644">
        <v>99</v>
      </c>
      <c r="F1644" t="s">
        <v>2571</v>
      </c>
      <c r="G1644" t="s">
        <v>2571</v>
      </c>
      <c r="H1644">
        <f t="shared" si="28"/>
        <v>9</v>
      </c>
      <c r="M1644" s="1">
        <v>-1.0682699503377E-3</v>
      </c>
      <c r="N1644">
        <v>1200.62023925781</v>
      </c>
      <c r="O1644">
        <v>601.31740000000002</v>
      </c>
      <c r="P1644">
        <v>1200.62133789063</v>
      </c>
      <c r="Q1644">
        <v>601.31793212890602</v>
      </c>
      <c r="R1644">
        <v>2</v>
      </c>
      <c r="S1644">
        <v>1</v>
      </c>
      <c r="T1644">
        <v>10</v>
      </c>
      <c r="U1644">
        <v>47.8145799999999</v>
      </c>
      <c r="V1644">
        <v>81401.919999999896</v>
      </c>
    </row>
    <row r="1645" spans="1:22" x14ac:dyDescent="0.25">
      <c r="A1645" t="s">
        <v>565</v>
      </c>
      <c r="B1645" t="s">
        <v>566</v>
      </c>
      <c r="C1645">
        <v>839</v>
      </c>
      <c r="D1645">
        <v>99</v>
      </c>
      <c r="E1645">
        <v>99</v>
      </c>
      <c r="F1645" t="s">
        <v>567</v>
      </c>
      <c r="G1645" t="s">
        <v>567</v>
      </c>
      <c r="H1645">
        <f t="shared" si="28"/>
        <v>9</v>
      </c>
      <c r="M1645" s="1">
        <v>5.3835599683225103E-3</v>
      </c>
      <c r="N1645">
        <v>1293.57922363281</v>
      </c>
      <c r="O1645">
        <v>647.79690000000005</v>
      </c>
      <c r="P1645">
        <v>1293.57385253906</v>
      </c>
      <c r="Q1645">
        <v>647.794189453125</v>
      </c>
      <c r="R1645">
        <v>2</v>
      </c>
      <c r="S1645">
        <v>1</v>
      </c>
      <c r="T1645">
        <v>7</v>
      </c>
      <c r="U1645">
        <v>45.282829999999898</v>
      </c>
      <c r="V1645">
        <v>67734.509999999893</v>
      </c>
    </row>
    <row r="1646" spans="1:22" x14ac:dyDescent="0.25">
      <c r="A1646" t="s">
        <v>565</v>
      </c>
      <c r="B1646" t="s">
        <v>566</v>
      </c>
      <c r="C1646">
        <v>1913</v>
      </c>
      <c r="D1646">
        <v>98.2</v>
      </c>
      <c r="E1646">
        <v>98.16</v>
      </c>
      <c r="F1646" t="s">
        <v>4346</v>
      </c>
      <c r="G1646" t="s">
        <v>4346</v>
      </c>
      <c r="H1646">
        <f t="shared" si="28"/>
        <v>9</v>
      </c>
      <c r="M1646" s="1">
        <v>4.9586500972509402E-3</v>
      </c>
      <c r="N1646">
        <v>1848.93542480469</v>
      </c>
      <c r="O1646">
        <v>617.31910000000005</v>
      </c>
      <c r="P1646">
        <v>1848.93054199219</v>
      </c>
      <c r="Q1646">
        <v>617.31744384765602</v>
      </c>
      <c r="R1646">
        <v>3</v>
      </c>
      <c r="S1646">
        <v>1</v>
      </c>
      <c r="T1646">
        <v>12</v>
      </c>
      <c r="U1646">
        <v>40.466679999999897</v>
      </c>
      <c r="V1646">
        <v>177408.1</v>
      </c>
    </row>
    <row r="1647" spans="1:22" x14ac:dyDescent="0.25">
      <c r="A1647" t="s">
        <v>485</v>
      </c>
      <c r="B1647" t="s">
        <v>486</v>
      </c>
      <c r="C1647">
        <v>123</v>
      </c>
      <c r="D1647">
        <v>99</v>
      </c>
      <c r="E1647">
        <v>99</v>
      </c>
      <c r="F1647" t="s">
        <v>487</v>
      </c>
      <c r="G1647" t="s">
        <v>487</v>
      </c>
      <c r="H1647">
        <f t="shared" si="28"/>
        <v>14</v>
      </c>
      <c r="M1647" s="1">
        <v>6.2659801915287902E-3</v>
      </c>
      <c r="N1647">
        <v>1057.56530761719</v>
      </c>
      <c r="O1647">
        <v>529.78989999999897</v>
      </c>
      <c r="P1647">
        <v>1057.55895996094</v>
      </c>
      <c r="Q1647">
        <v>529.78680419921795</v>
      </c>
      <c r="R1647">
        <v>2</v>
      </c>
      <c r="S1647">
        <v>8</v>
      </c>
      <c r="T1647">
        <v>11</v>
      </c>
      <c r="U1647">
        <v>41.974550000000001</v>
      </c>
      <c r="V1647">
        <v>814223.1</v>
      </c>
    </row>
    <row r="1648" spans="1:22" x14ac:dyDescent="0.25">
      <c r="A1648" t="s">
        <v>1608</v>
      </c>
      <c r="B1648" t="s">
        <v>1609</v>
      </c>
      <c r="C1648">
        <v>273</v>
      </c>
      <c r="D1648">
        <v>96.8</v>
      </c>
      <c r="E1648">
        <v>96.79</v>
      </c>
      <c r="F1648" t="s">
        <v>1610</v>
      </c>
      <c r="G1648" t="s">
        <v>1610</v>
      </c>
      <c r="H1648">
        <f t="shared" si="28"/>
        <v>15</v>
      </c>
      <c r="M1648" s="1">
        <v>-8.8975898688659104E-4</v>
      </c>
      <c r="N1648">
        <v>1874.87902832031</v>
      </c>
      <c r="O1648">
        <v>938.44680000000005</v>
      </c>
      <c r="P1648">
        <v>1874.8798828125</v>
      </c>
      <c r="Q1648">
        <v>938.44720458984295</v>
      </c>
      <c r="R1648">
        <v>2</v>
      </c>
      <c r="S1648">
        <v>1</v>
      </c>
      <c r="T1648">
        <v>12</v>
      </c>
      <c r="U1648">
        <v>55.450429999999898</v>
      </c>
      <c r="V1648">
        <v>238460.2</v>
      </c>
    </row>
    <row r="1649" spans="1:22" x14ac:dyDescent="0.25">
      <c r="A1649" t="s">
        <v>3709</v>
      </c>
      <c r="B1649" t="s">
        <v>3710</v>
      </c>
      <c r="C1649">
        <v>53</v>
      </c>
      <c r="D1649">
        <v>99</v>
      </c>
      <c r="E1649">
        <v>99</v>
      </c>
      <c r="F1649" t="s">
        <v>3711</v>
      </c>
      <c r="G1649" t="s">
        <v>3711</v>
      </c>
      <c r="H1649">
        <f t="shared" si="28"/>
        <v>11</v>
      </c>
      <c r="M1649" s="1">
        <v>9.8925000056624308E-3</v>
      </c>
      <c r="N1649">
        <v>1398.69909667969</v>
      </c>
      <c r="O1649">
        <v>700.35680000000002</v>
      </c>
      <c r="P1649">
        <v>1398.68920898438</v>
      </c>
      <c r="Q1649">
        <v>700.35186767578102</v>
      </c>
      <c r="R1649">
        <v>2</v>
      </c>
      <c r="S1649">
        <v>1</v>
      </c>
      <c r="T1649">
        <v>10</v>
      </c>
      <c r="U1649">
        <v>31.455580000000001</v>
      </c>
      <c r="V1649">
        <v>117433</v>
      </c>
    </row>
    <row r="1650" spans="1:22" x14ac:dyDescent="0.25">
      <c r="A1650" t="s">
        <v>2830</v>
      </c>
      <c r="B1650" t="s">
        <v>2831</v>
      </c>
      <c r="C1650">
        <v>165</v>
      </c>
      <c r="D1650">
        <v>98.8</v>
      </c>
      <c r="E1650">
        <v>98.75</v>
      </c>
      <c r="F1650" t="s">
        <v>2832</v>
      </c>
      <c r="G1650" t="s">
        <v>2832</v>
      </c>
      <c r="H1650">
        <f t="shared" si="28"/>
        <v>9</v>
      </c>
      <c r="M1650" s="1">
        <v>1.36534003540874E-2</v>
      </c>
      <c r="N1650">
        <v>1860.88781738281</v>
      </c>
      <c r="O1650">
        <v>931.45119999999895</v>
      </c>
      <c r="P1650">
        <v>1860.87414550781</v>
      </c>
      <c r="Q1650">
        <v>931.4443359375</v>
      </c>
      <c r="R1650">
        <v>2</v>
      </c>
      <c r="S1650">
        <v>1</v>
      </c>
      <c r="T1650">
        <v>8</v>
      </c>
      <c r="U1650">
        <v>40.864620000000002</v>
      </c>
      <c r="V1650">
        <v>62364.480000000003</v>
      </c>
    </row>
    <row r="1651" spans="1:22" x14ac:dyDescent="0.25">
      <c r="A1651" t="s">
        <v>174</v>
      </c>
      <c r="B1651" t="s">
        <v>175</v>
      </c>
      <c r="C1651">
        <v>825</v>
      </c>
      <c r="D1651">
        <v>98.8</v>
      </c>
      <c r="E1651">
        <v>98.82</v>
      </c>
      <c r="F1651" t="s">
        <v>176</v>
      </c>
      <c r="G1651" t="s">
        <v>176</v>
      </c>
      <c r="H1651">
        <f t="shared" si="28"/>
        <v>9</v>
      </c>
      <c r="M1651">
        <v>8.1150000000000007E-3</v>
      </c>
      <c r="N1651">
        <v>1767.93493652344</v>
      </c>
      <c r="O1651">
        <v>590.31889999999896</v>
      </c>
      <c r="P1651">
        <v>1767.9267578125</v>
      </c>
      <c r="Q1651">
        <v>590.31622314453102</v>
      </c>
      <c r="R1651">
        <v>3</v>
      </c>
      <c r="S1651">
        <v>1</v>
      </c>
      <c r="T1651">
        <v>12</v>
      </c>
      <c r="U1651">
        <v>33.89385</v>
      </c>
      <c r="V1651">
        <v>289061.90000000002</v>
      </c>
    </row>
    <row r="1652" spans="1:22" x14ac:dyDescent="0.25">
      <c r="A1652" t="s">
        <v>3228</v>
      </c>
      <c r="B1652" t="s">
        <v>3229</v>
      </c>
      <c r="C1652">
        <v>42</v>
      </c>
      <c r="D1652">
        <v>97.8</v>
      </c>
      <c r="E1652">
        <v>97.78</v>
      </c>
      <c r="F1652" t="s">
        <v>3230</v>
      </c>
      <c r="G1652" t="s">
        <v>3230</v>
      </c>
      <c r="H1652">
        <f t="shared" si="28"/>
        <v>13</v>
      </c>
      <c r="M1652" s="1">
        <v>4.7696200199425203E-3</v>
      </c>
      <c r="N1652">
        <v>1877.01281738281</v>
      </c>
      <c r="O1652">
        <v>626.67819999999904</v>
      </c>
      <c r="P1652">
        <v>1877.00805664063</v>
      </c>
      <c r="Q1652">
        <v>626.67663574218705</v>
      </c>
      <c r="R1652">
        <v>3</v>
      </c>
      <c r="S1652">
        <v>2</v>
      </c>
      <c r="T1652">
        <v>13</v>
      </c>
      <c r="U1652">
        <v>46.8038799999999</v>
      </c>
      <c r="V1652">
        <v>214218.4</v>
      </c>
    </row>
    <row r="1653" spans="1:22" x14ac:dyDescent="0.25">
      <c r="A1653" t="s">
        <v>3623</v>
      </c>
      <c r="B1653" t="s">
        <v>3624</v>
      </c>
      <c r="C1653">
        <v>251</v>
      </c>
      <c r="D1653">
        <v>98</v>
      </c>
      <c r="E1653">
        <v>98</v>
      </c>
      <c r="F1653" t="s">
        <v>525</v>
      </c>
      <c r="G1653" t="s">
        <v>525</v>
      </c>
      <c r="H1653">
        <f t="shared" si="28"/>
        <v>9</v>
      </c>
      <c r="M1653" s="1">
        <v>6.57805008813739E-3</v>
      </c>
      <c r="N1653">
        <v>1577.76525878906</v>
      </c>
      <c r="O1653">
        <v>789.88990000000001</v>
      </c>
      <c r="P1653">
        <v>1577.75866699219</v>
      </c>
      <c r="Q1653">
        <v>789.88659667968705</v>
      </c>
      <c r="R1653">
        <v>2</v>
      </c>
      <c r="S1653">
        <v>1</v>
      </c>
      <c r="T1653">
        <v>9</v>
      </c>
      <c r="U1653">
        <v>30.2659699999999</v>
      </c>
      <c r="V1653">
        <v>171032</v>
      </c>
    </row>
    <row r="1654" spans="1:22" x14ac:dyDescent="0.25">
      <c r="A1654" t="s">
        <v>2730</v>
      </c>
      <c r="B1654" t="s">
        <v>2731</v>
      </c>
      <c r="C1654">
        <v>172</v>
      </c>
      <c r="D1654">
        <v>98.1</v>
      </c>
      <c r="E1654">
        <v>98.14</v>
      </c>
      <c r="F1654" t="s">
        <v>2732</v>
      </c>
      <c r="G1654" t="s">
        <v>2732</v>
      </c>
      <c r="H1654">
        <f t="shared" si="28"/>
        <v>14</v>
      </c>
      <c r="M1654" s="1">
        <v>-1.82244996540248E-3</v>
      </c>
      <c r="N1654">
        <v>1128.53344726563</v>
      </c>
      <c r="O1654">
        <v>565.274</v>
      </c>
      <c r="P1654">
        <v>1128.53527832031</v>
      </c>
      <c r="Q1654">
        <v>565.27490234375</v>
      </c>
      <c r="R1654">
        <v>2</v>
      </c>
      <c r="S1654">
        <v>1</v>
      </c>
      <c r="T1654">
        <v>11</v>
      </c>
      <c r="U1654">
        <v>43.2255299999999</v>
      </c>
      <c r="V1654">
        <v>1816086</v>
      </c>
    </row>
    <row r="1655" spans="1:22" x14ac:dyDescent="0.25">
      <c r="A1655" t="s">
        <v>2828</v>
      </c>
      <c r="B1655" t="s">
        <v>2829</v>
      </c>
      <c r="C1655">
        <v>2</v>
      </c>
      <c r="D1655">
        <v>98.5</v>
      </c>
      <c r="E1655">
        <v>98.51</v>
      </c>
      <c r="F1655" t="s">
        <v>631</v>
      </c>
      <c r="G1655" t="s">
        <v>631</v>
      </c>
      <c r="H1655">
        <f t="shared" si="28"/>
        <v>9</v>
      </c>
      <c r="L1655" t="s">
        <v>227</v>
      </c>
      <c r="M1655" s="1">
        <v>8.3952099084854109E-3</v>
      </c>
      <c r="N1655">
        <v>1541.80212402344</v>
      </c>
      <c r="O1655">
        <v>771.90830000000005</v>
      </c>
      <c r="P1655">
        <v>1541.79370117188</v>
      </c>
      <c r="Q1655">
        <v>771.90411376953102</v>
      </c>
      <c r="R1655">
        <v>2</v>
      </c>
      <c r="S1655">
        <v>1</v>
      </c>
      <c r="T1655">
        <v>12</v>
      </c>
      <c r="U1655">
        <v>56.328429999999898</v>
      </c>
      <c r="V1655">
        <v>60524.15</v>
      </c>
    </row>
    <row r="1656" spans="1:22" x14ac:dyDescent="0.25">
      <c r="A1656" t="s">
        <v>3006</v>
      </c>
      <c r="B1656" t="s">
        <v>3007</v>
      </c>
      <c r="C1656">
        <v>85</v>
      </c>
      <c r="D1656">
        <v>98.9</v>
      </c>
      <c r="E1656">
        <v>98.91</v>
      </c>
      <c r="F1656" t="s">
        <v>460</v>
      </c>
      <c r="G1656" t="s">
        <v>460</v>
      </c>
      <c r="H1656">
        <f t="shared" si="28"/>
        <v>9</v>
      </c>
      <c r="M1656" s="1">
        <v>1.88476999755949E-3</v>
      </c>
      <c r="N1656">
        <v>1133.63647460938</v>
      </c>
      <c r="O1656">
        <v>567.82550000000003</v>
      </c>
      <c r="P1656">
        <v>1133.63452148438</v>
      </c>
      <c r="Q1656">
        <v>567.82458496093705</v>
      </c>
      <c r="R1656">
        <v>2</v>
      </c>
      <c r="S1656">
        <v>2</v>
      </c>
      <c r="T1656">
        <v>12</v>
      </c>
      <c r="U1656">
        <v>27.442799999999899</v>
      </c>
      <c r="V1656">
        <v>3014614</v>
      </c>
    </row>
    <row r="1657" spans="1:22" x14ac:dyDescent="0.25">
      <c r="A1657" t="s">
        <v>2765</v>
      </c>
      <c r="B1657" t="s">
        <v>2766</v>
      </c>
      <c r="C1657">
        <v>336</v>
      </c>
      <c r="D1657">
        <v>99</v>
      </c>
      <c r="E1657">
        <v>99</v>
      </c>
      <c r="F1657" t="s">
        <v>2767</v>
      </c>
      <c r="G1657" t="s">
        <v>2767</v>
      </c>
      <c r="H1657">
        <f t="shared" si="28"/>
        <v>12</v>
      </c>
      <c r="M1657" s="1">
        <v>6.9029200822114901E-3</v>
      </c>
      <c r="N1657">
        <v>1343.75183105469</v>
      </c>
      <c r="O1657">
        <v>672.88319999999896</v>
      </c>
      <c r="P1657">
        <v>1343.74487304688</v>
      </c>
      <c r="Q1657">
        <v>672.87969970703102</v>
      </c>
      <c r="R1657">
        <v>2</v>
      </c>
      <c r="S1657">
        <v>1</v>
      </c>
      <c r="T1657">
        <v>9</v>
      </c>
      <c r="U1657">
        <v>42.499029999999898</v>
      </c>
      <c r="V1657">
        <v>171183.9</v>
      </c>
    </row>
    <row r="1658" spans="1:22" x14ac:dyDescent="0.25">
      <c r="A1658" t="s">
        <v>2765</v>
      </c>
      <c r="B1658" t="s">
        <v>2766</v>
      </c>
      <c r="C1658">
        <v>334</v>
      </c>
      <c r="D1658">
        <v>99</v>
      </c>
      <c r="E1658">
        <v>99</v>
      </c>
      <c r="F1658" t="s">
        <v>2768</v>
      </c>
      <c r="G1658" t="s">
        <v>2768</v>
      </c>
      <c r="H1658">
        <f t="shared" si="28"/>
        <v>20</v>
      </c>
      <c r="M1658" s="1">
        <v>7.6327598653733704E-3</v>
      </c>
      <c r="N1658">
        <v>1977.05810546875</v>
      </c>
      <c r="O1658">
        <v>495.27179999999902</v>
      </c>
      <c r="P1658">
        <v>1977.05041503906</v>
      </c>
      <c r="Q1658">
        <v>495.26986694335801</v>
      </c>
      <c r="R1658">
        <v>4</v>
      </c>
      <c r="S1658">
        <v>2</v>
      </c>
      <c r="T1658">
        <v>9</v>
      </c>
      <c r="U1658">
        <v>23.17503</v>
      </c>
      <c r="V1658">
        <v>353992.8</v>
      </c>
    </row>
    <row r="1659" spans="1:22" x14ac:dyDescent="0.25">
      <c r="A1659" t="s">
        <v>2765</v>
      </c>
      <c r="B1659" t="s">
        <v>2766</v>
      </c>
      <c r="C1659">
        <v>333</v>
      </c>
      <c r="D1659">
        <v>99</v>
      </c>
      <c r="E1659">
        <v>99</v>
      </c>
      <c r="F1659" t="s">
        <v>2769</v>
      </c>
      <c r="G1659" t="s">
        <v>2769</v>
      </c>
      <c r="H1659">
        <f t="shared" si="28"/>
        <v>15</v>
      </c>
      <c r="M1659" s="1">
        <v>-3.8047400303184899E-3</v>
      </c>
      <c r="N1659">
        <v>1796.04821777344</v>
      </c>
      <c r="O1659">
        <v>599.69000000000005</v>
      </c>
      <c r="P1659">
        <v>1796.05200195313</v>
      </c>
      <c r="Q1659">
        <v>599.69128417968705</v>
      </c>
      <c r="R1659">
        <v>3</v>
      </c>
      <c r="S1659">
        <v>1</v>
      </c>
      <c r="T1659">
        <v>10</v>
      </c>
      <c r="U1659">
        <v>50.768050000000002</v>
      </c>
      <c r="V1659">
        <v>133007.1</v>
      </c>
    </row>
    <row r="1660" spans="1:22" x14ac:dyDescent="0.25">
      <c r="A1660" t="s">
        <v>2765</v>
      </c>
      <c r="B1660" t="s">
        <v>2766</v>
      </c>
      <c r="C1660">
        <v>332</v>
      </c>
      <c r="D1660">
        <v>99</v>
      </c>
      <c r="E1660">
        <v>99</v>
      </c>
      <c r="F1660" t="s">
        <v>2770</v>
      </c>
      <c r="G1660" t="s">
        <v>2770</v>
      </c>
      <c r="H1660">
        <f t="shared" si="28"/>
        <v>16</v>
      </c>
      <c r="M1660" s="1">
        <v>1.19485997129231E-3</v>
      </c>
      <c r="N1660">
        <v>1448.70202636719</v>
      </c>
      <c r="O1660">
        <v>725.35829999999896</v>
      </c>
      <c r="P1660">
        <v>1448.70080566406</v>
      </c>
      <c r="Q1660">
        <v>725.357666015625</v>
      </c>
      <c r="R1660">
        <v>2</v>
      </c>
      <c r="S1660">
        <v>2</v>
      </c>
      <c r="T1660">
        <v>10</v>
      </c>
      <c r="U1660">
        <v>30.36788</v>
      </c>
      <c r="V1660">
        <v>470220.2</v>
      </c>
    </row>
    <row r="1661" spans="1:22" x14ac:dyDescent="0.25">
      <c r="A1661" t="s">
        <v>2765</v>
      </c>
      <c r="B1661" t="s">
        <v>2766</v>
      </c>
      <c r="C1661">
        <v>332</v>
      </c>
      <c r="D1661">
        <v>98.3</v>
      </c>
      <c r="E1661">
        <v>98.25</v>
      </c>
      <c r="F1661" t="s">
        <v>2771</v>
      </c>
      <c r="G1661" t="s">
        <v>2771</v>
      </c>
      <c r="H1661">
        <f t="shared" si="28"/>
        <v>18</v>
      </c>
      <c r="M1661" s="1">
        <v>-1.6195300268009301E-3</v>
      </c>
      <c r="N1661">
        <v>1932.90490722656</v>
      </c>
      <c r="O1661">
        <v>967.4597</v>
      </c>
      <c r="P1661">
        <v>1932.90649414063</v>
      </c>
      <c r="Q1661">
        <v>967.46051025390602</v>
      </c>
      <c r="R1661">
        <v>2</v>
      </c>
      <c r="S1661">
        <v>2</v>
      </c>
      <c r="T1661">
        <v>15</v>
      </c>
      <c r="U1661">
        <v>56.566270000000003</v>
      </c>
      <c r="V1661">
        <v>615845.69999999902</v>
      </c>
    </row>
    <row r="1662" spans="1:22" x14ac:dyDescent="0.25">
      <c r="A1662" t="s">
        <v>2765</v>
      </c>
      <c r="B1662" t="s">
        <v>2766</v>
      </c>
      <c r="C1662">
        <v>334</v>
      </c>
      <c r="D1662">
        <v>98.2</v>
      </c>
      <c r="E1662">
        <v>98.16</v>
      </c>
      <c r="F1662" t="s">
        <v>2772</v>
      </c>
      <c r="G1662" t="s">
        <v>2772</v>
      </c>
      <c r="H1662">
        <f t="shared" si="28"/>
        <v>15</v>
      </c>
      <c r="M1662" s="1">
        <v>-1.05577998328954E-3</v>
      </c>
      <c r="N1662">
        <v>1510.80932617188</v>
      </c>
      <c r="O1662">
        <v>756.41189999999904</v>
      </c>
      <c r="P1662">
        <v>1510.81030273438</v>
      </c>
      <c r="Q1662">
        <v>756.41247558593705</v>
      </c>
      <c r="R1662">
        <v>2</v>
      </c>
      <c r="S1662">
        <v>1</v>
      </c>
      <c r="T1662">
        <v>16</v>
      </c>
      <c r="U1662">
        <v>31.2560199999999</v>
      </c>
      <c r="V1662">
        <v>509196.9</v>
      </c>
    </row>
    <row r="1663" spans="1:22" x14ac:dyDescent="0.25">
      <c r="A1663" t="s">
        <v>2765</v>
      </c>
      <c r="B1663" t="s">
        <v>2766</v>
      </c>
      <c r="C1663">
        <v>332</v>
      </c>
      <c r="D1663">
        <v>99</v>
      </c>
      <c r="E1663">
        <v>99</v>
      </c>
      <c r="F1663" t="s">
        <v>2773</v>
      </c>
      <c r="G1663" t="s">
        <v>2773</v>
      </c>
      <c r="H1663">
        <f t="shared" si="28"/>
        <v>22</v>
      </c>
      <c r="M1663" s="1">
        <v>1.9838400185108202E-3</v>
      </c>
      <c r="N1663">
        <v>1140.6171875</v>
      </c>
      <c r="O1663">
        <v>381.21300000000002</v>
      </c>
      <c r="P1663">
        <v>1140.615234375</v>
      </c>
      <c r="Q1663">
        <v>381.21234130859301</v>
      </c>
      <c r="R1663">
        <v>3</v>
      </c>
      <c r="S1663">
        <v>2</v>
      </c>
      <c r="T1663">
        <v>12</v>
      </c>
      <c r="U1663">
        <v>27.074400000000001</v>
      </c>
      <c r="V1663">
        <v>2210775</v>
      </c>
    </row>
    <row r="1664" spans="1:22" x14ac:dyDescent="0.25">
      <c r="A1664" t="s">
        <v>2765</v>
      </c>
      <c r="B1664" t="s">
        <v>2766</v>
      </c>
      <c r="C1664">
        <v>339</v>
      </c>
      <c r="D1664">
        <v>99</v>
      </c>
      <c r="E1664">
        <v>99</v>
      </c>
      <c r="F1664" t="s">
        <v>2774</v>
      </c>
      <c r="G1664" t="s">
        <v>2774</v>
      </c>
      <c r="H1664">
        <f t="shared" si="28"/>
        <v>13</v>
      </c>
      <c r="M1664" s="1">
        <v>3.59062990173696E-3</v>
      </c>
      <c r="N1664">
        <v>1154.57556152344</v>
      </c>
      <c r="O1664">
        <v>385.86579999999901</v>
      </c>
      <c r="P1664">
        <v>1154.57202148438</v>
      </c>
      <c r="Q1664">
        <v>385.86462402343801</v>
      </c>
      <c r="R1664">
        <v>3</v>
      </c>
      <c r="S1664">
        <v>2</v>
      </c>
      <c r="T1664">
        <v>10</v>
      </c>
      <c r="U1664">
        <v>30.8628</v>
      </c>
      <c r="V1664">
        <v>454242.5</v>
      </c>
    </row>
    <row r="1665" spans="1:22" x14ac:dyDescent="0.25">
      <c r="A1665" t="s">
        <v>2765</v>
      </c>
      <c r="B1665" t="s">
        <v>2766</v>
      </c>
      <c r="C1665">
        <v>334</v>
      </c>
      <c r="D1665">
        <v>99</v>
      </c>
      <c r="E1665">
        <v>99</v>
      </c>
      <c r="F1665" t="s">
        <v>2768</v>
      </c>
      <c r="G1665" t="s">
        <v>2768</v>
      </c>
      <c r="H1665">
        <f t="shared" si="28"/>
        <v>20</v>
      </c>
      <c r="L1665" t="s">
        <v>2775</v>
      </c>
      <c r="M1665" s="1">
        <v>-3.2576400786638302E-2</v>
      </c>
      <c r="N1665">
        <v>2183.11083984375</v>
      </c>
      <c r="O1665">
        <v>728.71090000000004</v>
      </c>
      <c r="P1665">
        <v>2183.14331054688</v>
      </c>
      <c r="Q1665">
        <v>728.72174072265602</v>
      </c>
      <c r="R1665">
        <v>3</v>
      </c>
      <c r="S1665">
        <v>1</v>
      </c>
      <c r="T1665">
        <v>15</v>
      </c>
      <c r="U1665">
        <v>25.51567</v>
      </c>
      <c r="V1665">
        <v>472281</v>
      </c>
    </row>
    <row r="1666" spans="1:22" x14ac:dyDescent="0.25">
      <c r="A1666" t="s">
        <v>2765</v>
      </c>
      <c r="B1666" t="s">
        <v>2766</v>
      </c>
      <c r="C1666">
        <v>333</v>
      </c>
      <c r="D1666">
        <v>99</v>
      </c>
      <c r="E1666">
        <v>99</v>
      </c>
      <c r="F1666" t="s">
        <v>2769</v>
      </c>
      <c r="G1666" t="s">
        <v>2769</v>
      </c>
      <c r="H1666">
        <f t="shared" si="28"/>
        <v>15</v>
      </c>
      <c r="L1666" t="s">
        <v>481</v>
      </c>
      <c r="M1666" s="1">
        <v>2.8969598934054401E-3</v>
      </c>
      <c r="N1666">
        <v>964.50408935546795</v>
      </c>
      <c r="O1666">
        <v>483.2593</v>
      </c>
      <c r="P1666">
        <v>964.50115966796795</v>
      </c>
      <c r="Q1666">
        <v>483.25787353515602</v>
      </c>
      <c r="R1666">
        <v>2</v>
      </c>
      <c r="S1666">
        <v>1</v>
      </c>
      <c r="T1666">
        <v>8</v>
      </c>
      <c r="U1666">
        <v>47.489199999999897</v>
      </c>
      <c r="V1666">
        <v>103744.2</v>
      </c>
    </row>
    <row r="1667" spans="1:22" x14ac:dyDescent="0.25">
      <c r="A1667" t="s">
        <v>2765</v>
      </c>
      <c r="B1667" t="s">
        <v>2766</v>
      </c>
      <c r="C1667">
        <v>332</v>
      </c>
      <c r="D1667">
        <v>97.3</v>
      </c>
      <c r="E1667">
        <v>97.31</v>
      </c>
      <c r="F1667" t="s">
        <v>2770</v>
      </c>
      <c r="G1667" t="s">
        <v>2770</v>
      </c>
      <c r="H1667">
        <f t="shared" ref="H1667:H1730" si="29">LEN(G1667)</f>
        <v>16</v>
      </c>
      <c r="L1667" t="s">
        <v>2776</v>
      </c>
      <c r="M1667" s="1">
        <v>2.85480008460581E-3</v>
      </c>
      <c r="N1667">
        <v>1176.57788085938</v>
      </c>
      <c r="O1667">
        <v>589.2962</v>
      </c>
      <c r="P1667">
        <v>1176.57495117188</v>
      </c>
      <c r="Q1667">
        <v>589.29479980468705</v>
      </c>
      <c r="R1667">
        <v>2</v>
      </c>
      <c r="S1667">
        <v>1</v>
      </c>
      <c r="T1667">
        <v>13</v>
      </c>
      <c r="U1667">
        <v>35.497750000000003</v>
      </c>
      <c r="V1667">
        <v>7621539</v>
      </c>
    </row>
    <row r="1668" spans="1:22" x14ac:dyDescent="0.25">
      <c r="A1668" t="s">
        <v>2781</v>
      </c>
      <c r="B1668" t="s">
        <v>2782</v>
      </c>
      <c r="C1668">
        <v>57</v>
      </c>
      <c r="D1668">
        <v>99</v>
      </c>
      <c r="E1668">
        <v>99</v>
      </c>
      <c r="F1668" t="s">
        <v>2783</v>
      </c>
      <c r="G1668" t="s">
        <v>2783</v>
      </c>
      <c r="H1668">
        <f t="shared" si="29"/>
        <v>9</v>
      </c>
      <c r="M1668" s="1">
        <v>1.5662900405004601E-3</v>
      </c>
      <c r="N1668">
        <v>1157.63610839844</v>
      </c>
      <c r="O1668">
        <v>386.88600000000002</v>
      </c>
      <c r="P1668">
        <v>1157.63452148438</v>
      </c>
      <c r="Q1668">
        <v>386.88546752929602</v>
      </c>
      <c r="R1668">
        <v>3</v>
      </c>
      <c r="S1668">
        <v>6</v>
      </c>
      <c r="T1668">
        <v>11</v>
      </c>
      <c r="U1668">
        <v>27.50705</v>
      </c>
      <c r="V1668">
        <v>9446837</v>
      </c>
    </row>
    <row r="1669" spans="1:22" x14ac:dyDescent="0.25">
      <c r="A1669" t="s">
        <v>429</v>
      </c>
      <c r="B1669" t="s">
        <v>430</v>
      </c>
      <c r="C1669">
        <v>408</v>
      </c>
      <c r="D1669">
        <v>99</v>
      </c>
      <c r="E1669">
        <v>99</v>
      </c>
      <c r="F1669" t="s">
        <v>431</v>
      </c>
      <c r="G1669" t="s">
        <v>431</v>
      </c>
      <c r="H1669">
        <f t="shared" si="29"/>
        <v>9</v>
      </c>
      <c r="M1669" s="1">
        <v>3.1500200275331701E-3</v>
      </c>
      <c r="N1669">
        <v>1201.60241699219</v>
      </c>
      <c r="O1669">
        <v>601.80849999999896</v>
      </c>
      <c r="P1669">
        <v>1201.59924316406</v>
      </c>
      <c r="Q1669">
        <v>601.806884765625</v>
      </c>
      <c r="R1669">
        <v>2</v>
      </c>
      <c r="S1669">
        <v>2</v>
      </c>
      <c r="T1669">
        <v>11</v>
      </c>
      <c r="U1669">
        <v>30.041519999999899</v>
      </c>
      <c r="V1669">
        <v>857164.9</v>
      </c>
    </row>
    <row r="1670" spans="1:22" x14ac:dyDescent="0.25">
      <c r="A1670" t="s">
        <v>429</v>
      </c>
      <c r="B1670" t="s">
        <v>430</v>
      </c>
      <c r="C1670">
        <v>48</v>
      </c>
      <c r="D1670">
        <v>99</v>
      </c>
      <c r="E1670">
        <v>99</v>
      </c>
      <c r="F1670" t="s">
        <v>2167</v>
      </c>
      <c r="G1670" t="s">
        <v>2167</v>
      </c>
      <c r="H1670">
        <f t="shared" si="29"/>
        <v>9</v>
      </c>
      <c r="M1670" s="1">
        <v>1.03028002195059E-3</v>
      </c>
      <c r="N1670">
        <v>1097.63562011719</v>
      </c>
      <c r="O1670">
        <v>549.82510000000002</v>
      </c>
      <c r="P1670">
        <v>1097.63452148438</v>
      </c>
      <c r="Q1670">
        <v>549.82458496093705</v>
      </c>
      <c r="R1670">
        <v>2</v>
      </c>
      <c r="S1670">
        <v>1</v>
      </c>
      <c r="T1670">
        <v>11</v>
      </c>
      <c r="U1670">
        <v>35.078699999999898</v>
      </c>
      <c r="V1670">
        <v>12713830</v>
      </c>
    </row>
    <row r="1671" spans="1:22" x14ac:dyDescent="0.25">
      <c r="A1671" t="s">
        <v>429</v>
      </c>
      <c r="B1671" t="s">
        <v>430</v>
      </c>
      <c r="C1671">
        <v>177</v>
      </c>
      <c r="D1671">
        <v>99</v>
      </c>
      <c r="E1671">
        <v>99</v>
      </c>
      <c r="F1671" t="s">
        <v>2168</v>
      </c>
      <c r="G1671" t="s">
        <v>2168</v>
      </c>
      <c r="H1671">
        <f t="shared" si="29"/>
        <v>16</v>
      </c>
      <c r="M1671" s="1">
        <v>1.7102400306612301E-3</v>
      </c>
      <c r="N1671">
        <v>1103.58532714844</v>
      </c>
      <c r="O1671">
        <v>552.79989999999896</v>
      </c>
      <c r="P1671">
        <v>1103.58361816406</v>
      </c>
      <c r="Q1671">
        <v>552.799072265625</v>
      </c>
      <c r="R1671">
        <v>2</v>
      </c>
      <c r="S1671">
        <v>1</v>
      </c>
      <c r="T1671">
        <v>10</v>
      </c>
      <c r="U1671">
        <v>23.8554999999999</v>
      </c>
      <c r="V1671">
        <v>1634512</v>
      </c>
    </row>
    <row r="1672" spans="1:22" x14ac:dyDescent="0.25">
      <c r="A1672" t="s">
        <v>429</v>
      </c>
      <c r="B1672" t="s">
        <v>430</v>
      </c>
      <c r="C1672">
        <v>408</v>
      </c>
      <c r="D1672">
        <v>96.8</v>
      </c>
      <c r="E1672">
        <v>96.81</v>
      </c>
      <c r="F1672" t="s">
        <v>431</v>
      </c>
      <c r="G1672" t="s">
        <v>431</v>
      </c>
      <c r="H1672">
        <f t="shared" si="29"/>
        <v>9</v>
      </c>
      <c r="L1672" t="s">
        <v>2169</v>
      </c>
      <c r="M1672" s="1">
        <v>1.95964006707072E-3</v>
      </c>
      <c r="N1672">
        <v>1209.65661621094</v>
      </c>
      <c r="O1672">
        <v>605.8356</v>
      </c>
      <c r="P1672">
        <v>1209.65466308594</v>
      </c>
      <c r="Q1672">
        <v>605.83459472656205</v>
      </c>
      <c r="R1672">
        <v>2</v>
      </c>
      <c r="S1672">
        <v>1</v>
      </c>
      <c r="T1672">
        <v>10</v>
      </c>
      <c r="U1672">
        <v>33.499450000000003</v>
      </c>
      <c r="V1672">
        <v>147980.1</v>
      </c>
    </row>
    <row r="1673" spans="1:22" x14ac:dyDescent="0.25">
      <c r="A1673" t="s">
        <v>429</v>
      </c>
      <c r="B1673" t="s">
        <v>430</v>
      </c>
      <c r="C1673">
        <v>408</v>
      </c>
      <c r="D1673">
        <v>99</v>
      </c>
      <c r="E1673">
        <v>99</v>
      </c>
      <c r="F1673" t="s">
        <v>431</v>
      </c>
      <c r="G1673" t="s">
        <v>431</v>
      </c>
      <c r="H1673">
        <f t="shared" si="29"/>
        <v>9</v>
      </c>
      <c r="L1673" t="s">
        <v>47</v>
      </c>
      <c r="M1673" s="1">
        <v>1.35366003960371E-2</v>
      </c>
      <c r="N1673">
        <v>1752.91821289063</v>
      </c>
      <c r="O1673">
        <v>877.46640000000002</v>
      </c>
      <c r="P1673">
        <v>1752.90466308594</v>
      </c>
      <c r="Q1673">
        <v>877.45959472656205</v>
      </c>
      <c r="R1673">
        <v>2</v>
      </c>
      <c r="S1673">
        <v>1</v>
      </c>
      <c r="T1673">
        <v>10</v>
      </c>
      <c r="U1673">
        <v>45.67118</v>
      </c>
      <c r="V1673">
        <v>58886.66</v>
      </c>
    </row>
    <row r="1674" spans="1:22" x14ac:dyDescent="0.25">
      <c r="A1674" t="s">
        <v>2556</v>
      </c>
      <c r="B1674" t="s">
        <v>2557</v>
      </c>
      <c r="C1674">
        <v>32</v>
      </c>
      <c r="D1674">
        <v>98.7</v>
      </c>
      <c r="E1674">
        <v>98.69</v>
      </c>
      <c r="F1674" t="s">
        <v>19</v>
      </c>
      <c r="G1674" t="s">
        <v>19</v>
      </c>
      <c r="H1674">
        <f t="shared" si="29"/>
        <v>9</v>
      </c>
      <c r="M1674" s="1">
        <v>5.4245297797024302E-3</v>
      </c>
      <c r="N1674">
        <v>1203.67785644531</v>
      </c>
      <c r="O1674">
        <v>602.84619999999904</v>
      </c>
      <c r="P1674">
        <v>1203.67236328125</v>
      </c>
      <c r="Q1674">
        <v>602.843505859375</v>
      </c>
      <c r="R1674">
        <v>2</v>
      </c>
      <c r="S1674">
        <v>2</v>
      </c>
      <c r="T1674">
        <v>12</v>
      </c>
      <c r="U1674">
        <v>30.224879999999899</v>
      </c>
      <c r="V1674">
        <v>454330.2</v>
      </c>
    </row>
    <row r="1675" spans="1:22" x14ac:dyDescent="0.25">
      <c r="A1675" t="s">
        <v>269</v>
      </c>
      <c r="B1675" t="s">
        <v>270</v>
      </c>
      <c r="C1675">
        <v>105</v>
      </c>
      <c r="D1675">
        <v>99</v>
      </c>
      <c r="E1675">
        <v>99</v>
      </c>
      <c r="F1675" t="s">
        <v>4420</v>
      </c>
      <c r="G1675" t="s">
        <v>4420</v>
      </c>
      <c r="H1675">
        <f t="shared" si="29"/>
        <v>10</v>
      </c>
      <c r="M1675" s="1">
        <v>-2.1682200022041802E-3</v>
      </c>
      <c r="N1675">
        <v>1135.66259765625</v>
      </c>
      <c r="O1675">
        <v>379.56150000000002</v>
      </c>
      <c r="P1675">
        <v>1135.66479492188</v>
      </c>
      <c r="Q1675">
        <v>379.56222534179602</v>
      </c>
      <c r="R1675">
        <v>3</v>
      </c>
      <c r="S1675">
        <v>1</v>
      </c>
      <c r="T1675">
        <v>11</v>
      </c>
      <c r="U1675">
        <v>20.78622</v>
      </c>
      <c r="V1675">
        <v>3568101</v>
      </c>
    </row>
    <row r="1676" spans="1:22" x14ac:dyDescent="0.25">
      <c r="A1676" t="s">
        <v>269</v>
      </c>
      <c r="B1676" t="s">
        <v>270</v>
      </c>
      <c r="C1676">
        <v>293</v>
      </c>
      <c r="D1676">
        <v>99</v>
      </c>
      <c r="E1676">
        <v>99</v>
      </c>
      <c r="F1676" t="s">
        <v>272</v>
      </c>
      <c r="G1676" t="s">
        <v>272</v>
      </c>
      <c r="H1676">
        <f t="shared" si="29"/>
        <v>9</v>
      </c>
      <c r="M1676" s="1">
        <v>-8.6499901954084602E-4</v>
      </c>
      <c r="N1676">
        <v>1197.66821289063</v>
      </c>
      <c r="O1676">
        <v>599.84140000000002</v>
      </c>
      <c r="P1676">
        <v>1197.66906738281</v>
      </c>
      <c r="Q1676">
        <v>599.841796875</v>
      </c>
      <c r="R1676">
        <v>2</v>
      </c>
      <c r="S1676">
        <v>1</v>
      </c>
      <c r="T1676">
        <v>12</v>
      </c>
      <c r="U1676">
        <v>20.638449999999899</v>
      </c>
      <c r="V1676">
        <v>2407767</v>
      </c>
    </row>
    <row r="1677" spans="1:22" x14ac:dyDescent="0.25">
      <c r="A1677" t="s">
        <v>269</v>
      </c>
      <c r="B1677" t="s">
        <v>270</v>
      </c>
      <c r="C1677">
        <v>293</v>
      </c>
      <c r="D1677">
        <v>99</v>
      </c>
      <c r="E1677">
        <v>99</v>
      </c>
      <c r="F1677" t="s">
        <v>271</v>
      </c>
      <c r="G1677" t="s">
        <v>271</v>
      </c>
      <c r="H1677">
        <f t="shared" si="29"/>
        <v>10</v>
      </c>
      <c r="M1677" s="1">
        <v>5.5778501555323601E-3</v>
      </c>
      <c r="N1677">
        <v>1167.57287597656</v>
      </c>
      <c r="O1677">
        <v>584.79369999999903</v>
      </c>
      <c r="P1677">
        <v>1167.56726074219</v>
      </c>
      <c r="Q1677">
        <v>584.79089355468705</v>
      </c>
      <c r="R1677">
        <v>2</v>
      </c>
      <c r="S1677">
        <v>1</v>
      </c>
      <c r="T1677">
        <v>10</v>
      </c>
      <c r="U1677">
        <v>37.527079999999899</v>
      </c>
      <c r="V1677">
        <v>606135.80000000005</v>
      </c>
    </row>
    <row r="1678" spans="1:22" x14ac:dyDescent="0.25">
      <c r="A1678" t="s">
        <v>4578</v>
      </c>
      <c r="B1678" t="s">
        <v>4579</v>
      </c>
      <c r="C1678">
        <v>99</v>
      </c>
      <c r="D1678">
        <v>99</v>
      </c>
      <c r="E1678">
        <v>99</v>
      </c>
      <c r="F1678" t="s">
        <v>498</v>
      </c>
      <c r="G1678" t="s">
        <v>498</v>
      </c>
      <c r="H1678">
        <f t="shared" si="29"/>
        <v>9</v>
      </c>
      <c r="M1678">
        <v>4.7260000000000002E-3</v>
      </c>
      <c r="N1678">
        <v>1201.654296875</v>
      </c>
      <c r="O1678">
        <v>601.83439999999905</v>
      </c>
      <c r="P1678">
        <v>1201.64953613281</v>
      </c>
      <c r="Q1678">
        <v>601.83203125</v>
      </c>
      <c r="R1678">
        <v>2</v>
      </c>
      <c r="S1678">
        <v>5</v>
      </c>
      <c r="T1678">
        <v>9</v>
      </c>
      <c r="U1678">
        <v>49.137920000000001</v>
      </c>
      <c r="V1678">
        <v>412281.4</v>
      </c>
    </row>
    <row r="1679" spans="1:22" x14ac:dyDescent="0.25">
      <c r="A1679" t="s">
        <v>625</v>
      </c>
      <c r="B1679" t="s">
        <v>626</v>
      </c>
      <c r="C1679">
        <v>310</v>
      </c>
      <c r="D1679">
        <v>97.9</v>
      </c>
      <c r="E1679">
        <v>97.86</v>
      </c>
      <c r="F1679" t="s">
        <v>2784</v>
      </c>
      <c r="G1679" t="s">
        <v>2784</v>
      </c>
      <c r="H1679">
        <f t="shared" si="29"/>
        <v>9</v>
      </c>
      <c r="M1679" s="1">
        <v>4.3123699724674103E-3</v>
      </c>
      <c r="N1679">
        <v>1882.92163085938</v>
      </c>
      <c r="O1679">
        <v>628.64779999999905</v>
      </c>
      <c r="P1679">
        <v>1882.91735839844</v>
      </c>
      <c r="Q1679">
        <v>628.64636230468705</v>
      </c>
      <c r="R1679">
        <v>3</v>
      </c>
      <c r="S1679">
        <v>1</v>
      </c>
      <c r="T1679">
        <v>11</v>
      </c>
      <c r="U1679">
        <v>35.499830000000003</v>
      </c>
      <c r="V1679">
        <v>275260</v>
      </c>
    </row>
    <row r="1680" spans="1:22" x14ac:dyDescent="0.25">
      <c r="A1680" t="s">
        <v>625</v>
      </c>
      <c r="B1680" t="s">
        <v>626</v>
      </c>
      <c r="C1680">
        <v>906</v>
      </c>
      <c r="D1680">
        <v>98.6</v>
      </c>
      <c r="E1680">
        <v>98.56</v>
      </c>
      <c r="F1680" t="s">
        <v>627</v>
      </c>
      <c r="G1680" t="s">
        <v>627</v>
      </c>
      <c r="H1680">
        <f t="shared" si="29"/>
        <v>9</v>
      </c>
      <c r="M1680" s="1">
        <v>7.56366003770381E-4</v>
      </c>
      <c r="N1680">
        <v>1091.515625</v>
      </c>
      <c r="O1680">
        <v>546.76509999999905</v>
      </c>
      <c r="P1680">
        <v>1091.51489257813</v>
      </c>
      <c r="Q1680">
        <v>546.76470947265602</v>
      </c>
      <c r="R1680">
        <v>2</v>
      </c>
      <c r="S1680">
        <v>1</v>
      </c>
      <c r="T1680">
        <v>11</v>
      </c>
      <c r="U1680">
        <v>25.605</v>
      </c>
      <c r="V1680">
        <v>1478588</v>
      </c>
    </row>
    <row r="1681" spans="1:22" x14ac:dyDescent="0.25">
      <c r="A1681" t="s">
        <v>625</v>
      </c>
      <c r="B1681" t="s">
        <v>626</v>
      </c>
      <c r="C1681">
        <v>2386</v>
      </c>
      <c r="D1681">
        <v>97.2</v>
      </c>
      <c r="E1681">
        <v>97.17</v>
      </c>
      <c r="F1681" t="s">
        <v>2785</v>
      </c>
      <c r="G1681" t="s">
        <v>2785</v>
      </c>
      <c r="H1681">
        <f t="shared" si="29"/>
        <v>9</v>
      </c>
      <c r="M1681" s="1">
        <v>3.56189999729395E-3</v>
      </c>
      <c r="N1681">
        <v>1076.63781738281</v>
      </c>
      <c r="O1681">
        <v>539.32619999999895</v>
      </c>
      <c r="P1681">
        <v>1076.63427734375</v>
      </c>
      <c r="Q1681">
        <v>539.32440185546795</v>
      </c>
      <c r="R1681">
        <v>2</v>
      </c>
      <c r="S1681">
        <v>1</v>
      </c>
      <c r="T1681">
        <v>10</v>
      </c>
      <c r="U1681">
        <v>35.7159499999999</v>
      </c>
      <c r="V1681">
        <v>691428.8</v>
      </c>
    </row>
    <row r="1682" spans="1:22" x14ac:dyDescent="0.25">
      <c r="A1682" t="s">
        <v>625</v>
      </c>
      <c r="B1682" t="s">
        <v>626</v>
      </c>
      <c r="C1682">
        <v>239</v>
      </c>
      <c r="D1682">
        <v>97.3</v>
      </c>
      <c r="E1682">
        <v>97.28</v>
      </c>
      <c r="F1682" t="s">
        <v>2786</v>
      </c>
      <c r="G1682" t="s">
        <v>2786</v>
      </c>
      <c r="H1682">
        <f t="shared" si="29"/>
        <v>9</v>
      </c>
      <c r="M1682">
        <v>4.1580000000000002E-3</v>
      </c>
      <c r="N1682">
        <v>979.51287841796795</v>
      </c>
      <c r="O1682">
        <v>490.76369999999901</v>
      </c>
      <c r="P1682">
        <v>979.50866699218705</v>
      </c>
      <c r="Q1682">
        <v>490.76162719726602</v>
      </c>
      <c r="R1682">
        <v>2</v>
      </c>
      <c r="S1682">
        <v>1</v>
      </c>
      <c r="T1682">
        <v>9</v>
      </c>
      <c r="U1682">
        <v>30.694520000000001</v>
      </c>
      <c r="V1682">
        <v>75774.8</v>
      </c>
    </row>
    <row r="1683" spans="1:22" x14ac:dyDescent="0.25">
      <c r="A1683" t="s">
        <v>741</v>
      </c>
      <c r="B1683" t="s">
        <v>742</v>
      </c>
      <c r="C1683">
        <v>156</v>
      </c>
      <c r="D1683">
        <v>99</v>
      </c>
      <c r="E1683">
        <v>99</v>
      </c>
      <c r="F1683" t="s">
        <v>743</v>
      </c>
      <c r="G1683" t="s">
        <v>743</v>
      </c>
      <c r="H1683">
        <f t="shared" si="29"/>
        <v>9</v>
      </c>
      <c r="M1683" s="1">
        <v>7.4775499524548704E-4</v>
      </c>
      <c r="N1683">
        <v>1095.57543945313</v>
      </c>
      <c r="O1683">
        <v>548.79499999999905</v>
      </c>
      <c r="P1683">
        <v>1095.57470703125</v>
      </c>
      <c r="Q1683">
        <v>548.79461669921795</v>
      </c>
      <c r="R1683">
        <v>2</v>
      </c>
      <c r="S1683">
        <v>2</v>
      </c>
      <c r="T1683">
        <v>12</v>
      </c>
      <c r="U1683">
        <v>42.042569999999898</v>
      </c>
      <c r="V1683">
        <v>1015824</v>
      </c>
    </row>
    <row r="1684" spans="1:22" x14ac:dyDescent="0.25">
      <c r="A1684" t="s">
        <v>4210</v>
      </c>
      <c r="B1684" t="s">
        <v>4211</v>
      </c>
      <c r="C1684">
        <v>273</v>
      </c>
      <c r="D1684">
        <v>98.8</v>
      </c>
      <c r="E1684">
        <v>98.8</v>
      </c>
      <c r="F1684" t="s">
        <v>4212</v>
      </c>
      <c r="G1684" t="s">
        <v>4212</v>
      </c>
      <c r="H1684">
        <f t="shared" si="29"/>
        <v>9</v>
      </c>
      <c r="M1684" s="1">
        <v>5.7981200516223803E-3</v>
      </c>
      <c r="N1684">
        <v>1827.92138671875</v>
      </c>
      <c r="O1684">
        <v>610.31439999999895</v>
      </c>
      <c r="P1684">
        <v>1827.91552734375</v>
      </c>
      <c r="Q1684">
        <v>610.31243896484295</v>
      </c>
      <c r="R1684">
        <v>3</v>
      </c>
      <c r="S1684">
        <v>1</v>
      </c>
      <c r="T1684">
        <v>11</v>
      </c>
      <c r="U1684">
        <v>36.93683</v>
      </c>
      <c r="V1684">
        <v>97081.16</v>
      </c>
    </row>
    <row r="1685" spans="1:22" x14ac:dyDescent="0.25">
      <c r="A1685" t="s">
        <v>4210</v>
      </c>
      <c r="B1685" t="s">
        <v>4211</v>
      </c>
      <c r="C1685">
        <v>101</v>
      </c>
      <c r="D1685">
        <v>98</v>
      </c>
      <c r="E1685">
        <v>97.96</v>
      </c>
      <c r="F1685" t="s">
        <v>4213</v>
      </c>
      <c r="G1685" t="s">
        <v>4213</v>
      </c>
      <c r="H1685">
        <f t="shared" si="29"/>
        <v>9</v>
      </c>
      <c r="M1685" s="1">
        <v>1.21899996884167E-3</v>
      </c>
      <c r="N1685">
        <v>1478.84692382813</v>
      </c>
      <c r="O1685">
        <v>740.4307</v>
      </c>
      <c r="P1685">
        <v>1478.845703125</v>
      </c>
      <c r="Q1685">
        <v>740.43011474609295</v>
      </c>
      <c r="R1685">
        <v>2</v>
      </c>
      <c r="S1685">
        <v>2</v>
      </c>
      <c r="T1685">
        <v>7</v>
      </c>
      <c r="U1685">
        <v>48.009529999999899</v>
      </c>
      <c r="V1685">
        <v>62312.79</v>
      </c>
    </row>
    <row r="1686" spans="1:22" x14ac:dyDescent="0.25">
      <c r="A1686" t="s">
        <v>365</v>
      </c>
      <c r="B1686" t="s">
        <v>366</v>
      </c>
      <c r="C1686">
        <v>90</v>
      </c>
      <c r="D1686">
        <v>99</v>
      </c>
      <c r="E1686">
        <v>99</v>
      </c>
      <c r="F1686" t="s">
        <v>367</v>
      </c>
      <c r="G1686" t="s">
        <v>367</v>
      </c>
      <c r="H1686">
        <f t="shared" si="29"/>
        <v>9</v>
      </c>
      <c r="M1686" s="1">
        <v>3.8882999215275002E-3</v>
      </c>
      <c r="N1686">
        <v>1045.58068847656</v>
      </c>
      <c r="O1686">
        <v>523.79759999999897</v>
      </c>
      <c r="P1686">
        <v>1045.57678222656</v>
      </c>
      <c r="Q1686">
        <v>523.795654296875</v>
      </c>
      <c r="R1686">
        <v>2</v>
      </c>
      <c r="S1686">
        <v>1</v>
      </c>
      <c r="T1686">
        <v>12</v>
      </c>
      <c r="U1686">
        <v>38.4358</v>
      </c>
      <c r="V1686">
        <v>327757.59999999899</v>
      </c>
    </row>
    <row r="1687" spans="1:22" x14ac:dyDescent="0.25">
      <c r="A1687" t="s">
        <v>3602</v>
      </c>
      <c r="B1687" t="s">
        <v>3603</v>
      </c>
      <c r="C1687">
        <v>843</v>
      </c>
      <c r="D1687">
        <v>99</v>
      </c>
      <c r="E1687">
        <v>99</v>
      </c>
      <c r="F1687" t="s">
        <v>3604</v>
      </c>
      <c r="G1687" t="s">
        <v>3604</v>
      </c>
      <c r="H1687">
        <f t="shared" si="29"/>
        <v>12</v>
      </c>
      <c r="M1687">
        <v>5.509E-3</v>
      </c>
      <c r="N1687">
        <v>1885.916015625</v>
      </c>
      <c r="O1687">
        <v>943.96529999999905</v>
      </c>
      <c r="P1687">
        <v>1885.91052246094</v>
      </c>
      <c r="Q1687">
        <v>943.96252441406205</v>
      </c>
      <c r="R1687">
        <v>2</v>
      </c>
      <c r="S1687">
        <v>2</v>
      </c>
      <c r="T1687">
        <v>14</v>
      </c>
      <c r="U1687">
        <v>33.817819999999898</v>
      </c>
      <c r="V1687">
        <v>198340</v>
      </c>
    </row>
    <row r="1688" spans="1:22" x14ac:dyDescent="0.25">
      <c r="A1688" t="s">
        <v>2742</v>
      </c>
      <c r="B1688" t="s">
        <v>2743</v>
      </c>
      <c r="C1688">
        <v>353</v>
      </c>
      <c r="D1688">
        <v>97.9</v>
      </c>
      <c r="E1688">
        <v>97.88</v>
      </c>
      <c r="F1688" t="s">
        <v>2744</v>
      </c>
      <c r="G1688" t="s">
        <v>2744</v>
      </c>
      <c r="H1688">
        <f t="shared" si="29"/>
        <v>16</v>
      </c>
      <c r="M1688" s="1">
        <v>1.5586500521749199E-3</v>
      </c>
      <c r="N1688">
        <v>1068.66711425781</v>
      </c>
      <c r="O1688">
        <v>535.34079999999904</v>
      </c>
      <c r="P1688">
        <v>1068.66552734375</v>
      </c>
      <c r="Q1688">
        <v>535.34002685546795</v>
      </c>
      <c r="R1688">
        <v>2</v>
      </c>
      <c r="S1688">
        <v>1</v>
      </c>
      <c r="T1688">
        <v>11</v>
      </c>
      <c r="U1688">
        <v>33.09498</v>
      </c>
      <c r="V1688">
        <v>2531641</v>
      </c>
    </row>
    <row r="1689" spans="1:22" x14ac:dyDescent="0.25">
      <c r="A1689" t="s">
        <v>520</v>
      </c>
      <c r="B1689" t="s">
        <v>521</v>
      </c>
      <c r="C1689">
        <v>189</v>
      </c>
      <c r="D1689">
        <v>98.3</v>
      </c>
      <c r="E1689">
        <v>98.3</v>
      </c>
      <c r="F1689" t="s">
        <v>1506</v>
      </c>
      <c r="G1689" t="s">
        <v>1506</v>
      </c>
      <c r="H1689">
        <f t="shared" si="29"/>
        <v>9</v>
      </c>
      <c r="M1689" s="1">
        <v>6.3524101860821204E-3</v>
      </c>
      <c r="N1689">
        <v>1682.01940917969</v>
      </c>
      <c r="O1689">
        <v>561.68039999999905</v>
      </c>
      <c r="P1689">
        <v>1682.01306152344</v>
      </c>
      <c r="Q1689">
        <v>561.67828369140602</v>
      </c>
      <c r="R1689">
        <v>3</v>
      </c>
      <c r="S1689">
        <v>1</v>
      </c>
      <c r="T1689">
        <v>12</v>
      </c>
      <c r="U1689">
        <v>49.0075</v>
      </c>
      <c r="V1689">
        <v>280829.7</v>
      </c>
    </row>
    <row r="1690" spans="1:22" x14ac:dyDescent="0.25">
      <c r="A1690" t="s">
        <v>4142</v>
      </c>
      <c r="B1690" t="s">
        <v>4143</v>
      </c>
      <c r="C1690">
        <v>615</v>
      </c>
      <c r="D1690">
        <v>99</v>
      </c>
      <c r="E1690">
        <v>99</v>
      </c>
      <c r="F1690" t="s">
        <v>4144</v>
      </c>
      <c r="G1690" t="s">
        <v>4144</v>
      </c>
      <c r="H1690">
        <f t="shared" si="29"/>
        <v>9</v>
      </c>
      <c r="M1690" s="1">
        <v>2.2692501079291101E-3</v>
      </c>
      <c r="N1690">
        <v>1060.60522460938</v>
      </c>
      <c r="O1690">
        <v>531.30989999999895</v>
      </c>
      <c r="P1690">
        <v>1060.60290527344</v>
      </c>
      <c r="Q1690">
        <v>531.30871582031205</v>
      </c>
      <c r="R1690">
        <v>2</v>
      </c>
      <c r="S1690">
        <v>1</v>
      </c>
      <c r="T1690">
        <v>13</v>
      </c>
      <c r="U1690">
        <v>45.479529999999897</v>
      </c>
      <c r="V1690">
        <v>5855543</v>
      </c>
    </row>
    <row r="1691" spans="1:22" x14ac:dyDescent="0.25">
      <c r="A1691" t="s">
        <v>4014</v>
      </c>
      <c r="B1691" t="s">
        <v>4015</v>
      </c>
      <c r="C1691">
        <v>182</v>
      </c>
      <c r="D1691">
        <v>97.4</v>
      </c>
      <c r="E1691">
        <v>97.44</v>
      </c>
      <c r="F1691" t="s">
        <v>4016</v>
      </c>
      <c r="G1691" t="s">
        <v>4016</v>
      </c>
      <c r="H1691">
        <f t="shared" si="29"/>
        <v>9</v>
      </c>
      <c r="L1691" t="s">
        <v>1408</v>
      </c>
      <c r="M1691" s="1">
        <v>-1.12508004531264E-3</v>
      </c>
      <c r="N1691">
        <v>1784.798828125</v>
      </c>
      <c r="O1691">
        <v>893.4067</v>
      </c>
      <c r="P1691">
        <v>1784.79992675781</v>
      </c>
      <c r="Q1691">
        <v>893.4072265625</v>
      </c>
      <c r="R1691">
        <v>2</v>
      </c>
      <c r="S1691">
        <v>1</v>
      </c>
      <c r="T1691">
        <v>11</v>
      </c>
      <c r="U1691">
        <v>20.778369999999899</v>
      </c>
      <c r="V1691">
        <v>199130.4</v>
      </c>
    </row>
    <row r="1692" spans="1:22" x14ac:dyDescent="0.25">
      <c r="A1692" t="s">
        <v>2335</v>
      </c>
      <c r="B1692" t="s">
        <v>2336</v>
      </c>
      <c r="C1692">
        <v>82</v>
      </c>
      <c r="D1692">
        <v>99</v>
      </c>
      <c r="E1692">
        <v>99</v>
      </c>
      <c r="F1692" t="s">
        <v>2337</v>
      </c>
      <c r="G1692" t="s">
        <v>2337</v>
      </c>
      <c r="H1692">
        <f t="shared" si="29"/>
        <v>9</v>
      </c>
      <c r="M1692" s="1">
        <v>3.7903999909758498E-3</v>
      </c>
      <c r="N1692">
        <v>1715.75463867188</v>
      </c>
      <c r="O1692">
        <v>572.92550000000006</v>
      </c>
      <c r="P1692">
        <v>1715.75085449219</v>
      </c>
      <c r="Q1692">
        <v>572.92419433593705</v>
      </c>
      <c r="R1692">
        <v>3</v>
      </c>
      <c r="S1692">
        <v>1</v>
      </c>
      <c r="T1692">
        <v>12</v>
      </c>
      <c r="U1692">
        <v>28.770980000000002</v>
      </c>
      <c r="V1692">
        <v>194047.2</v>
      </c>
    </row>
    <row r="1693" spans="1:22" x14ac:dyDescent="0.25">
      <c r="A1693" t="s">
        <v>3874</v>
      </c>
      <c r="B1693" t="s">
        <v>3875</v>
      </c>
      <c r="C1693">
        <v>2925</v>
      </c>
      <c r="D1693">
        <v>98.7</v>
      </c>
      <c r="E1693">
        <v>98.66</v>
      </c>
      <c r="F1693" t="s">
        <v>455</v>
      </c>
      <c r="G1693" t="s">
        <v>455</v>
      </c>
      <c r="H1693">
        <f t="shared" si="29"/>
        <v>9</v>
      </c>
      <c r="M1693" s="1">
        <v>5.7591600343584902E-3</v>
      </c>
      <c r="N1693">
        <v>1196.64001464844</v>
      </c>
      <c r="O1693">
        <v>599.32730000000004</v>
      </c>
      <c r="P1693">
        <v>1196.63427734375</v>
      </c>
      <c r="Q1693">
        <v>599.32440185546795</v>
      </c>
      <c r="R1693">
        <v>2</v>
      </c>
      <c r="S1693">
        <v>2</v>
      </c>
      <c r="T1693">
        <v>13</v>
      </c>
      <c r="U1693">
        <v>55.389580000000002</v>
      </c>
      <c r="V1693">
        <v>117459.8</v>
      </c>
    </row>
    <row r="1694" spans="1:22" x14ac:dyDescent="0.25">
      <c r="A1694" t="s">
        <v>3356</v>
      </c>
      <c r="B1694" t="s">
        <v>3357</v>
      </c>
      <c r="C1694">
        <v>433</v>
      </c>
      <c r="D1694">
        <v>98.5</v>
      </c>
      <c r="E1694">
        <v>98.54</v>
      </c>
      <c r="F1694" t="s">
        <v>3358</v>
      </c>
      <c r="G1694" t="s">
        <v>3358</v>
      </c>
      <c r="H1694">
        <f t="shared" si="29"/>
        <v>9</v>
      </c>
      <c r="M1694" s="1">
        <v>6.6622998565435401E-3</v>
      </c>
      <c r="N1694">
        <v>1167.63549804688</v>
      </c>
      <c r="O1694">
        <v>584.82500000000005</v>
      </c>
      <c r="P1694">
        <v>1167.62878417969</v>
      </c>
      <c r="Q1694">
        <v>584.82165527343705</v>
      </c>
      <c r="R1694">
        <v>2</v>
      </c>
      <c r="S1694">
        <v>6</v>
      </c>
      <c r="T1694">
        <v>8</v>
      </c>
      <c r="U1694">
        <v>49.174399999999899</v>
      </c>
      <c r="V1694">
        <v>63998.76</v>
      </c>
    </row>
    <row r="1695" spans="1:22" x14ac:dyDescent="0.25">
      <c r="A1695" t="s">
        <v>3241</v>
      </c>
      <c r="B1695" t="s">
        <v>3242</v>
      </c>
      <c r="C1695">
        <v>69</v>
      </c>
      <c r="D1695">
        <v>99</v>
      </c>
      <c r="E1695">
        <v>99</v>
      </c>
      <c r="F1695" t="s">
        <v>438</v>
      </c>
      <c r="G1695" t="s">
        <v>438</v>
      </c>
      <c r="H1695">
        <f t="shared" si="29"/>
        <v>9</v>
      </c>
      <c r="M1695" s="1">
        <v>1.29915995057672E-3</v>
      </c>
      <c r="N1695">
        <v>1105.68725585938</v>
      </c>
      <c r="O1695">
        <v>553.85090000000002</v>
      </c>
      <c r="P1695">
        <v>1105.68591308594</v>
      </c>
      <c r="Q1695">
        <v>553.85021972656205</v>
      </c>
      <c r="R1695">
        <v>2</v>
      </c>
      <c r="S1695">
        <v>1</v>
      </c>
      <c r="T1695">
        <v>13</v>
      </c>
      <c r="U1695">
        <v>24.21367</v>
      </c>
      <c r="V1695">
        <v>798895.8</v>
      </c>
    </row>
    <row r="1696" spans="1:22" x14ac:dyDescent="0.25">
      <c r="A1696" t="s">
        <v>2508</v>
      </c>
      <c r="B1696" t="s">
        <v>2509</v>
      </c>
      <c r="C1696">
        <v>80</v>
      </c>
      <c r="D1696">
        <v>99</v>
      </c>
      <c r="E1696">
        <v>99</v>
      </c>
      <c r="F1696" t="s">
        <v>2510</v>
      </c>
      <c r="G1696" t="s">
        <v>2510</v>
      </c>
      <c r="H1696">
        <f t="shared" si="29"/>
        <v>16</v>
      </c>
      <c r="M1696" s="1">
        <v>2.3650899529457101E-3</v>
      </c>
      <c r="N1696">
        <v>1219.57983398438</v>
      </c>
      <c r="O1696">
        <v>610.79719999999895</v>
      </c>
      <c r="P1696">
        <v>1219.57739257813</v>
      </c>
      <c r="Q1696">
        <v>610.79602050781205</v>
      </c>
      <c r="R1696">
        <v>2</v>
      </c>
      <c r="S1696">
        <v>2</v>
      </c>
      <c r="T1696">
        <v>13</v>
      </c>
      <c r="U1696">
        <v>48.003030000000003</v>
      </c>
      <c r="V1696">
        <v>4923564</v>
      </c>
    </row>
    <row r="1697" spans="1:22" x14ac:dyDescent="0.25">
      <c r="A1697" t="s">
        <v>602</v>
      </c>
      <c r="B1697" t="s">
        <v>603</v>
      </c>
      <c r="C1697">
        <v>119</v>
      </c>
      <c r="D1697">
        <v>99</v>
      </c>
      <c r="E1697">
        <v>99</v>
      </c>
      <c r="F1697" t="s">
        <v>604</v>
      </c>
      <c r="G1697" t="s">
        <v>604</v>
      </c>
      <c r="H1697">
        <f t="shared" si="29"/>
        <v>9</v>
      </c>
      <c r="M1697" s="1">
        <v>7.7315201051533101E-3</v>
      </c>
      <c r="N1697">
        <v>1795.8818359375</v>
      </c>
      <c r="O1697">
        <v>898.94820000000004</v>
      </c>
      <c r="P1697">
        <v>1795.8740234375</v>
      </c>
      <c r="Q1697">
        <v>898.9443359375</v>
      </c>
      <c r="R1697">
        <v>2</v>
      </c>
      <c r="S1697">
        <v>2</v>
      </c>
      <c r="T1697">
        <v>10</v>
      </c>
      <c r="U1697">
        <v>36.896470000000001</v>
      </c>
      <c r="V1697">
        <v>97777.65</v>
      </c>
    </row>
    <row r="1698" spans="1:22" x14ac:dyDescent="0.25">
      <c r="A1698" t="s">
        <v>602</v>
      </c>
      <c r="B1698" t="s">
        <v>603</v>
      </c>
      <c r="C1698">
        <v>119</v>
      </c>
      <c r="D1698">
        <v>98.7</v>
      </c>
      <c r="E1698">
        <v>98.7</v>
      </c>
      <c r="F1698" t="s">
        <v>604</v>
      </c>
      <c r="G1698" t="s">
        <v>604</v>
      </c>
      <c r="H1698">
        <f t="shared" si="29"/>
        <v>9</v>
      </c>
      <c r="L1698" t="s">
        <v>116</v>
      </c>
      <c r="M1698" s="1">
        <v>1.38600002974272E-2</v>
      </c>
      <c r="N1698">
        <v>1552.68542480469</v>
      </c>
      <c r="O1698">
        <v>777.35</v>
      </c>
      <c r="P1698">
        <v>1552.67150878906</v>
      </c>
      <c r="Q1698">
        <v>777.343017578125</v>
      </c>
      <c r="R1698">
        <v>2</v>
      </c>
      <c r="S1698">
        <v>1</v>
      </c>
      <c r="T1698">
        <v>9</v>
      </c>
      <c r="U1698">
        <v>41.26352</v>
      </c>
      <c r="V1698">
        <v>101571.1</v>
      </c>
    </row>
    <row r="1699" spans="1:22" x14ac:dyDescent="0.25">
      <c r="A1699" t="s">
        <v>2892</v>
      </c>
      <c r="B1699" t="s">
        <v>2893</v>
      </c>
      <c r="C1699">
        <v>133</v>
      </c>
      <c r="D1699">
        <v>98.9</v>
      </c>
      <c r="E1699">
        <v>98.85</v>
      </c>
      <c r="F1699" t="s">
        <v>2894</v>
      </c>
      <c r="G1699" t="s">
        <v>2894</v>
      </c>
      <c r="H1699">
        <f t="shared" si="29"/>
        <v>16</v>
      </c>
      <c r="M1699" s="1">
        <v>2.7982299216091498E-3</v>
      </c>
      <c r="N1699">
        <v>1069.54321289063</v>
      </c>
      <c r="O1699">
        <v>535.77890000000002</v>
      </c>
      <c r="P1699">
        <v>1069.54040527344</v>
      </c>
      <c r="Q1699">
        <v>535.77746582031205</v>
      </c>
      <c r="R1699">
        <v>2</v>
      </c>
      <c r="S1699">
        <v>1</v>
      </c>
      <c r="T1699">
        <v>11</v>
      </c>
      <c r="U1699">
        <v>32.554119999999898</v>
      </c>
      <c r="V1699">
        <v>1895420</v>
      </c>
    </row>
    <row r="1700" spans="1:22" x14ac:dyDescent="0.25">
      <c r="A1700" t="s">
        <v>1887</v>
      </c>
      <c r="B1700" t="s">
        <v>1888</v>
      </c>
      <c r="C1700">
        <v>127</v>
      </c>
      <c r="D1700">
        <v>97.5</v>
      </c>
      <c r="E1700">
        <v>97.51</v>
      </c>
      <c r="F1700" t="s">
        <v>1889</v>
      </c>
      <c r="G1700" t="s">
        <v>1889</v>
      </c>
      <c r="H1700">
        <f t="shared" si="29"/>
        <v>9</v>
      </c>
      <c r="M1700" s="1">
        <v>4.2329501360654803E-2</v>
      </c>
      <c r="N1700">
        <v>1095.60241699219</v>
      </c>
      <c r="O1700">
        <v>548.80849999999896</v>
      </c>
      <c r="P1700">
        <v>1095.56005859375</v>
      </c>
      <c r="Q1700">
        <v>548.78729248046795</v>
      </c>
      <c r="R1700">
        <v>2</v>
      </c>
      <c r="S1700">
        <v>3</v>
      </c>
      <c r="T1700">
        <v>10</v>
      </c>
      <c r="U1700">
        <v>27.785219999999899</v>
      </c>
      <c r="V1700">
        <v>350088.1</v>
      </c>
    </row>
    <row r="1701" spans="1:22" x14ac:dyDescent="0.25">
      <c r="A1701" t="s">
        <v>1887</v>
      </c>
      <c r="B1701" t="s">
        <v>1888</v>
      </c>
      <c r="C1701">
        <v>201</v>
      </c>
      <c r="D1701">
        <v>99</v>
      </c>
      <c r="E1701">
        <v>99</v>
      </c>
      <c r="F1701" t="s">
        <v>1890</v>
      </c>
      <c r="G1701" t="s">
        <v>1890</v>
      </c>
      <c r="H1701">
        <f t="shared" si="29"/>
        <v>16</v>
      </c>
      <c r="M1701" s="1">
        <v>7.4398899450898101E-3</v>
      </c>
      <c r="N1701">
        <v>1648.72912597656</v>
      </c>
      <c r="O1701">
        <v>825.37180000000001</v>
      </c>
      <c r="P1701">
        <v>1648.7216796875</v>
      </c>
      <c r="Q1701">
        <v>825.36810302734295</v>
      </c>
      <c r="R1701">
        <v>2</v>
      </c>
      <c r="S1701">
        <v>1</v>
      </c>
      <c r="T1701">
        <v>8</v>
      </c>
      <c r="U1701">
        <v>40.723979999999898</v>
      </c>
      <c r="V1701">
        <v>52294.74</v>
      </c>
    </row>
    <row r="1702" spans="1:22" x14ac:dyDescent="0.25">
      <c r="A1702" t="s">
        <v>1887</v>
      </c>
      <c r="B1702" t="s">
        <v>1888</v>
      </c>
      <c r="C1702">
        <v>201</v>
      </c>
      <c r="D1702">
        <v>99</v>
      </c>
      <c r="E1702">
        <v>99</v>
      </c>
      <c r="F1702" t="s">
        <v>1891</v>
      </c>
      <c r="G1702" t="s">
        <v>1891</v>
      </c>
      <c r="H1702">
        <f t="shared" si="29"/>
        <v>17</v>
      </c>
      <c r="M1702" s="1">
        <v>-1.46627996582538E-3</v>
      </c>
      <c r="N1702">
        <v>1091.59606933594</v>
      </c>
      <c r="O1702">
        <v>546.80529999999897</v>
      </c>
      <c r="P1702">
        <v>1091.59753417969</v>
      </c>
      <c r="Q1702">
        <v>546.80603027343705</v>
      </c>
      <c r="R1702">
        <v>2</v>
      </c>
      <c r="S1702">
        <v>1</v>
      </c>
      <c r="T1702">
        <v>14</v>
      </c>
      <c r="U1702">
        <v>18.4406</v>
      </c>
      <c r="V1702">
        <v>1649312</v>
      </c>
    </row>
    <row r="1703" spans="1:22" x14ac:dyDescent="0.25">
      <c r="A1703" t="s">
        <v>1887</v>
      </c>
      <c r="B1703" t="s">
        <v>1888</v>
      </c>
      <c r="C1703">
        <v>199</v>
      </c>
      <c r="D1703">
        <v>99</v>
      </c>
      <c r="E1703">
        <v>99</v>
      </c>
      <c r="F1703" t="s">
        <v>1892</v>
      </c>
      <c r="G1703" t="s">
        <v>1892</v>
      </c>
      <c r="H1703">
        <f t="shared" si="29"/>
        <v>19</v>
      </c>
      <c r="L1703" t="s">
        <v>563</v>
      </c>
      <c r="M1703" s="1">
        <v>-3.2446701079607003E-2</v>
      </c>
      <c r="N1703">
        <v>1380.69409179688</v>
      </c>
      <c r="O1703">
        <v>691.35429999999894</v>
      </c>
      <c r="P1703">
        <v>1380.7265625</v>
      </c>
      <c r="Q1703">
        <v>691.37054443359295</v>
      </c>
      <c r="R1703">
        <v>2</v>
      </c>
      <c r="S1703">
        <v>1</v>
      </c>
      <c r="T1703">
        <v>11</v>
      </c>
      <c r="U1703">
        <v>52.3398299999999</v>
      </c>
      <c r="V1703">
        <v>85648.74</v>
      </c>
    </row>
    <row r="1704" spans="1:22" x14ac:dyDescent="0.25">
      <c r="A1704" t="s">
        <v>1887</v>
      </c>
      <c r="B1704" t="s">
        <v>1888</v>
      </c>
      <c r="C1704">
        <v>201</v>
      </c>
      <c r="D1704">
        <v>99</v>
      </c>
      <c r="E1704">
        <v>99</v>
      </c>
      <c r="F1704" t="s">
        <v>1891</v>
      </c>
      <c r="G1704" t="s">
        <v>1891</v>
      </c>
      <c r="H1704">
        <f t="shared" si="29"/>
        <v>17</v>
      </c>
      <c r="L1704" t="s">
        <v>116</v>
      </c>
      <c r="M1704" s="1">
        <v>-2.37361993640661E-4</v>
      </c>
      <c r="N1704">
        <v>1059.61083984375</v>
      </c>
      <c r="O1704">
        <v>530.81269999999904</v>
      </c>
      <c r="P1704">
        <v>1059.61108398438</v>
      </c>
      <c r="Q1704">
        <v>530.81280517578102</v>
      </c>
      <c r="R1704">
        <v>2</v>
      </c>
      <c r="S1704">
        <v>1</v>
      </c>
      <c r="T1704">
        <v>13</v>
      </c>
      <c r="U1704">
        <v>22.529730000000001</v>
      </c>
      <c r="V1704">
        <v>1681250</v>
      </c>
    </row>
    <row r="1705" spans="1:22" x14ac:dyDescent="0.25">
      <c r="A1705" t="s">
        <v>110</v>
      </c>
      <c r="B1705" t="s">
        <v>111</v>
      </c>
      <c r="C1705">
        <v>139</v>
      </c>
      <c r="D1705">
        <v>99</v>
      </c>
      <c r="E1705">
        <v>99</v>
      </c>
      <c r="F1705" t="s">
        <v>112</v>
      </c>
      <c r="G1705" t="s">
        <v>112</v>
      </c>
      <c r="H1705">
        <f t="shared" si="29"/>
        <v>9</v>
      </c>
      <c r="M1705" s="1">
        <v>-3.67915001697838E-3</v>
      </c>
      <c r="N1705">
        <v>1619.93225097656</v>
      </c>
      <c r="O1705">
        <v>540.98469999999895</v>
      </c>
      <c r="P1705">
        <v>1619.93591308594</v>
      </c>
      <c r="Q1705">
        <v>540.98590087890602</v>
      </c>
      <c r="R1705">
        <v>3</v>
      </c>
      <c r="S1705">
        <v>2</v>
      </c>
      <c r="T1705">
        <v>12</v>
      </c>
      <c r="U1705">
        <v>17.856000000000002</v>
      </c>
      <c r="V1705">
        <v>1635604</v>
      </c>
    </row>
    <row r="1706" spans="1:22" x14ac:dyDescent="0.25">
      <c r="A1706" t="s">
        <v>2249</v>
      </c>
      <c r="B1706" t="s">
        <v>2250</v>
      </c>
      <c r="C1706">
        <v>456</v>
      </c>
      <c r="D1706">
        <v>99</v>
      </c>
      <c r="E1706">
        <v>99</v>
      </c>
      <c r="F1706" t="s">
        <v>2251</v>
      </c>
      <c r="G1706" t="s">
        <v>2251</v>
      </c>
      <c r="H1706">
        <f t="shared" si="29"/>
        <v>15</v>
      </c>
      <c r="M1706" s="1">
        <v>-2.7615400031209001E-3</v>
      </c>
      <c r="N1706">
        <v>1790.03869628906</v>
      </c>
      <c r="O1706">
        <v>597.68679999999904</v>
      </c>
      <c r="P1706">
        <v>1790.04138183594</v>
      </c>
      <c r="Q1706">
        <v>597.687744140625</v>
      </c>
      <c r="R1706">
        <v>3</v>
      </c>
      <c r="S1706">
        <v>1</v>
      </c>
      <c r="T1706">
        <v>13</v>
      </c>
      <c r="U1706">
        <v>18.08747</v>
      </c>
      <c r="V1706">
        <v>1097222</v>
      </c>
    </row>
    <row r="1707" spans="1:22" x14ac:dyDescent="0.25">
      <c r="A1707" t="s">
        <v>2249</v>
      </c>
      <c r="B1707" t="s">
        <v>2250</v>
      </c>
      <c r="C1707">
        <v>456</v>
      </c>
      <c r="D1707">
        <v>99</v>
      </c>
      <c r="E1707">
        <v>99</v>
      </c>
      <c r="F1707" t="s">
        <v>2252</v>
      </c>
      <c r="G1707" t="s">
        <v>2252</v>
      </c>
      <c r="H1707">
        <f t="shared" si="29"/>
        <v>17</v>
      </c>
      <c r="M1707" s="1">
        <v>1.9083699444308901E-3</v>
      </c>
      <c r="N1707">
        <v>1312.70190429688</v>
      </c>
      <c r="O1707">
        <v>438.57459999999901</v>
      </c>
      <c r="P1707">
        <v>1312.70007324219</v>
      </c>
      <c r="Q1707">
        <v>438.57394409179602</v>
      </c>
      <c r="R1707">
        <v>3</v>
      </c>
      <c r="S1707">
        <v>1</v>
      </c>
      <c r="T1707">
        <v>10</v>
      </c>
      <c r="U1707">
        <v>23.381699999999899</v>
      </c>
      <c r="V1707">
        <v>355968.5</v>
      </c>
    </row>
    <row r="1708" spans="1:22" x14ac:dyDescent="0.25">
      <c r="A1708" t="s">
        <v>2249</v>
      </c>
      <c r="B1708" t="s">
        <v>2250</v>
      </c>
      <c r="C1708">
        <v>457</v>
      </c>
      <c r="D1708">
        <v>99</v>
      </c>
      <c r="E1708">
        <v>99</v>
      </c>
      <c r="F1708" t="s">
        <v>2253</v>
      </c>
      <c r="G1708" t="s">
        <v>2253</v>
      </c>
      <c r="H1708">
        <f t="shared" si="29"/>
        <v>14</v>
      </c>
      <c r="M1708">
        <v>1.7420000000000001E-3</v>
      </c>
      <c r="N1708">
        <v>1312.6640625</v>
      </c>
      <c r="O1708">
        <v>657.33929999999896</v>
      </c>
      <c r="P1708">
        <v>1312.66235351563</v>
      </c>
      <c r="Q1708">
        <v>657.33843994140602</v>
      </c>
      <c r="R1708">
        <v>2</v>
      </c>
      <c r="S1708">
        <v>1</v>
      </c>
      <c r="T1708">
        <v>17</v>
      </c>
      <c r="U1708">
        <v>25.769079999999899</v>
      </c>
      <c r="V1708">
        <v>428619.8</v>
      </c>
    </row>
    <row r="1709" spans="1:22" x14ac:dyDescent="0.25">
      <c r="A1709" t="s">
        <v>2249</v>
      </c>
      <c r="B1709" t="s">
        <v>2250</v>
      </c>
      <c r="C1709">
        <v>457</v>
      </c>
      <c r="D1709">
        <v>99</v>
      </c>
      <c r="E1709">
        <v>99</v>
      </c>
      <c r="F1709" t="s">
        <v>2254</v>
      </c>
      <c r="G1709" t="s">
        <v>2254</v>
      </c>
      <c r="H1709">
        <f t="shared" si="29"/>
        <v>16</v>
      </c>
      <c r="M1709" s="1">
        <v>4.1233501397073304E-3</v>
      </c>
      <c r="N1709">
        <v>1610.9033203125</v>
      </c>
      <c r="O1709">
        <v>806.45889999999895</v>
      </c>
      <c r="P1709">
        <v>1610.89916992188</v>
      </c>
      <c r="Q1709">
        <v>806.45684814453102</v>
      </c>
      <c r="R1709">
        <v>2</v>
      </c>
      <c r="S1709">
        <v>1</v>
      </c>
      <c r="T1709">
        <v>13</v>
      </c>
      <c r="U1709">
        <v>37.013550000000002</v>
      </c>
      <c r="V1709">
        <v>99904.92</v>
      </c>
    </row>
    <row r="1710" spans="1:22" x14ac:dyDescent="0.25">
      <c r="A1710" t="s">
        <v>2249</v>
      </c>
      <c r="B1710" t="s">
        <v>2250</v>
      </c>
      <c r="C1710">
        <v>457</v>
      </c>
      <c r="D1710">
        <v>99</v>
      </c>
      <c r="E1710">
        <v>99</v>
      </c>
      <c r="F1710" t="s">
        <v>2255</v>
      </c>
      <c r="G1710" t="s">
        <v>2255</v>
      </c>
      <c r="H1710">
        <f t="shared" si="29"/>
        <v>18</v>
      </c>
      <c r="M1710" s="1">
        <v>8.4662595763802407E-3</v>
      </c>
      <c r="N1710">
        <v>1476.75451660156</v>
      </c>
      <c r="O1710">
        <v>739.3845</v>
      </c>
      <c r="P1710">
        <v>1476.74597167969</v>
      </c>
      <c r="Q1710">
        <v>739.38031005859295</v>
      </c>
      <c r="R1710">
        <v>2</v>
      </c>
      <c r="S1710">
        <v>1</v>
      </c>
      <c r="T1710">
        <v>18</v>
      </c>
      <c r="U1710">
        <v>41.491750000000003</v>
      </c>
      <c r="V1710">
        <v>233866.8</v>
      </c>
    </row>
    <row r="1711" spans="1:22" x14ac:dyDescent="0.25">
      <c r="A1711" t="s">
        <v>2249</v>
      </c>
      <c r="B1711" t="s">
        <v>2250</v>
      </c>
      <c r="C1711">
        <v>458</v>
      </c>
      <c r="D1711">
        <v>99</v>
      </c>
      <c r="E1711">
        <v>99</v>
      </c>
      <c r="F1711" t="s">
        <v>2256</v>
      </c>
      <c r="G1711" t="s">
        <v>2256</v>
      </c>
      <c r="H1711">
        <f t="shared" si="29"/>
        <v>15</v>
      </c>
      <c r="M1711" s="1">
        <v>3.5300499293953202E-3</v>
      </c>
      <c r="N1711">
        <v>1223.63745117188</v>
      </c>
      <c r="O1711">
        <v>612.82600000000002</v>
      </c>
      <c r="P1711">
        <v>1223.63391113281</v>
      </c>
      <c r="Q1711">
        <v>612.82421875</v>
      </c>
      <c r="R1711">
        <v>2</v>
      </c>
      <c r="S1711">
        <v>1</v>
      </c>
      <c r="T1711">
        <v>12</v>
      </c>
      <c r="U1711">
        <v>49.824950000000001</v>
      </c>
      <c r="V1711">
        <v>3326143</v>
      </c>
    </row>
    <row r="1712" spans="1:22" x14ac:dyDescent="0.25">
      <c r="A1712" t="s">
        <v>2249</v>
      </c>
      <c r="B1712" t="s">
        <v>2250</v>
      </c>
      <c r="C1712">
        <v>458</v>
      </c>
      <c r="D1712">
        <v>99</v>
      </c>
      <c r="E1712">
        <v>99</v>
      </c>
      <c r="F1712" t="s">
        <v>2256</v>
      </c>
      <c r="G1712" t="s">
        <v>2256</v>
      </c>
      <c r="H1712">
        <f t="shared" si="29"/>
        <v>15</v>
      </c>
      <c r="L1712" t="s">
        <v>222</v>
      </c>
      <c r="M1712" s="1">
        <v>-2.4982299655675901E-3</v>
      </c>
      <c r="N1712">
        <v>1287.56665039063</v>
      </c>
      <c r="O1712">
        <v>644.79060000000004</v>
      </c>
      <c r="P1712">
        <v>1287.56909179688</v>
      </c>
      <c r="Q1712">
        <v>644.79180908203102</v>
      </c>
      <c r="R1712">
        <v>2</v>
      </c>
      <c r="S1712">
        <v>1</v>
      </c>
      <c r="T1712">
        <v>10</v>
      </c>
      <c r="U1712">
        <v>28.42878</v>
      </c>
      <c r="V1712">
        <v>90930.81</v>
      </c>
    </row>
    <row r="1713" spans="1:22" x14ac:dyDescent="0.25">
      <c r="A1713" t="s">
        <v>4541</v>
      </c>
      <c r="B1713" t="s">
        <v>4542</v>
      </c>
      <c r="C1713">
        <v>614</v>
      </c>
      <c r="D1713">
        <v>99</v>
      </c>
      <c r="E1713">
        <v>99</v>
      </c>
      <c r="F1713" t="s">
        <v>4543</v>
      </c>
      <c r="G1713" t="s">
        <v>4543</v>
      </c>
      <c r="H1713">
        <f t="shared" si="29"/>
        <v>14</v>
      </c>
      <c r="M1713">
        <v>2.5000000000000001E-3</v>
      </c>
      <c r="N1713">
        <v>1150.59423828125</v>
      </c>
      <c r="O1713">
        <v>576.30439999999896</v>
      </c>
      <c r="P1713">
        <v>1150.59167480469</v>
      </c>
      <c r="Q1713">
        <v>576.30316162109295</v>
      </c>
      <c r="R1713">
        <v>2</v>
      </c>
      <c r="S1713">
        <v>1</v>
      </c>
      <c r="T1713">
        <v>11</v>
      </c>
      <c r="U1713">
        <v>23.604050000000001</v>
      </c>
      <c r="V1713">
        <v>696318.9</v>
      </c>
    </row>
    <row r="1714" spans="1:22" x14ac:dyDescent="0.25">
      <c r="A1714" t="s">
        <v>4541</v>
      </c>
      <c r="B1714" t="s">
        <v>4542</v>
      </c>
      <c r="C1714">
        <v>615</v>
      </c>
      <c r="D1714">
        <v>97.5</v>
      </c>
      <c r="E1714">
        <v>97.47</v>
      </c>
      <c r="F1714" t="s">
        <v>4544</v>
      </c>
      <c r="G1714" t="s">
        <v>4544</v>
      </c>
      <c r="H1714">
        <f t="shared" si="29"/>
        <v>13</v>
      </c>
      <c r="M1714" s="1">
        <v>-2.51586991362274E-3</v>
      </c>
      <c r="N1714">
        <v>1948.92541503906</v>
      </c>
      <c r="O1714">
        <v>975.47</v>
      </c>
      <c r="P1714">
        <v>1948.92785644531</v>
      </c>
      <c r="Q1714">
        <v>975.47125244140602</v>
      </c>
      <c r="R1714">
        <v>2</v>
      </c>
      <c r="S1714">
        <v>2</v>
      </c>
      <c r="T1714">
        <v>14</v>
      </c>
      <c r="U1714">
        <v>31.21932</v>
      </c>
      <c r="V1714">
        <v>541977</v>
      </c>
    </row>
    <row r="1715" spans="1:22" x14ac:dyDescent="0.25">
      <c r="A1715" t="s">
        <v>4541</v>
      </c>
      <c r="B1715" t="s">
        <v>4542</v>
      </c>
      <c r="C1715">
        <v>566</v>
      </c>
      <c r="D1715">
        <v>99</v>
      </c>
      <c r="E1715">
        <v>99</v>
      </c>
      <c r="F1715" t="s">
        <v>4545</v>
      </c>
      <c r="G1715" t="s">
        <v>4545</v>
      </c>
      <c r="H1715">
        <f t="shared" si="29"/>
        <v>14</v>
      </c>
      <c r="M1715" s="1">
        <v>1.8652899889275299E-3</v>
      </c>
      <c r="N1715">
        <v>1253.66748046875</v>
      </c>
      <c r="O1715">
        <v>627.84100000000001</v>
      </c>
      <c r="P1715">
        <v>1253.66564941406</v>
      </c>
      <c r="Q1715">
        <v>627.840087890625</v>
      </c>
      <c r="R1715">
        <v>2</v>
      </c>
      <c r="S1715">
        <v>1</v>
      </c>
      <c r="T1715">
        <v>10</v>
      </c>
      <c r="U1715">
        <v>38.809150000000002</v>
      </c>
      <c r="V1715">
        <v>569405.69999999902</v>
      </c>
    </row>
    <row r="1716" spans="1:22" x14ac:dyDescent="0.25">
      <c r="A1716" t="s">
        <v>3121</v>
      </c>
      <c r="B1716" t="s">
        <v>3122</v>
      </c>
      <c r="C1716">
        <v>559</v>
      </c>
      <c r="D1716">
        <v>99</v>
      </c>
      <c r="E1716">
        <v>99</v>
      </c>
      <c r="F1716" t="s">
        <v>3123</v>
      </c>
      <c r="G1716" t="s">
        <v>3123</v>
      </c>
      <c r="H1716">
        <f t="shared" si="29"/>
        <v>14</v>
      </c>
      <c r="M1716" s="1">
        <v>-1.4408799819648301E-2</v>
      </c>
      <c r="N1716">
        <v>1513.67248535156</v>
      </c>
      <c r="O1716">
        <v>505.56479999999902</v>
      </c>
      <c r="P1716">
        <v>1513.68688964844</v>
      </c>
      <c r="Q1716">
        <v>505.569580078125</v>
      </c>
      <c r="R1716">
        <v>3</v>
      </c>
      <c r="S1716">
        <v>1</v>
      </c>
      <c r="T1716">
        <v>9</v>
      </c>
      <c r="U1716">
        <v>18.220099999999899</v>
      </c>
      <c r="V1716">
        <v>78307.08</v>
      </c>
    </row>
    <row r="1717" spans="1:22" x14ac:dyDescent="0.25">
      <c r="A1717" t="s">
        <v>1871</v>
      </c>
      <c r="B1717" t="s">
        <v>1872</v>
      </c>
      <c r="C1717">
        <v>93</v>
      </c>
      <c r="D1717">
        <v>99</v>
      </c>
      <c r="E1717">
        <v>99</v>
      </c>
      <c r="F1717" t="s">
        <v>1873</v>
      </c>
      <c r="G1717" t="s">
        <v>1873</v>
      </c>
      <c r="H1717">
        <f t="shared" si="29"/>
        <v>22</v>
      </c>
      <c r="L1717" t="s">
        <v>1104</v>
      </c>
      <c r="M1717" s="1">
        <v>5.1385201513767104E-3</v>
      </c>
      <c r="N1717">
        <v>2072.99365234375</v>
      </c>
      <c r="O1717">
        <v>692.00509999999895</v>
      </c>
      <c r="P1717">
        <v>2072.98852539063</v>
      </c>
      <c r="Q1717">
        <v>692.00341796875</v>
      </c>
      <c r="R1717">
        <v>3</v>
      </c>
      <c r="S1717">
        <v>1</v>
      </c>
      <c r="T1717">
        <v>11</v>
      </c>
      <c r="U1717">
        <v>25.809950000000001</v>
      </c>
      <c r="V1717">
        <v>242156</v>
      </c>
    </row>
    <row r="1718" spans="1:22" x14ac:dyDescent="0.25">
      <c r="A1718" t="s">
        <v>2123</v>
      </c>
      <c r="B1718" t="s">
        <v>2124</v>
      </c>
      <c r="C1718">
        <v>43</v>
      </c>
      <c r="D1718">
        <v>99</v>
      </c>
      <c r="E1718">
        <v>99</v>
      </c>
      <c r="F1718" t="s">
        <v>2125</v>
      </c>
      <c r="G1718" t="s">
        <v>2125</v>
      </c>
      <c r="H1718">
        <f t="shared" si="29"/>
        <v>27</v>
      </c>
      <c r="M1718" s="1">
        <v>-9.6644397126510598E-4</v>
      </c>
      <c r="N1718">
        <v>2057.23510742188</v>
      </c>
      <c r="O1718">
        <v>686.75229999999897</v>
      </c>
      <c r="P1718">
        <v>2057.23608398438</v>
      </c>
      <c r="Q1718">
        <v>686.75262451171795</v>
      </c>
      <c r="R1718">
        <v>3</v>
      </c>
      <c r="S1718">
        <v>2</v>
      </c>
      <c r="T1718">
        <v>14</v>
      </c>
      <c r="U1718">
        <v>44.372419999999899</v>
      </c>
      <c r="V1718">
        <v>385899.2</v>
      </c>
    </row>
    <row r="1719" spans="1:22" x14ac:dyDescent="0.25">
      <c r="A1719" t="s">
        <v>2126</v>
      </c>
      <c r="B1719" t="s">
        <v>2127</v>
      </c>
      <c r="C1719">
        <v>225</v>
      </c>
      <c r="D1719">
        <v>98.7</v>
      </c>
      <c r="E1719">
        <v>98.72</v>
      </c>
      <c r="F1719" t="s">
        <v>2128</v>
      </c>
      <c r="G1719" t="s">
        <v>2128</v>
      </c>
      <c r="H1719">
        <f t="shared" si="29"/>
        <v>18</v>
      </c>
      <c r="M1719" s="1">
        <v>1.81579997297376E-3</v>
      </c>
      <c r="N1719">
        <v>1093.56469726563</v>
      </c>
      <c r="O1719">
        <v>547.78959999999904</v>
      </c>
      <c r="P1719">
        <v>1093.56286621094</v>
      </c>
      <c r="Q1719">
        <v>547.78869628906205</v>
      </c>
      <c r="R1719">
        <v>2</v>
      </c>
      <c r="S1719">
        <v>2</v>
      </c>
      <c r="T1719">
        <v>10</v>
      </c>
      <c r="U1719">
        <v>24.138100000000001</v>
      </c>
      <c r="V1719">
        <v>928530.7</v>
      </c>
    </row>
    <row r="1720" spans="1:22" x14ac:dyDescent="0.25">
      <c r="A1720" t="s">
        <v>2126</v>
      </c>
      <c r="B1720" t="s">
        <v>2127</v>
      </c>
      <c r="C1720">
        <v>225</v>
      </c>
      <c r="D1720">
        <v>99</v>
      </c>
      <c r="E1720">
        <v>99</v>
      </c>
      <c r="F1720" t="s">
        <v>2129</v>
      </c>
      <c r="G1720" t="s">
        <v>2129</v>
      </c>
      <c r="H1720">
        <f t="shared" si="29"/>
        <v>19</v>
      </c>
      <c r="M1720">
        <v>-3.1000000000000001E-5</v>
      </c>
      <c r="N1720">
        <v>1070.58325195313</v>
      </c>
      <c r="O1720">
        <v>536.2989</v>
      </c>
      <c r="P1720">
        <v>1070.58325195313</v>
      </c>
      <c r="Q1720">
        <v>536.29888916015602</v>
      </c>
      <c r="R1720">
        <v>2</v>
      </c>
      <c r="S1720">
        <v>1</v>
      </c>
      <c r="T1720">
        <v>11</v>
      </c>
      <c r="U1720">
        <v>22.8582</v>
      </c>
      <c r="V1720">
        <v>4654705</v>
      </c>
    </row>
    <row r="1721" spans="1:22" x14ac:dyDescent="0.25">
      <c r="A1721" t="s">
        <v>2126</v>
      </c>
      <c r="B1721" t="s">
        <v>2127</v>
      </c>
      <c r="C1721">
        <v>372</v>
      </c>
      <c r="D1721">
        <v>97.6</v>
      </c>
      <c r="E1721">
        <v>97.57</v>
      </c>
      <c r="F1721" t="s">
        <v>2130</v>
      </c>
      <c r="G1721" t="s">
        <v>2130</v>
      </c>
      <c r="H1721">
        <f t="shared" si="29"/>
        <v>12</v>
      </c>
      <c r="M1721" s="1">
        <v>4.5042499550618101E-4</v>
      </c>
      <c r="N1721">
        <v>1159.71936035156</v>
      </c>
      <c r="O1721">
        <v>387.5804</v>
      </c>
      <c r="P1721">
        <v>1159.71899414063</v>
      </c>
      <c r="Q1721">
        <v>387.58026123046801</v>
      </c>
      <c r="R1721">
        <v>3</v>
      </c>
      <c r="S1721">
        <v>4</v>
      </c>
      <c r="T1721">
        <v>11</v>
      </c>
      <c r="U1721">
        <v>24.581230000000001</v>
      </c>
      <c r="V1721">
        <v>3555738</v>
      </c>
    </row>
    <row r="1722" spans="1:22" x14ac:dyDescent="0.25">
      <c r="A1722" t="s">
        <v>2126</v>
      </c>
      <c r="B1722" t="s">
        <v>2127</v>
      </c>
      <c r="C1722">
        <v>372</v>
      </c>
      <c r="D1722">
        <v>99</v>
      </c>
      <c r="E1722">
        <v>99</v>
      </c>
      <c r="F1722" t="s">
        <v>2131</v>
      </c>
      <c r="G1722" t="s">
        <v>2131</v>
      </c>
      <c r="H1722">
        <f t="shared" si="29"/>
        <v>19</v>
      </c>
      <c r="M1722">
        <v>2.5399999999999999E-4</v>
      </c>
      <c r="N1722">
        <v>1089.55383300781</v>
      </c>
      <c r="O1722">
        <v>545.78420000000006</v>
      </c>
      <c r="P1722">
        <v>1089.55358886719</v>
      </c>
      <c r="Q1722">
        <v>545.78405761718705</v>
      </c>
      <c r="R1722">
        <v>2</v>
      </c>
      <c r="S1722">
        <v>3</v>
      </c>
      <c r="T1722">
        <v>10</v>
      </c>
      <c r="U1722">
        <v>25.156099999999899</v>
      </c>
      <c r="V1722">
        <v>901895.6</v>
      </c>
    </row>
    <row r="1723" spans="1:22" x14ac:dyDescent="0.25">
      <c r="A1723" t="s">
        <v>2126</v>
      </c>
      <c r="B1723" t="s">
        <v>2127</v>
      </c>
      <c r="C1723">
        <v>224</v>
      </c>
      <c r="D1723">
        <v>99</v>
      </c>
      <c r="E1723">
        <v>99</v>
      </c>
      <c r="F1723" t="s">
        <v>2132</v>
      </c>
      <c r="G1723" t="s">
        <v>2132</v>
      </c>
      <c r="H1723">
        <f t="shared" si="29"/>
        <v>20</v>
      </c>
      <c r="M1723">
        <v>3.803E-3</v>
      </c>
      <c r="N1723">
        <v>1136.64929199219</v>
      </c>
      <c r="O1723">
        <v>569.33190000000002</v>
      </c>
      <c r="P1723">
        <v>1136.6455078125</v>
      </c>
      <c r="Q1723">
        <v>569.33001708984295</v>
      </c>
      <c r="R1723">
        <v>2</v>
      </c>
      <c r="S1723">
        <v>2</v>
      </c>
      <c r="T1723">
        <v>13</v>
      </c>
      <c r="U1723">
        <v>34.923380000000002</v>
      </c>
      <c r="V1723">
        <v>1926646</v>
      </c>
    </row>
    <row r="1724" spans="1:22" x14ac:dyDescent="0.25">
      <c r="A1724" t="s">
        <v>2126</v>
      </c>
      <c r="B1724" t="s">
        <v>2127</v>
      </c>
      <c r="C1724">
        <v>117</v>
      </c>
      <c r="D1724">
        <v>99</v>
      </c>
      <c r="E1724">
        <v>99</v>
      </c>
      <c r="F1724" t="s">
        <v>2133</v>
      </c>
      <c r="G1724" t="s">
        <v>2133</v>
      </c>
      <c r="H1724">
        <f t="shared" si="29"/>
        <v>10</v>
      </c>
      <c r="M1724" s="1">
        <v>4.7135800123214704E-3</v>
      </c>
      <c r="N1724">
        <v>1196.59069824219</v>
      </c>
      <c r="O1724">
        <v>599.30259999999896</v>
      </c>
      <c r="P1724">
        <v>1196.5859375</v>
      </c>
      <c r="Q1724">
        <v>599.30023193359295</v>
      </c>
      <c r="R1724">
        <v>2</v>
      </c>
      <c r="S1724">
        <v>2</v>
      </c>
      <c r="T1724">
        <v>12</v>
      </c>
      <c r="U1724">
        <v>27.5499499999999</v>
      </c>
      <c r="V1724">
        <v>480649</v>
      </c>
    </row>
    <row r="1725" spans="1:22" x14ac:dyDescent="0.25">
      <c r="A1725" t="s">
        <v>2126</v>
      </c>
      <c r="B1725" t="s">
        <v>2127</v>
      </c>
      <c r="C1725">
        <v>227</v>
      </c>
      <c r="D1725">
        <v>99</v>
      </c>
      <c r="E1725">
        <v>99</v>
      </c>
      <c r="F1725" t="s">
        <v>2134</v>
      </c>
      <c r="G1725" t="s">
        <v>2134</v>
      </c>
      <c r="H1725">
        <f t="shared" si="29"/>
        <v>17</v>
      </c>
      <c r="M1725" s="1">
        <v>3.23355989530683E-3</v>
      </c>
      <c r="N1725">
        <v>1133.65893554688</v>
      </c>
      <c r="O1725">
        <v>378.89359999999903</v>
      </c>
      <c r="P1725">
        <v>1133.65563964844</v>
      </c>
      <c r="Q1725">
        <v>378.89251708984301</v>
      </c>
      <c r="R1725">
        <v>3</v>
      </c>
      <c r="S1725">
        <v>1</v>
      </c>
      <c r="T1725">
        <v>10</v>
      </c>
      <c r="U1725">
        <v>30.218699999999899</v>
      </c>
      <c r="V1725">
        <v>731768.4</v>
      </c>
    </row>
    <row r="1726" spans="1:22" x14ac:dyDescent="0.25">
      <c r="A1726" t="s">
        <v>2126</v>
      </c>
      <c r="B1726" t="s">
        <v>2127</v>
      </c>
      <c r="C1726">
        <v>1</v>
      </c>
      <c r="D1726">
        <v>99</v>
      </c>
      <c r="E1726">
        <v>99</v>
      </c>
      <c r="F1726" t="s">
        <v>2135</v>
      </c>
      <c r="G1726" t="s">
        <v>2135</v>
      </c>
      <c r="H1726">
        <f t="shared" si="29"/>
        <v>11</v>
      </c>
      <c r="L1726" t="s">
        <v>227</v>
      </c>
      <c r="M1726" s="1">
        <v>1.53387000318617E-3</v>
      </c>
      <c r="N1726">
        <v>1831.9306640625</v>
      </c>
      <c r="O1726">
        <v>611.6508</v>
      </c>
      <c r="P1726">
        <v>1831.92907714844</v>
      </c>
      <c r="Q1726">
        <v>611.65032958984295</v>
      </c>
      <c r="R1726">
        <v>3</v>
      </c>
      <c r="S1726">
        <v>2</v>
      </c>
      <c r="T1726">
        <v>10</v>
      </c>
      <c r="U1726">
        <v>28.12088</v>
      </c>
      <c r="V1726">
        <v>190401.2</v>
      </c>
    </row>
    <row r="1727" spans="1:22" x14ac:dyDescent="0.25">
      <c r="A1727" t="s">
        <v>2126</v>
      </c>
      <c r="B1727" t="s">
        <v>2127</v>
      </c>
      <c r="C1727">
        <v>1</v>
      </c>
      <c r="D1727">
        <v>99</v>
      </c>
      <c r="E1727">
        <v>99</v>
      </c>
      <c r="F1727" t="s">
        <v>2136</v>
      </c>
      <c r="G1727" t="s">
        <v>2136</v>
      </c>
      <c r="H1727">
        <f t="shared" si="29"/>
        <v>14</v>
      </c>
      <c r="L1727" t="s">
        <v>227</v>
      </c>
      <c r="M1727" s="1">
        <v>5.6547801941633103E-3</v>
      </c>
      <c r="N1727">
        <v>1928.98754882813</v>
      </c>
      <c r="O1727">
        <v>644.00310000000002</v>
      </c>
      <c r="P1727">
        <v>1928.98181152344</v>
      </c>
      <c r="Q1727">
        <v>644.001220703125</v>
      </c>
      <c r="R1727">
        <v>3</v>
      </c>
      <c r="S1727">
        <v>2</v>
      </c>
      <c r="T1727">
        <v>10</v>
      </c>
      <c r="U1727">
        <v>29.14828</v>
      </c>
      <c r="V1727">
        <v>275653.40000000002</v>
      </c>
    </row>
    <row r="1728" spans="1:22" x14ac:dyDescent="0.25">
      <c r="A1728" t="s">
        <v>1160</v>
      </c>
      <c r="B1728" t="s">
        <v>1161</v>
      </c>
      <c r="C1728">
        <v>570</v>
      </c>
      <c r="D1728">
        <v>99</v>
      </c>
      <c r="E1728">
        <v>99</v>
      </c>
      <c r="F1728" t="s">
        <v>1162</v>
      </c>
      <c r="G1728" t="s">
        <v>1162</v>
      </c>
      <c r="H1728">
        <f t="shared" si="29"/>
        <v>12</v>
      </c>
      <c r="M1728" s="1">
        <v>2.06992006860672E-3</v>
      </c>
      <c r="N1728">
        <v>1110.52612304688</v>
      </c>
      <c r="O1728">
        <v>556.27030000000002</v>
      </c>
      <c r="P1728">
        <v>1110.52404785156</v>
      </c>
      <c r="Q1728">
        <v>556.269287109375</v>
      </c>
      <c r="R1728">
        <v>2</v>
      </c>
      <c r="S1728">
        <v>1</v>
      </c>
      <c r="T1728">
        <v>12</v>
      </c>
      <c r="U1728">
        <v>22.3436799999999</v>
      </c>
      <c r="V1728">
        <v>2210617</v>
      </c>
    </row>
    <row r="1729" spans="1:22" x14ac:dyDescent="0.25">
      <c r="A1729" t="s">
        <v>1160</v>
      </c>
      <c r="B1729" t="s">
        <v>1161</v>
      </c>
      <c r="C1729">
        <v>173</v>
      </c>
      <c r="D1729">
        <v>99</v>
      </c>
      <c r="E1729">
        <v>99</v>
      </c>
      <c r="F1729" t="s">
        <v>1163</v>
      </c>
      <c r="G1729" t="s">
        <v>1163</v>
      </c>
      <c r="H1729">
        <f t="shared" si="29"/>
        <v>11</v>
      </c>
      <c r="M1729" s="1">
        <v>2.1342600230127499E-3</v>
      </c>
      <c r="N1729">
        <v>1227.6494140625</v>
      </c>
      <c r="O1729">
        <v>614.83199999999897</v>
      </c>
      <c r="P1729">
        <v>1227.64721679688</v>
      </c>
      <c r="Q1729">
        <v>614.83093261718705</v>
      </c>
      <c r="R1729">
        <v>2</v>
      </c>
      <c r="S1729">
        <v>1</v>
      </c>
      <c r="T1729">
        <v>11</v>
      </c>
      <c r="U1729">
        <v>29.504580000000001</v>
      </c>
      <c r="V1729">
        <v>638722.1</v>
      </c>
    </row>
    <row r="1730" spans="1:22" x14ac:dyDescent="0.25">
      <c r="A1730" t="s">
        <v>1160</v>
      </c>
      <c r="B1730" t="s">
        <v>1161</v>
      </c>
      <c r="C1730">
        <v>170</v>
      </c>
      <c r="D1730">
        <v>99</v>
      </c>
      <c r="E1730">
        <v>99</v>
      </c>
      <c r="F1730" t="s">
        <v>1164</v>
      </c>
      <c r="G1730" t="s">
        <v>1164</v>
      </c>
      <c r="H1730">
        <f t="shared" si="29"/>
        <v>14</v>
      </c>
      <c r="M1730" s="1">
        <v>4.13178000599146E-4</v>
      </c>
      <c r="N1730">
        <v>1146.58984375</v>
      </c>
      <c r="O1730">
        <v>574.30219999999895</v>
      </c>
      <c r="P1730">
        <v>1146.58935546875</v>
      </c>
      <c r="Q1730">
        <v>574.302001953125</v>
      </c>
      <c r="R1730">
        <v>2</v>
      </c>
      <c r="S1730">
        <v>5</v>
      </c>
      <c r="T1730">
        <v>11</v>
      </c>
      <c r="U1730">
        <v>22.133130000000001</v>
      </c>
      <c r="V1730">
        <v>1720016</v>
      </c>
    </row>
    <row r="1731" spans="1:22" x14ac:dyDescent="0.25">
      <c r="A1731" t="s">
        <v>1160</v>
      </c>
      <c r="B1731" t="s">
        <v>1161</v>
      </c>
      <c r="C1731">
        <v>66</v>
      </c>
      <c r="D1731">
        <v>99</v>
      </c>
      <c r="E1731">
        <v>99</v>
      </c>
      <c r="F1731" t="s">
        <v>1165</v>
      </c>
      <c r="G1731" t="s">
        <v>1165</v>
      </c>
      <c r="H1731">
        <f t="shared" ref="H1731:H1794" si="30">LEN(G1731)</f>
        <v>10</v>
      </c>
      <c r="M1731" s="1">
        <v>-4.7134701162576701E-3</v>
      </c>
      <c r="N1731">
        <v>1211.67272949219</v>
      </c>
      <c r="O1731">
        <v>1212.68</v>
      </c>
      <c r="P1731">
        <v>1211.67749023438</v>
      </c>
      <c r="Q1731">
        <v>1212.68481445313</v>
      </c>
      <c r="R1731">
        <v>1</v>
      </c>
      <c r="S1731">
        <v>5</v>
      </c>
      <c r="T1731">
        <v>9</v>
      </c>
      <c r="U1731">
        <v>22.81738</v>
      </c>
      <c r="V1731">
        <v>3155637</v>
      </c>
    </row>
    <row r="1732" spans="1:22" x14ac:dyDescent="0.25">
      <c r="A1732" t="s">
        <v>1160</v>
      </c>
      <c r="B1732" t="s">
        <v>1161</v>
      </c>
      <c r="C1732">
        <v>25</v>
      </c>
      <c r="D1732">
        <v>98.3</v>
      </c>
      <c r="E1732">
        <v>98.3</v>
      </c>
      <c r="F1732" t="s">
        <v>1166</v>
      </c>
      <c r="G1732" t="s">
        <v>1166</v>
      </c>
      <c r="H1732">
        <f t="shared" si="30"/>
        <v>11</v>
      </c>
      <c r="M1732" s="1">
        <v>2.9657001141458802E-3</v>
      </c>
      <c r="N1732">
        <v>998.59027099609295</v>
      </c>
      <c r="O1732">
        <v>500.30239999999901</v>
      </c>
      <c r="P1732">
        <v>998.58728027343705</v>
      </c>
      <c r="Q1732">
        <v>500.30090332031301</v>
      </c>
      <c r="R1732">
        <v>2</v>
      </c>
      <c r="S1732">
        <v>2</v>
      </c>
      <c r="T1732">
        <v>11</v>
      </c>
      <c r="U1732">
        <v>32.23592</v>
      </c>
      <c r="V1732">
        <v>905910</v>
      </c>
    </row>
    <row r="1733" spans="1:22" x14ac:dyDescent="0.25">
      <c r="A1733" t="s">
        <v>1160</v>
      </c>
      <c r="B1733" t="s">
        <v>1161</v>
      </c>
      <c r="C1733">
        <v>25</v>
      </c>
      <c r="D1733">
        <v>98.3</v>
      </c>
      <c r="E1733">
        <v>98.33</v>
      </c>
      <c r="F1733" t="s">
        <v>1167</v>
      </c>
      <c r="G1733" t="s">
        <v>1167</v>
      </c>
      <c r="H1733">
        <f t="shared" si="30"/>
        <v>22</v>
      </c>
      <c r="M1733" s="1">
        <v>3.9908899925649201E-3</v>
      </c>
      <c r="N1733">
        <v>999.60046386718705</v>
      </c>
      <c r="O1733">
        <v>500.8075</v>
      </c>
      <c r="P1733">
        <v>999.596435546875</v>
      </c>
      <c r="Q1733">
        <v>500.80551147460801</v>
      </c>
      <c r="R1733">
        <v>2</v>
      </c>
      <c r="S1733">
        <v>2</v>
      </c>
      <c r="T1733">
        <v>9</v>
      </c>
      <c r="U1733">
        <v>37.598219999999898</v>
      </c>
      <c r="V1733">
        <v>107544.8</v>
      </c>
    </row>
    <row r="1734" spans="1:22" x14ac:dyDescent="0.25">
      <c r="A1734" t="s">
        <v>1160</v>
      </c>
      <c r="B1734" t="s">
        <v>1161</v>
      </c>
      <c r="C1734">
        <v>427</v>
      </c>
      <c r="D1734">
        <v>97.5</v>
      </c>
      <c r="E1734">
        <v>97.54</v>
      </c>
      <c r="F1734" t="s">
        <v>1168</v>
      </c>
      <c r="G1734" t="s">
        <v>1168</v>
      </c>
      <c r="H1734">
        <f t="shared" si="30"/>
        <v>8</v>
      </c>
      <c r="M1734" s="1">
        <v>2.7215899899601902E-3</v>
      </c>
      <c r="N1734">
        <v>1100.57543945313</v>
      </c>
      <c r="O1734">
        <v>551.29499999999905</v>
      </c>
      <c r="P1734">
        <v>1100.57263183594</v>
      </c>
      <c r="Q1734">
        <v>551.29364013671795</v>
      </c>
      <c r="R1734">
        <v>2</v>
      </c>
      <c r="S1734">
        <v>1</v>
      </c>
      <c r="T1734">
        <v>10</v>
      </c>
      <c r="U1734">
        <v>23.168220000000002</v>
      </c>
      <c r="V1734">
        <v>3202134</v>
      </c>
    </row>
    <row r="1735" spans="1:22" x14ac:dyDescent="0.25">
      <c r="A1735" t="s">
        <v>1160</v>
      </c>
      <c r="B1735" t="s">
        <v>1161</v>
      </c>
      <c r="C1735">
        <v>438</v>
      </c>
      <c r="D1735">
        <v>98.9</v>
      </c>
      <c r="E1735">
        <v>98.94</v>
      </c>
      <c r="F1735" t="s">
        <v>1169</v>
      </c>
      <c r="G1735" t="s">
        <v>1169</v>
      </c>
      <c r="H1735">
        <f t="shared" si="30"/>
        <v>15</v>
      </c>
      <c r="M1735" s="1">
        <v>2.8433899860829102E-3</v>
      </c>
      <c r="N1735">
        <v>1610.63610839844</v>
      </c>
      <c r="O1735">
        <v>806.32529999999895</v>
      </c>
      <c r="P1735">
        <v>1610.63317871094</v>
      </c>
      <c r="Q1735">
        <v>806.32391357421795</v>
      </c>
      <c r="R1735">
        <v>2</v>
      </c>
      <c r="S1735">
        <v>1</v>
      </c>
      <c r="T1735">
        <v>11</v>
      </c>
      <c r="U1735">
        <v>28.254750000000001</v>
      </c>
      <c r="V1735">
        <v>202123.7</v>
      </c>
    </row>
    <row r="1736" spans="1:22" x14ac:dyDescent="0.25">
      <c r="A1736" t="s">
        <v>1160</v>
      </c>
      <c r="B1736" t="s">
        <v>1161</v>
      </c>
      <c r="C1736">
        <v>550</v>
      </c>
      <c r="D1736">
        <v>97.2</v>
      </c>
      <c r="E1736">
        <v>97.24</v>
      </c>
      <c r="F1736" t="s">
        <v>1170</v>
      </c>
      <c r="G1736" t="s">
        <v>1170</v>
      </c>
      <c r="H1736">
        <f t="shared" si="30"/>
        <v>9</v>
      </c>
      <c r="M1736" s="1">
        <v>-2.05743010155857E-3</v>
      </c>
      <c r="N1736">
        <v>1113.60229492188</v>
      </c>
      <c r="O1736">
        <v>557.80840000000001</v>
      </c>
      <c r="P1736">
        <v>1113.60437011719</v>
      </c>
      <c r="Q1736">
        <v>557.80944824218705</v>
      </c>
      <c r="R1736">
        <v>2</v>
      </c>
      <c r="S1736">
        <v>2</v>
      </c>
      <c r="T1736">
        <v>11</v>
      </c>
      <c r="U1736">
        <v>22.431170000000002</v>
      </c>
      <c r="V1736">
        <v>2859705</v>
      </c>
    </row>
    <row r="1737" spans="1:22" x14ac:dyDescent="0.25">
      <c r="A1737" t="s">
        <v>1160</v>
      </c>
      <c r="B1737" t="s">
        <v>1161</v>
      </c>
      <c r="C1737">
        <v>361</v>
      </c>
      <c r="D1737">
        <v>99</v>
      </c>
      <c r="E1737">
        <v>99</v>
      </c>
      <c r="F1737" t="s">
        <v>1171</v>
      </c>
      <c r="G1737" t="s">
        <v>1171</v>
      </c>
      <c r="H1737">
        <f t="shared" si="30"/>
        <v>12</v>
      </c>
      <c r="M1737" s="1">
        <v>3.75828007236123E-3</v>
      </c>
      <c r="N1737">
        <v>1476.72802734375</v>
      </c>
      <c r="O1737">
        <v>739.37130000000002</v>
      </c>
      <c r="P1737">
        <v>1476.72424316406</v>
      </c>
      <c r="Q1737">
        <v>739.369384765625</v>
      </c>
      <c r="R1737">
        <v>2</v>
      </c>
      <c r="S1737">
        <v>1</v>
      </c>
      <c r="T1737">
        <v>11</v>
      </c>
      <c r="U1737">
        <v>29.596430000000002</v>
      </c>
      <c r="V1737">
        <v>260165.8</v>
      </c>
    </row>
    <row r="1738" spans="1:22" x14ac:dyDescent="0.25">
      <c r="A1738" t="s">
        <v>1160</v>
      </c>
      <c r="B1738" t="s">
        <v>1161</v>
      </c>
      <c r="C1738">
        <v>570</v>
      </c>
      <c r="D1738">
        <v>98.5</v>
      </c>
      <c r="E1738">
        <v>98.47</v>
      </c>
      <c r="F1738" t="s">
        <v>1162</v>
      </c>
      <c r="G1738" t="s">
        <v>1162</v>
      </c>
      <c r="H1738">
        <f t="shared" si="30"/>
        <v>12</v>
      </c>
      <c r="L1738" t="s">
        <v>1172</v>
      </c>
      <c r="M1738" s="1">
        <v>2.6655400171875902E-2</v>
      </c>
      <c r="N1738">
        <v>2860.38818359375</v>
      </c>
      <c r="O1738">
        <v>954.47</v>
      </c>
      <c r="P1738">
        <v>2860.361328125</v>
      </c>
      <c r="Q1738">
        <v>954.46105957031205</v>
      </c>
      <c r="R1738">
        <v>3</v>
      </c>
      <c r="S1738">
        <v>1</v>
      </c>
      <c r="T1738">
        <v>11</v>
      </c>
      <c r="U1738">
        <v>46.019779999999898</v>
      </c>
      <c r="V1738">
        <v>263217</v>
      </c>
    </row>
    <row r="1739" spans="1:22" x14ac:dyDescent="0.25">
      <c r="A1739" t="s">
        <v>1160</v>
      </c>
      <c r="B1739" t="s">
        <v>1161</v>
      </c>
      <c r="C1739">
        <v>570</v>
      </c>
      <c r="D1739">
        <v>99</v>
      </c>
      <c r="E1739">
        <v>99</v>
      </c>
      <c r="F1739" t="s">
        <v>1162</v>
      </c>
      <c r="G1739" t="s">
        <v>1162</v>
      </c>
      <c r="H1739">
        <f t="shared" si="30"/>
        <v>12</v>
      </c>
      <c r="L1739" t="s">
        <v>52</v>
      </c>
      <c r="M1739" s="1">
        <v>1.2626199750229599E-3</v>
      </c>
      <c r="N1739">
        <v>1357.76184082031</v>
      </c>
      <c r="O1739">
        <v>679.88819999999896</v>
      </c>
      <c r="P1739">
        <v>1357.76049804688</v>
      </c>
      <c r="Q1739">
        <v>679.88757324218705</v>
      </c>
      <c r="R1739">
        <v>2</v>
      </c>
      <c r="S1739">
        <v>1</v>
      </c>
      <c r="T1739">
        <v>11</v>
      </c>
      <c r="U1739">
        <v>32.652850000000001</v>
      </c>
      <c r="V1739">
        <v>175901.5</v>
      </c>
    </row>
    <row r="1740" spans="1:22" x14ac:dyDescent="0.25">
      <c r="A1740" t="s">
        <v>1160</v>
      </c>
      <c r="B1740" t="s">
        <v>1161</v>
      </c>
      <c r="C1740">
        <v>348</v>
      </c>
      <c r="D1740">
        <v>99</v>
      </c>
      <c r="E1740">
        <v>99</v>
      </c>
      <c r="F1740" t="s">
        <v>1173</v>
      </c>
      <c r="G1740" t="s">
        <v>1173</v>
      </c>
      <c r="H1740">
        <f t="shared" si="30"/>
        <v>13</v>
      </c>
      <c r="L1740" t="s">
        <v>87</v>
      </c>
      <c r="M1740" s="1">
        <v>-4.8661701381206401E-2</v>
      </c>
      <c r="N1740">
        <v>2042.95751953125</v>
      </c>
      <c r="O1740">
        <v>1022.486</v>
      </c>
      <c r="P1740">
        <v>2043.00610351563</v>
      </c>
      <c r="Q1740">
        <v>1022.51037597656</v>
      </c>
      <c r="R1740">
        <v>2</v>
      </c>
      <c r="S1740">
        <v>2</v>
      </c>
      <c r="T1740">
        <v>13</v>
      </c>
      <c r="U1740">
        <v>38.26408</v>
      </c>
      <c r="V1740">
        <v>2913709</v>
      </c>
    </row>
    <row r="1741" spans="1:22" x14ac:dyDescent="0.25">
      <c r="A1741" t="s">
        <v>1160</v>
      </c>
      <c r="B1741" t="s">
        <v>1161</v>
      </c>
      <c r="C1741">
        <v>423</v>
      </c>
      <c r="D1741">
        <v>99</v>
      </c>
      <c r="E1741">
        <v>99</v>
      </c>
      <c r="F1741" t="s">
        <v>1174</v>
      </c>
      <c r="G1741" t="s">
        <v>1174</v>
      </c>
      <c r="H1741">
        <f t="shared" si="30"/>
        <v>12</v>
      </c>
      <c r="L1741" t="s">
        <v>1175</v>
      </c>
      <c r="M1741" s="1">
        <v>3.0750499572604799E-3</v>
      </c>
      <c r="N1741">
        <v>1367.64624023438</v>
      </c>
      <c r="O1741">
        <v>684.83040000000005</v>
      </c>
      <c r="P1741">
        <v>1367.64318847656</v>
      </c>
      <c r="Q1741">
        <v>684.828857421875</v>
      </c>
      <c r="R1741">
        <v>2</v>
      </c>
      <c r="S1741">
        <v>4</v>
      </c>
      <c r="T1741">
        <v>10</v>
      </c>
      <c r="U1741">
        <v>56.545279999999899</v>
      </c>
      <c r="V1741">
        <v>135510.9</v>
      </c>
    </row>
    <row r="1742" spans="1:22" x14ac:dyDescent="0.25">
      <c r="A1742" t="s">
        <v>2941</v>
      </c>
      <c r="B1742" t="s">
        <v>2942</v>
      </c>
      <c r="C1742">
        <v>337</v>
      </c>
      <c r="D1742">
        <v>99</v>
      </c>
      <c r="E1742">
        <v>99</v>
      </c>
      <c r="F1742" t="s">
        <v>2943</v>
      </c>
      <c r="G1742" t="s">
        <v>2943</v>
      </c>
      <c r="H1742">
        <f t="shared" si="30"/>
        <v>14</v>
      </c>
      <c r="M1742" s="1">
        <v>-6.09379028901458E-4</v>
      </c>
      <c r="N1742">
        <v>1139.60949707031</v>
      </c>
      <c r="O1742">
        <v>570.81200000000001</v>
      </c>
      <c r="P1742">
        <v>1139.61010742188</v>
      </c>
      <c r="Q1742">
        <v>570.81231689453102</v>
      </c>
      <c r="R1742">
        <v>2</v>
      </c>
      <c r="S1742">
        <v>1</v>
      </c>
      <c r="T1742">
        <v>11</v>
      </c>
      <c r="U1742">
        <v>22.707999999999899</v>
      </c>
      <c r="V1742">
        <v>1019149</v>
      </c>
    </row>
    <row r="1743" spans="1:22" x14ac:dyDescent="0.25">
      <c r="A1743" t="s">
        <v>2345</v>
      </c>
      <c r="B1743" t="s">
        <v>2346</v>
      </c>
      <c r="C1743">
        <v>150</v>
      </c>
      <c r="D1743">
        <v>98.1</v>
      </c>
      <c r="E1743">
        <v>98.07</v>
      </c>
      <c r="F1743" t="s">
        <v>2347</v>
      </c>
      <c r="G1743" t="s">
        <v>2347</v>
      </c>
      <c r="H1743">
        <f t="shared" si="30"/>
        <v>10</v>
      </c>
      <c r="M1743" s="1">
        <v>1.13420002162457E-2</v>
      </c>
      <c r="N1743">
        <v>1656.93127441406</v>
      </c>
      <c r="O1743">
        <v>829.47289999999896</v>
      </c>
      <c r="P1743">
        <v>1656.919921875</v>
      </c>
      <c r="Q1743">
        <v>829.46722412109295</v>
      </c>
      <c r="R1743">
        <v>2</v>
      </c>
      <c r="S1743">
        <v>1</v>
      </c>
      <c r="T1743">
        <v>8</v>
      </c>
      <c r="U1743">
        <v>46.965200000000003</v>
      </c>
      <c r="V1743">
        <v>85880.09</v>
      </c>
    </row>
    <row r="1744" spans="1:22" x14ac:dyDescent="0.25">
      <c r="A1744" t="s">
        <v>2345</v>
      </c>
      <c r="B1744" t="s">
        <v>2346</v>
      </c>
      <c r="C1744">
        <v>447</v>
      </c>
      <c r="D1744">
        <v>98.2</v>
      </c>
      <c r="E1744">
        <v>98.2</v>
      </c>
      <c r="F1744" t="s">
        <v>2348</v>
      </c>
      <c r="G1744" t="s">
        <v>2348</v>
      </c>
      <c r="H1744">
        <f t="shared" si="30"/>
        <v>9</v>
      </c>
      <c r="M1744">
        <v>3.8700000000000002E-3</v>
      </c>
      <c r="N1744">
        <v>2029.09948730469</v>
      </c>
      <c r="O1744">
        <v>677.37379999999905</v>
      </c>
      <c r="P1744">
        <v>2029.09558105469</v>
      </c>
      <c r="Q1744">
        <v>677.37249755859295</v>
      </c>
      <c r="R1744">
        <v>3</v>
      </c>
      <c r="S1744">
        <v>1</v>
      </c>
      <c r="T1744">
        <v>14</v>
      </c>
      <c r="U1744">
        <v>40.43732</v>
      </c>
      <c r="V1744">
        <v>199831.4</v>
      </c>
    </row>
    <row r="1745" spans="1:22" x14ac:dyDescent="0.25">
      <c r="A1745" t="s">
        <v>2349</v>
      </c>
      <c r="B1745" t="s">
        <v>2350</v>
      </c>
      <c r="C1745">
        <v>169</v>
      </c>
      <c r="D1745">
        <v>99</v>
      </c>
      <c r="E1745">
        <v>99</v>
      </c>
      <c r="F1745" t="s">
        <v>2351</v>
      </c>
      <c r="G1745" t="s">
        <v>2351</v>
      </c>
      <c r="H1745">
        <f t="shared" si="30"/>
        <v>9</v>
      </c>
      <c r="M1745" s="1">
        <v>3.94735997542739E-3</v>
      </c>
      <c r="N1745">
        <v>2157.158203125</v>
      </c>
      <c r="O1745">
        <v>720.06</v>
      </c>
      <c r="P1745">
        <v>2157.154296875</v>
      </c>
      <c r="Q1745">
        <v>720.05865478515602</v>
      </c>
      <c r="R1745">
        <v>3</v>
      </c>
      <c r="S1745">
        <v>1</v>
      </c>
      <c r="T1745">
        <v>17</v>
      </c>
      <c r="U1745">
        <v>39.973399999999899</v>
      </c>
      <c r="V1745">
        <v>218575.8</v>
      </c>
    </row>
    <row r="1746" spans="1:22" x14ac:dyDescent="0.25">
      <c r="A1746" t="s">
        <v>4064</v>
      </c>
      <c r="B1746" t="s">
        <v>4065</v>
      </c>
      <c r="C1746">
        <v>836</v>
      </c>
      <c r="D1746">
        <v>97.2</v>
      </c>
      <c r="E1746">
        <v>97.21</v>
      </c>
      <c r="F1746" t="s">
        <v>4066</v>
      </c>
      <c r="G1746" t="s">
        <v>4066</v>
      </c>
      <c r="H1746">
        <f t="shared" si="30"/>
        <v>9</v>
      </c>
      <c r="M1746" s="1">
        <v>-1.91251002252102E-2</v>
      </c>
      <c r="N1746">
        <v>1798.89819335938</v>
      </c>
      <c r="O1746">
        <v>600.64</v>
      </c>
      <c r="P1746">
        <v>1798.91735839844</v>
      </c>
      <c r="Q1746">
        <v>600.64636230468705</v>
      </c>
      <c r="R1746">
        <v>3</v>
      </c>
      <c r="S1746">
        <v>1</v>
      </c>
      <c r="T1746">
        <v>16</v>
      </c>
      <c r="U1746">
        <v>20.640920000000001</v>
      </c>
      <c r="V1746">
        <v>375925.2</v>
      </c>
    </row>
    <row r="1747" spans="1:22" x14ac:dyDescent="0.25">
      <c r="A1747" t="s">
        <v>941</v>
      </c>
      <c r="B1747" t="s">
        <v>942</v>
      </c>
      <c r="C1747">
        <v>22</v>
      </c>
      <c r="D1747">
        <v>99</v>
      </c>
      <c r="E1747">
        <v>99</v>
      </c>
      <c r="F1747" t="s">
        <v>943</v>
      </c>
      <c r="G1747" t="s">
        <v>943</v>
      </c>
      <c r="H1747">
        <f t="shared" si="30"/>
        <v>12</v>
      </c>
      <c r="M1747" s="1">
        <v>2.17468990013003E-3</v>
      </c>
      <c r="N1747">
        <v>2265.14111328125</v>
      </c>
      <c r="O1747">
        <v>756.05430000000001</v>
      </c>
      <c r="P1747">
        <v>2265.13891601563</v>
      </c>
      <c r="Q1747">
        <v>756.05358886718705</v>
      </c>
      <c r="R1747">
        <v>3</v>
      </c>
      <c r="S1747">
        <v>1</v>
      </c>
      <c r="T1747">
        <v>8</v>
      </c>
      <c r="U1747">
        <v>29.9859499999999</v>
      </c>
      <c r="V1747">
        <v>180495.3</v>
      </c>
    </row>
    <row r="1748" spans="1:22" x14ac:dyDescent="0.25">
      <c r="A1748" t="s">
        <v>3108</v>
      </c>
      <c r="B1748" t="s">
        <v>3109</v>
      </c>
      <c r="C1748">
        <v>12</v>
      </c>
      <c r="D1748">
        <v>98.5</v>
      </c>
      <c r="E1748">
        <v>98.45</v>
      </c>
      <c r="F1748" t="s">
        <v>3110</v>
      </c>
      <c r="G1748" t="s">
        <v>3110</v>
      </c>
      <c r="H1748">
        <f t="shared" si="30"/>
        <v>9</v>
      </c>
      <c r="M1748" s="1">
        <v>4.2834598571062001E-3</v>
      </c>
      <c r="N1748">
        <v>1525.81433105469</v>
      </c>
      <c r="O1748">
        <v>763.9144</v>
      </c>
      <c r="P1748">
        <v>1525.81005859375</v>
      </c>
      <c r="Q1748">
        <v>763.91229248046795</v>
      </c>
      <c r="R1748">
        <v>2</v>
      </c>
      <c r="S1748">
        <v>1</v>
      </c>
      <c r="T1748">
        <v>10</v>
      </c>
      <c r="U1748">
        <v>39.511920000000003</v>
      </c>
      <c r="V1748">
        <v>73737.91</v>
      </c>
    </row>
    <row r="1749" spans="1:22" x14ac:dyDescent="0.25">
      <c r="A1749" t="s">
        <v>628</v>
      </c>
      <c r="B1749" t="s">
        <v>629</v>
      </c>
      <c r="C1749">
        <v>147</v>
      </c>
      <c r="D1749">
        <v>98.3</v>
      </c>
      <c r="E1749">
        <v>98.33</v>
      </c>
      <c r="F1749" t="s">
        <v>630</v>
      </c>
      <c r="G1749" t="s">
        <v>630</v>
      </c>
      <c r="H1749">
        <f t="shared" si="30"/>
        <v>9</v>
      </c>
      <c r="M1749" s="1">
        <v>9.3900598585605604E-3</v>
      </c>
      <c r="N1749">
        <v>1974.05163574219</v>
      </c>
      <c r="O1749">
        <v>659.02449999999897</v>
      </c>
      <c r="P1749">
        <v>1974.04223632813</v>
      </c>
      <c r="Q1749">
        <v>659.02136230468705</v>
      </c>
      <c r="R1749">
        <v>3</v>
      </c>
      <c r="S1749">
        <v>1</v>
      </c>
      <c r="T1749">
        <v>9</v>
      </c>
      <c r="U1749">
        <v>38.506349999999898</v>
      </c>
      <c r="V1749">
        <v>153094.399999999</v>
      </c>
    </row>
    <row r="1750" spans="1:22" x14ac:dyDescent="0.25">
      <c r="A1750" t="s">
        <v>3590</v>
      </c>
      <c r="B1750" t="s">
        <v>3591</v>
      </c>
      <c r="C1750">
        <v>5</v>
      </c>
      <c r="D1750">
        <v>99</v>
      </c>
      <c r="E1750">
        <v>99</v>
      </c>
      <c r="F1750" t="s">
        <v>3592</v>
      </c>
      <c r="G1750" t="s">
        <v>3592</v>
      </c>
      <c r="H1750">
        <f t="shared" si="30"/>
        <v>9</v>
      </c>
      <c r="M1750" s="1">
        <v>2.5149299763143102E-3</v>
      </c>
      <c r="N1750">
        <v>1762.8564453125</v>
      </c>
      <c r="O1750">
        <v>588.62609999999904</v>
      </c>
      <c r="P1750">
        <v>1762.85400390625</v>
      </c>
      <c r="Q1750">
        <v>588.625244140625</v>
      </c>
      <c r="R1750">
        <v>3</v>
      </c>
      <c r="S1750">
        <v>2</v>
      </c>
      <c r="T1750">
        <v>13</v>
      </c>
      <c r="U1750">
        <v>31.789919999999899</v>
      </c>
      <c r="V1750">
        <v>244727.4</v>
      </c>
    </row>
    <row r="1751" spans="1:22" x14ac:dyDescent="0.25">
      <c r="A1751" t="s">
        <v>2004</v>
      </c>
      <c r="B1751" t="s">
        <v>2005</v>
      </c>
      <c r="C1751">
        <v>75</v>
      </c>
      <c r="D1751">
        <v>98.4</v>
      </c>
      <c r="E1751">
        <v>98.41</v>
      </c>
      <c r="F1751" t="s">
        <v>2006</v>
      </c>
      <c r="G1751" t="s">
        <v>2006</v>
      </c>
      <c r="H1751">
        <f t="shared" si="30"/>
        <v>14</v>
      </c>
      <c r="M1751">
        <v>3.7169999999999998E-3</v>
      </c>
      <c r="N1751">
        <v>1651.84545898438</v>
      </c>
      <c r="O1751">
        <v>826.93</v>
      </c>
      <c r="P1751">
        <v>1651.84167480469</v>
      </c>
      <c r="Q1751">
        <v>826.92816162109295</v>
      </c>
      <c r="R1751">
        <v>2</v>
      </c>
      <c r="S1751">
        <v>1</v>
      </c>
      <c r="T1751">
        <v>9</v>
      </c>
      <c r="U1751">
        <v>51.2181199999999</v>
      </c>
      <c r="V1751">
        <v>143702.799999999</v>
      </c>
    </row>
    <row r="1752" spans="1:22" x14ac:dyDescent="0.25">
      <c r="A1752" t="s">
        <v>2004</v>
      </c>
      <c r="B1752" t="s">
        <v>2005</v>
      </c>
      <c r="C1752">
        <v>75</v>
      </c>
      <c r="D1752">
        <v>99</v>
      </c>
      <c r="E1752">
        <v>99</v>
      </c>
      <c r="F1752" t="s">
        <v>2007</v>
      </c>
      <c r="G1752" t="s">
        <v>2007</v>
      </c>
      <c r="H1752">
        <f t="shared" si="30"/>
        <v>16</v>
      </c>
      <c r="M1752" s="1">
        <v>4.6642501838505303E-3</v>
      </c>
      <c r="N1752">
        <v>1461.7734375</v>
      </c>
      <c r="O1752">
        <v>488.26510000000002</v>
      </c>
      <c r="P1752">
        <v>1461.76879882813</v>
      </c>
      <c r="Q1752">
        <v>488.26354980468801</v>
      </c>
      <c r="R1752">
        <v>3</v>
      </c>
      <c r="S1752">
        <v>1</v>
      </c>
      <c r="T1752">
        <v>12</v>
      </c>
      <c r="U1752">
        <v>30.579830000000001</v>
      </c>
      <c r="V1752">
        <v>180907.1</v>
      </c>
    </row>
    <row r="1753" spans="1:22" x14ac:dyDescent="0.25">
      <c r="A1753" t="s">
        <v>2004</v>
      </c>
      <c r="B1753" t="s">
        <v>2005</v>
      </c>
      <c r="C1753">
        <v>76</v>
      </c>
      <c r="D1753">
        <v>99</v>
      </c>
      <c r="E1753">
        <v>99</v>
      </c>
      <c r="F1753" t="s">
        <v>2008</v>
      </c>
      <c r="G1753" t="s">
        <v>2008</v>
      </c>
      <c r="H1753">
        <f t="shared" si="30"/>
        <v>15</v>
      </c>
      <c r="M1753" s="1">
        <v>1.4717299491167101E-3</v>
      </c>
      <c r="N1753">
        <v>1636.86596679688</v>
      </c>
      <c r="O1753">
        <v>546.62929999999903</v>
      </c>
      <c r="P1753">
        <v>1636.86450195313</v>
      </c>
      <c r="Q1753">
        <v>546.62878417968705</v>
      </c>
      <c r="R1753">
        <v>3</v>
      </c>
      <c r="S1753">
        <v>1</v>
      </c>
      <c r="T1753">
        <v>15</v>
      </c>
      <c r="U1753">
        <v>25.30903</v>
      </c>
      <c r="V1753">
        <v>682852.1</v>
      </c>
    </row>
    <row r="1754" spans="1:22" x14ac:dyDescent="0.25">
      <c r="A1754" t="s">
        <v>2004</v>
      </c>
      <c r="B1754" t="s">
        <v>2005</v>
      </c>
      <c r="C1754">
        <v>75</v>
      </c>
      <c r="D1754">
        <v>99</v>
      </c>
      <c r="E1754">
        <v>99</v>
      </c>
      <c r="F1754" t="s">
        <v>2007</v>
      </c>
      <c r="G1754" t="s">
        <v>2007</v>
      </c>
      <c r="H1754">
        <f t="shared" si="30"/>
        <v>16</v>
      </c>
      <c r="L1754" t="s">
        <v>1408</v>
      </c>
      <c r="M1754" s="1">
        <v>2.8903100639581701E-2</v>
      </c>
      <c r="N1754">
        <v>1981.08813476563</v>
      </c>
      <c r="O1754">
        <v>661.37</v>
      </c>
      <c r="P1754">
        <v>1981.05920410156</v>
      </c>
      <c r="Q1754">
        <v>661.3603515625</v>
      </c>
      <c r="R1754">
        <v>3</v>
      </c>
      <c r="S1754">
        <v>1</v>
      </c>
      <c r="T1754">
        <v>9</v>
      </c>
      <c r="U1754">
        <v>43.017119999999899</v>
      </c>
      <c r="V1754">
        <v>117654.5</v>
      </c>
    </row>
    <row r="1755" spans="1:22" x14ac:dyDescent="0.25">
      <c r="A1755" t="s">
        <v>1393</v>
      </c>
      <c r="B1755" t="s">
        <v>1394</v>
      </c>
      <c r="C1755">
        <v>113</v>
      </c>
      <c r="D1755">
        <v>97</v>
      </c>
      <c r="E1755">
        <v>96.98</v>
      </c>
      <c r="F1755" t="s">
        <v>1395</v>
      </c>
      <c r="G1755" t="s">
        <v>1395</v>
      </c>
      <c r="H1755">
        <f t="shared" si="30"/>
        <v>9</v>
      </c>
      <c r="M1755" s="1">
        <v>6.8076499737799202E-3</v>
      </c>
      <c r="N1755">
        <v>1667.96130371094</v>
      </c>
      <c r="O1755">
        <v>556.99440000000004</v>
      </c>
      <c r="P1755">
        <v>1667.95446777344</v>
      </c>
      <c r="Q1755">
        <v>556.99212646484295</v>
      </c>
      <c r="R1755">
        <v>3</v>
      </c>
      <c r="S1755">
        <v>2</v>
      </c>
      <c r="T1755">
        <v>13</v>
      </c>
      <c r="U1755">
        <v>38.919719999999899</v>
      </c>
      <c r="V1755">
        <v>371576.6</v>
      </c>
    </row>
    <row r="1756" spans="1:22" x14ac:dyDescent="0.25">
      <c r="A1756" t="s">
        <v>2049</v>
      </c>
      <c r="B1756" t="s">
        <v>2050</v>
      </c>
      <c r="C1756">
        <v>647</v>
      </c>
      <c r="D1756">
        <v>97.9</v>
      </c>
      <c r="E1756">
        <v>97.9</v>
      </c>
      <c r="F1756" t="s">
        <v>2051</v>
      </c>
      <c r="G1756" t="s">
        <v>2051</v>
      </c>
      <c r="H1756">
        <f t="shared" si="30"/>
        <v>17</v>
      </c>
      <c r="M1756" s="1">
        <v>1.65659002959728E-3</v>
      </c>
      <c r="N1756">
        <v>1435.80249023438</v>
      </c>
      <c r="O1756">
        <v>479.60809999999901</v>
      </c>
      <c r="P1756">
        <v>1435.80078125</v>
      </c>
      <c r="Q1756">
        <v>479.60754394531301</v>
      </c>
      <c r="R1756">
        <v>3</v>
      </c>
      <c r="S1756">
        <v>1</v>
      </c>
      <c r="T1756">
        <v>9</v>
      </c>
      <c r="U1756">
        <v>23.23395</v>
      </c>
      <c r="V1756">
        <v>161673.9</v>
      </c>
    </row>
    <row r="1757" spans="1:22" x14ac:dyDescent="0.25">
      <c r="A1757" t="s">
        <v>2049</v>
      </c>
      <c r="B1757" t="s">
        <v>2050</v>
      </c>
      <c r="C1757">
        <v>209</v>
      </c>
      <c r="D1757">
        <v>97.4</v>
      </c>
      <c r="E1757">
        <v>97.41</v>
      </c>
      <c r="F1757" t="s">
        <v>2052</v>
      </c>
      <c r="G1757" t="s">
        <v>2052</v>
      </c>
      <c r="H1757">
        <f t="shared" si="30"/>
        <v>9</v>
      </c>
      <c r="M1757">
        <v>8.0000000000000007E-5</v>
      </c>
      <c r="N1757">
        <v>1665.89916992188</v>
      </c>
      <c r="O1757">
        <v>556.30700000000002</v>
      </c>
      <c r="P1757">
        <v>1665.89916992188</v>
      </c>
      <c r="Q1757">
        <v>556.30700683593705</v>
      </c>
      <c r="R1757">
        <v>3</v>
      </c>
      <c r="S1757">
        <v>1</v>
      </c>
      <c r="T1757">
        <v>12</v>
      </c>
      <c r="U1757">
        <v>43.126829999999899</v>
      </c>
      <c r="V1757">
        <v>124762</v>
      </c>
    </row>
    <row r="1758" spans="1:22" x14ac:dyDescent="0.25">
      <c r="A1758" t="s">
        <v>2053</v>
      </c>
      <c r="B1758" t="s">
        <v>2054</v>
      </c>
      <c r="C1758">
        <v>530</v>
      </c>
      <c r="D1758">
        <v>98.4</v>
      </c>
      <c r="E1758">
        <v>98.44</v>
      </c>
      <c r="F1758" t="s">
        <v>2055</v>
      </c>
      <c r="G1758" t="s">
        <v>2055</v>
      </c>
      <c r="H1758">
        <f t="shared" si="30"/>
        <v>15</v>
      </c>
      <c r="M1758" s="1">
        <v>3.3215999137610201E-3</v>
      </c>
      <c r="N1758">
        <v>1695.05529785156</v>
      </c>
      <c r="O1758">
        <v>424.77109999999902</v>
      </c>
      <c r="P1758">
        <v>1695.05187988281</v>
      </c>
      <c r="Q1758">
        <v>424.770263671875</v>
      </c>
      <c r="R1758">
        <v>4</v>
      </c>
      <c r="S1758">
        <v>2</v>
      </c>
      <c r="T1758">
        <v>12</v>
      </c>
      <c r="U1758">
        <v>25.199580000000001</v>
      </c>
      <c r="V1758">
        <v>605801.4</v>
      </c>
    </row>
    <row r="1759" spans="1:22" x14ac:dyDescent="0.25">
      <c r="A1759" t="s">
        <v>2755</v>
      </c>
      <c r="B1759" t="s">
        <v>2756</v>
      </c>
      <c r="C1759">
        <v>71</v>
      </c>
      <c r="D1759">
        <v>99</v>
      </c>
      <c r="E1759">
        <v>99</v>
      </c>
      <c r="F1759" t="s">
        <v>2757</v>
      </c>
      <c r="G1759" t="s">
        <v>2757</v>
      </c>
      <c r="H1759">
        <f t="shared" si="30"/>
        <v>20</v>
      </c>
      <c r="M1759" s="1">
        <v>2.0467599388212E-3</v>
      </c>
      <c r="N1759">
        <v>1258.77819824219</v>
      </c>
      <c r="O1759">
        <v>420.6</v>
      </c>
      <c r="P1759">
        <v>1258.77612304688</v>
      </c>
      <c r="Q1759">
        <v>420.59933471679602</v>
      </c>
      <c r="R1759">
        <v>3</v>
      </c>
      <c r="S1759">
        <v>2</v>
      </c>
      <c r="T1759">
        <v>11</v>
      </c>
      <c r="U1759">
        <v>24.9454999999999</v>
      </c>
      <c r="V1759">
        <v>930420.6</v>
      </c>
    </row>
    <row r="1760" spans="1:22" x14ac:dyDescent="0.25">
      <c r="A1760" t="s">
        <v>2755</v>
      </c>
      <c r="B1760" t="s">
        <v>2756</v>
      </c>
      <c r="C1760">
        <v>110</v>
      </c>
      <c r="D1760">
        <v>99</v>
      </c>
      <c r="E1760">
        <v>99</v>
      </c>
      <c r="F1760" t="s">
        <v>2758</v>
      </c>
      <c r="G1760" t="s">
        <v>2758</v>
      </c>
      <c r="H1760">
        <f t="shared" si="30"/>
        <v>10</v>
      </c>
      <c r="M1760">
        <v>1.7979999999999999E-3</v>
      </c>
      <c r="N1760">
        <v>1945.11267089844</v>
      </c>
      <c r="O1760">
        <v>649.37819999999897</v>
      </c>
      <c r="P1760">
        <v>1945.11083984375</v>
      </c>
      <c r="Q1760">
        <v>649.37756347656205</v>
      </c>
      <c r="R1760">
        <v>3</v>
      </c>
      <c r="S1760">
        <v>1</v>
      </c>
      <c r="T1760">
        <v>12</v>
      </c>
      <c r="U1760">
        <v>25.543220000000002</v>
      </c>
      <c r="V1760">
        <v>224160</v>
      </c>
    </row>
    <row r="1761" spans="1:22" x14ac:dyDescent="0.25">
      <c r="A1761" t="s">
        <v>2838</v>
      </c>
      <c r="B1761" t="s">
        <v>2839</v>
      </c>
      <c r="C1761">
        <v>593</v>
      </c>
      <c r="D1761">
        <v>98.3</v>
      </c>
      <c r="E1761">
        <v>98.34</v>
      </c>
      <c r="F1761" t="s">
        <v>2840</v>
      </c>
      <c r="G1761" t="s">
        <v>2840</v>
      </c>
      <c r="H1761">
        <f t="shared" si="30"/>
        <v>10</v>
      </c>
      <c r="M1761">
        <v>1.124E-3</v>
      </c>
      <c r="N1761">
        <v>1349.85180664063</v>
      </c>
      <c r="O1761">
        <v>450.9579</v>
      </c>
      <c r="P1761">
        <v>1349.85070800781</v>
      </c>
      <c r="Q1761">
        <v>450.95751953125</v>
      </c>
      <c r="R1761">
        <v>3</v>
      </c>
      <c r="S1761">
        <v>2</v>
      </c>
      <c r="T1761">
        <v>11</v>
      </c>
      <c r="U1761">
        <v>36.805030000000002</v>
      </c>
      <c r="V1761">
        <v>132075.4</v>
      </c>
    </row>
    <row r="1762" spans="1:22" x14ac:dyDescent="0.25">
      <c r="A1762" t="s">
        <v>4426</v>
      </c>
      <c r="B1762" t="s">
        <v>4427</v>
      </c>
      <c r="C1762">
        <v>363</v>
      </c>
      <c r="D1762">
        <v>99</v>
      </c>
      <c r="E1762">
        <v>99</v>
      </c>
      <c r="F1762" t="s">
        <v>4428</v>
      </c>
      <c r="G1762" t="s">
        <v>4428</v>
      </c>
      <c r="H1762">
        <f t="shared" si="30"/>
        <v>9</v>
      </c>
      <c r="M1762" s="1">
        <v>2.9002400115132301E-3</v>
      </c>
      <c r="N1762">
        <v>1179.71166992188</v>
      </c>
      <c r="O1762">
        <v>394.24450000000002</v>
      </c>
      <c r="P1762">
        <v>1179.70874023438</v>
      </c>
      <c r="Q1762">
        <v>394.24353027343801</v>
      </c>
      <c r="R1762">
        <v>3</v>
      </c>
      <c r="S1762">
        <v>8</v>
      </c>
      <c r="T1762">
        <v>11</v>
      </c>
      <c r="U1762">
        <v>33.842219999999898</v>
      </c>
      <c r="V1762">
        <v>1158195</v>
      </c>
    </row>
    <row r="1763" spans="1:22" x14ac:dyDescent="0.25">
      <c r="A1763" t="s">
        <v>3489</v>
      </c>
      <c r="B1763" t="s">
        <v>3490</v>
      </c>
      <c r="C1763">
        <v>152</v>
      </c>
      <c r="D1763">
        <v>98.9</v>
      </c>
      <c r="E1763">
        <v>98.89</v>
      </c>
      <c r="F1763" t="s">
        <v>3491</v>
      </c>
      <c r="G1763" t="s">
        <v>3491</v>
      </c>
      <c r="H1763">
        <f t="shared" si="30"/>
        <v>17</v>
      </c>
      <c r="M1763" s="1">
        <v>3.04180011153221E-3</v>
      </c>
      <c r="N1763">
        <v>1395.60205078125</v>
      </c>
      <c r="O1763">
        <v>698.80830000000003</v>
      </c>
      <c r="P1763">
        <v>1395.59899902344</v>
      </c>
      <c r="Q1763">
        <v>698.80676269531205</v>
      </c>
      <c r="R1763">
        <v>2</v>
      </c>
      <c r="S1763">
        <v>1</v>
      </c>
      <c r="T1763">
        <v>10</v>
      </c>
      <c r="U1763">
        <v>30.314319999999899</v>
      </c>
      <c r="V1763">
        <v>308753.5</v>
      </c>
    </row>
    <row r="1764" spans="1:22" x14ac:dyDescent="0.25">
      <c r="A1764" t="s">
        <v>161</v>
      </c>
      <c r="B1764" t="s">
        <v>162</v>
      </c>
      <c r="C1764">
        <v>711</v>
      </c>
      <c r="D1764">
        <v>99</v>
      </c>
      <c r="E1764">
        <v>99</v>
      </c>
      <c r="F1764" t="s">
        <v>163</v>
      </c>
      <c r="G1764" t="s">
        <v>163</v>
      </c>
      <c r="H1764">
        <f t="shared" si="30"/>
        <v>14</v>
      </c>
      <c r="M1764">
        <v>3.0000000000000001E-5</v>
      </c>
      <c r="N1764">
        <v>1492.61791992188</v>
      </c>
      <c r="O1764">
        <v>747.31619999999896</v>
      </c>
      <c r="P1764">
        <v>1492.61791992188</v>
      </c>
      <c r="Q1764">
        <v>747.31622314453102</v>
      </c>
      <c r="R1764">
        <v>2</v>
      </c>
      <c r="S1764">
        <v>1</v>
      </c>
      <c r="T1764">
        <v>15</v>
      </c>
      <c r="U1764">
        <v>22.201699999999899</v>
      </c>
      <c r="V1764">
        <v>223475.9</v>
      </c>
    </row>
    <row r="1765" spans="1:22" x14ac:dyDescent="0.25">
      <c r="A1765" t="s">
        <v>161</v>
      </c>
      <c r="B1765" t="s">
        <v>162</v>
      </c>
      <c r="C1765">
        <v>714</v>
      </c>
      <c r="D1765">
        <v>99</v>
      </c>
      <c r="E1765">
        <v>99</v>
      </c>
      <c r="F1765" t="s">
        <v>953</v>
      </c>
      <c r="G1765" t="s">
        <v>953</v>
      </c>
      <c r="H1765">
        <f t="shared" si="30"/>
        <v>11</v>
      </c>
      <c r="M1765" s="1">
        <v>5.3077801130711902E-3</v>
      </c>
      <c r="N1765">
        <v>1554.92993164063</v>
      </c>
      <c r="O1765">
        <v>778.47220000000004</v>
      </c>
      <c r="P1765">
        <v>1554.92456054688</v>
      </c>
      <c r="Q1765">
        <v>778.46960449218705</v>
      </c>
      <c r="R1765">
        <v>2</v>
      </c>
      <c r="S1765">
        <v>1</v>
      </c>
      <c r="T1765">
        <v>11</v>
      </c>
      <c r="U1765">
        <v>36.413670000000003</v>
      </c>
      <c r="V1765">
        <v>243825.4</v>
      </c>
    </row>
    <row r="1766" spans="1:22" x14ac:dyDescent="0.25">
      <c r="A1766" t="s">
        <v>161</v>
      </c>
      <c r="B1766" t="s">
        <v>162</v>
      </c>
      <c r="C1766">
        <v>640</v>
      </c>
      <c r="D1766">
        <v>98</v>
      </c>
      <c r="E1766">
        <v>97.95</v>
      </c>
      <c r="F1766" t="s">
        <v>954</v>
      </c>
      <c r="G1766" t="s">
        <v>954</v>
      </c>
      <c r="H1766">
        <f t="shared" si="30"/>
        <v>9</v>
      </c>
      <c r="M1766" s="1">
        <v>-1.9462800119072201E-3</v>
      </c>
      <c r="N1766">
        <v>1269.59704589844</v>
      </c>
      <c r="O1766">
        <v>635.80579999999895</v>
      </c>
      <c r="P1766">
        <v>1269.59899902344</v>
      </c>
      <c r="Q1766">
        <v>635.80676269531205</v>
      </c>
      <c r="R1766">
        <v>2</v>
      </c>
      <c r="S1766">
        <v>1</v>
      </c>
      <c r="T1766">
        <v>10</v>
      </c>
      <c r="U1766">
        <v>40.1343999999999</v>
      </c>
      <c r="V1766">
        <v>252600.3</v>
      </c>
    </row>
    <row r="1767" spans="1:22" x14ac:dyDescent="0.25">
      <c r="A1767" t="s">
        <v>4566</v>
      </c>
      <c r="B1767" t="s">
        <v>4567</v>
      </c>
      <c r="C1767">
        <v>131</v>
      </c>
      <c r="D1767">
        <v>99</v>
      </c>
      <c r="E1767">
        <v>99</v>
      </c>
      <c r="F1767" t="s">
        <v>4568</v>
      </c>
      <c r="G1767" t="s">
        <v>4568</v>
      </c>
      <c r="H1767">
        <f t="shared" si="30"/>
        <v>14</v>
      </c>
      <c r="M1767" s="1">
        <v>1.29330996423959E-2</v>
      </c>
      <c r="N1767">
        <v>1622.79309082031</v>
      </c>
      <c r="O1767">
        <v>541.93830000000003</v>
      </c>
      <c r="P1767">
        <v>1622.78015136719</v>
      </c>
      <c r="Q1767">
        <v>541.93395996093705</v>
      </c>
      <c r="R1767">
        <v>3</v>
      </c>
      <c r="S1767">
        <v>1</v>
      </c>
      <c r="T1767">
        <v>11</v>
      </c>
      <c r="U1767">
        <v>31.5169999999999</v>
      </c>
      <c r="V1767">
        <v>157567.9</v>
      </c>
    </row>
    <row r="1768" spans="1:22" x14ac:dyDescent="0.25">
      <c r="A1768" t="s">
        <v>1233</v>
      </c>
      <c r="B1768" t="s">
        <v>1234</v>
      </c>
      <c r="C1768">
        <v>162</v>
      </c>
      <c r="D1768">
        <v>99</v>
      </c>
      <c r="E1768">
        <v>99</v>
      </c>
      <c r="F1768" t="s">
        <v>1235</v>
      </c>
      <c r="G1768" t="s">
        <v>1235</v>
      </c>
      <c r="H1768">
        <f t="shared" si="30"/>
        <v>14</v>
      </c>
      <c r="M1768" s="1">
        <v>5.4386598058044902E-3</v>
      </c>
      <c r="N1768">
        <v>1529.65112304688</v>
      </c>
      <c r="O1768">
        <v>765.83280000000002</v>
      </c>
      <c r="P1768">
        <v>1529.64562988281</v>
      </c>
      <c r="Q1768">
        <v>765.830078125</v>
      </c>
      <c r="R1768">
        <v>2</v>
      </c>
      <c r="S1768">
        <v>1</v>
      </c>
      <c r="T1768">
        <v>9</v>
      </c>
      <c r="U1768">
        <v>39.741630000000001</v>
      </c>
      <c r="V1768">
        <v>94929.82</v>
      </c>
    </row>
    <row r="1769" spans="1:22" x14ac:dyDescent="0.25">
      <c r="A1769" t="s">
        <v>1233</v>
      </c>
      <c r="B1769" t="s">
        <v>1234</v>
      </c>
      <c r="C1769">
        <v>34</v>
      </c>
      <c r="D1769">
        <v>99</v>
      </c>
      <c r="E1769">
        <v>99</v>
      </c>
      <c r="F1769" t="s">
        <v>1236</v>
      </c>
      <c r="G1769" t="s">
        <v>1236</v>
      </c>
      <c r="H1769">
        <f t="shared" si="30"/>
        <v>13</v>
      </c>
      <c r="M1769" s="1">
        <v>7.01519020367413E-4</v>
      </c>
      <c r="N1769">
        <v>1016.62506103516</v>
      </c>
      <c r="O1769">
        <v>509.31979999999902</v>
      </c>
      <c r="P1769">
        <v>1016.62432861328</v>
      </c>
      <c r="Q1769">
        <v>509.31945800781301</v>
      </c>
      <c r="R1769">
        <v>2</v>
      </c>
      <c r="S1769">
        <v>2</v>
      </c>
      <c r="T1769">
        <v>12</v>
      </c>
      <c r="U1769">
        <v>23.5031199999999</v>
      </c>
      <c r="V1769">
        <v>932726</v>
      </c>
    </row>
    <row r="1770" spans="1:22" x14ac:dyDescent="0.25">
      <c r="A1770" t="s">
        <v>1233</v>
      </c>
      <c r="B1770" t="s">
        <v>1234</v>
      </c>
      <c r="C1770">
        <v>37</v>
      </c>
      <c r="D1770">
        <v>99</v>
      </c>
      <c r="E1770">
        <v>99</v>
      </c>
      <c r="F1770" t="s">
        <v>1237</v>
      </c>
      <c r="G1770" t="s">
        <v>1237</v>
      </c>
      <c r="H1770">
        <f t="shared" si="30"/>
        <v>11</v>
      </c>
      <c r="M1770" s="1">
        <v>3.35469003766775E-3</v>
      </c>
      <c r="N1770">
        <v>1093.59265136719</v>
      </c>
      <c r="O1770">
        <v>1094.5999999999899</v>
      </c>
      <c r="P1770">
        <v>1093.58935546875</v>
      </c>
      <c r="Q1770">
        <v>1094.5966796875</v>
      </c>
      <c r="R1770">
        <v>1</v>
      </c>
      <c r="S1770">
        <v>3</v>
      </c>
      <c r="T1770">
        <v>9</v>
      </c>
      <c r="U1770">
        <v>24.379270000000002</v>
      </c>
      <c r="V1770">
        <v>10977250</v>
      </c>
    </row>
    <row r="1771" spans="1:22" x14ac:dyDescent="0.25">
      <c r="A1771" t="s">
        <v>1233</v>
      </c>
      <c r="B1771" t="s">
        <v>1234</v>
      </c>
      <c r="C1771">
        <v>258</v>
      </c>
      <c r="D1771">
        <v>98.6</v>
      </c>
      <c r="E1771">
        <v>98.61</v>
      </c>
      <c r="F1771" t="s">
        <v>1238</v>
      </c>
      <c r="G1771" t="s">
        <v>1238</v>
      </c>
      <c r="H1771">
        <f t="shared" si="30"/>
        <v>9</v>
      </c>
      <c r="M1771" s="1">
        <v>2.3185100872069602E-3</v>
      </c>
      <c r="N1771">
        <v>1160.70532226563</v>
      </c>
      <c r="O1771">
        <v>581.35990000000004</v>
      </c>
      <c r="P1771">
        <v>1160.70300292969</v>
      </c>
      <c r="Q1771">
        <v>581.35876464843705</v>
      </c>
      <c r="R1771">
        <v>2</v>
      </c>
      <c r="S1771">
        <v>2</v>
      </c>
      <c r="T1771">
        <v>10</v>
      </c>
      <c r="U1771">
        <v>27.120249999999899</v>
      </c>
      <c r="V1771">
        <v>77753880</v>
      </c>
    </row>
    <row r="1772" spans="1:22" x14ac:dyDescent="0.25">
      <c r="A1772" t="s">
        <v>1233</v>
      </c>
      <c r="B1772" t="s">
        <v>1234</v>
      </c>
      <c r="C1772">
        <v>162</v>
      </c>
      <c r="D1772">
        <v>99</v>
      </c>
      <c r="E1772">
        <v>99</v>
      </c>
      <c r="F1772" t="s">
        <v>1235</v>
      </c>
      <c r="G1772" t="s">
        <v>1235</v>
      </c>
      <c r="H1772">
        <f t="shared" si="30"/>
        <v>14</v>
      </c>
      <c r="L1772" t="s">
        <v>52</v>
      </c>
      <c r="M1772">
        <v>-3.0000000000000001E-6</v>
      </c>
      <c r="N1772">
        <v>1138.62072753906</v>
      </c>
      <c r="O1772">
        <v>570.31759999999895</v>
      </c>
      <c r="P1772">
        <v>1138.62072753906</v>
      </c>
      <c r="Q1772">
        <v>570.317626953125</v>
      </c>
      <c r="R1772">
        <v>2</v>
      </c>
      <c r="S1772">
        <v>1</v>
      </c>
      <c r="T1772">
        <v>12</v>
      </c>
      <c r="U1772">
        <v>27.786950000000001</v>
      </c>
      <c r="V1772">
        <v>1416348</v>
      </c>
    </row>
    <row r="1773" spans="1:22" x14ac:dyDescent="0.25">
      <c r="A1773" t="s">
        <v>2295</v>
      </c>
      <c r="B1773" t="s">
        <v>559</v>
      </c>
      <c r="C1773">
        <v>224</v>
      </c>
      <c r="D1773">
        <v>97.2</v>
      </c>
      <c r="E1773">
        <v>97.24</v>
      </c>
      <c r="F1773" t="s">
        <v>2296</v>
      </c>
      <c r="G1773" t="s">
        <v>2296</v>
      </c>
      <c r="H1773">
        <f t="shared" si="30"/>
        <v>13</v>
      </c>
      <c r="M1773" s="1">
        <v>-6.2797297723591302E-3</v>
      </c>
      <c r="N1773">
        <v>1184.69262695313</v>
      </c>
      <c r="O1773">
        <v>1185.7</v>
      </c>
      <c r="P1773">
        <v>1184.69897460938</v>
      </c>
      <c r="Q1773">
        <v>1185.70617675781</v>
      </c>
      <c r="R1773">
        <v>1</v>
      </c>
      <c r="S1773">
        <v>1</v>
      </c>
      <c r="T1773">
        <v>9</v>
      </c>
      <c r="U1773">
        <v>18.53312</v>
      </c>
      <c r="V1773">
        <v>1448214</v>
      </c>
    </row>
    <row r="1774" spans="1:22" x14ac:dyDescent="0.25">
      <c r="A1774" t="s">
        <v>2295</v>
      </c>
      <c r="B1774" t="s">
        <v>559</v>
      </c>
      <c r="C1774">
        <v>175</v>
      </c>
      <c r="D1774">
        <v>99</v>
      </c>
      <c r="E1774">
        <v>99</v>
      </c>
      <c r="F1774" t="s">
        <v>2297</v>
      </c>
      <c r="G1774" t="s">
        <v>2297</v>
      </c>
      <c r="H1774">
        <f t="shared" si="30"/>
        <v>14</v>
      </c>
      <c r="L1774" t="s">
        <v>377</v>
      </c>
      <c r="M1774" s="1">
        <v>7.0235501043498403E-3</v>
      </c>
      <c r="N1774">
        <v>1915.95324707031</v>
      </c>
      <c r="O1774">
        <v>958.98389999999904</v>
      </c>
      <c r="P1774">
        <v>1915.94616699219</v>
      </c>
      <c r="Q1774">
        <v>958.98034667968705</v>
      </c>
      <c r="R1774">
        <v>2</v>
      </c>
      <c r="S1774">
        <v>2</v>
      </c>
      <c r="T1774">
        <v>12</v>
      </c>
      <c r="U1774">
        <v>34.588230000000003</v>
      </c>
      <c r="V1774">
        <v>219242.2</v>
      </c>
    </row>
    <row r="1775" spans="1:22" x14ac:dyDescent="0.25">
      <c r="A1775" t="s">
        <v>3625</v>
      </c>
      <c r="B1775" t="s">
        <v>3626</v>
      </c>
      <c r="C1775">
        <v>243</v>
      </c>
      <c r="D1775">
        <v>98.3</v>
      </c>
      <c r="E1775">
        <v>98.26</v>
      </c>
      <c r="F1775" t="s">
        <v>3627</v>
      </c>
      <c r="G1775" t="s">
        <v>3627</v>
      </c>
      <c r="H1775">
        <f t="shared" si="30"/>
        <v>17</v>
      </c>
      <c r="M1775">
        <v>-4.6220000000000002E-3</v>
      </c>
      <c r="N1775">
        <v>1154.60852050781</v>
      </c>
      <c r="O1775">
        <v>578.31150000000002</v>
      </c>
      <c r="P1775">
        <v>1154.61315917969</v>
      </c>
      <c r="Q1775">
        <v>578.31384277343705</v>
      </c>
      <c r="R1775">
        <v>2</v>
      </c>
      <c r="S1775">
        <v>1</v>
      </c>
      <c r="T1775">
        <v>10</v>
      </c>
      <c r="U1775">
        <v>20.58595</v>
      </c>
      <c r="V1775">
        <v>1702312</v>
      </c>
    </row>
    <row r="1776" spans="1:22" x14ac:dyDescent="0.25">
      <c r="A1776" t="s">
        <v>3625</v>
      </c>
      <c r="B1776" t="s">
        <v>3626</v>
      </c>
      <c r="C1776">
        <v>243</v>
      </c>
      <c r="D1776">
        <v>99</v>
      </c>
      <c r="E1776">
        <v>99</v>
      </c>
      <c r="F1776" t="s">
        <v>3628</v>
      </c>
      <c r="G1776" t="s">
        <v>3628</v>
      </c>
      <c r="H1776">
        <f t="shared" si="30"/>
        <v>18</v>
      </c>
      <c r="M1776" s="1">
        <v>-1.4367799740284701E-3</v>
      </c>
      <c r="N1776">
        <v>1152.59851074219</v>
      </c>
      <c r="O1776">
        <v>385.20679999999902</v>
      </c>
      <c r="P1776">
        <v>1152.59997558594</v>
      </c>
      <c r="Q1776">
        <v>385.207275390625</v>
      </c>
      <c r="R1776">
        <v>3</v>
      </c>
      <c r="S1776">
        <v>5</v>
      </c>
      <c r="T1776">
        <v>12</v>
      </c>
      <c r="U1776">
        <v>20.878170000000001</v>
      </c>
      <c r="V1776">
        <v>1814745</v>
      </c>
    </row>
    <row r="1777" spans="1:22" x14ac:dyDescent="0.25">
      <c r="A1777" t="s">
        <v>4536</v>
      </c>
      <c r="B1777" t="s">
        <v>4537</v>
      </c>
      <c r="C1777">
        <v>960</v>
      </c>
      <c r="D1777">
        <v>99</v>
      </c>
      <c r="E1777">
        <v>99</v>
      </c>
      <c r="F1777" t="s">
        <v>4538</v>
      </c>
      <c r="G1777" t="s">
        <v>4538</v>
      </c>
      <c r="H1777">
        <f t="shared" si="30"/>
        <v>15</v>
      </c>
      <c r="M1777" s="1">
        <v>1.6085099428892101E-2</v>
      </c>
      <c r="N1777">
        <v>2041.88549804688</v>
      </c>
      <c r="O1777">
        <v>1021.95</v>
      </c>
      <c r="P1777">
        <v>2041.86938476563</v>
      </c>
      <c r="Q1777">
        <v>1021.94195556641</v>
      </c>
      <c r="R1777">
        <v>2</v>
      </c>
      <c r="S1777">
        <v>1</v>
      </c>
      <c r="T1777">
        <v>7</v>
      </c>
      <c r="U1777">
        <v>42.49042</v>
      </c>
      <c r="V1777">
        <v>103066</v>
      </c>
    </row>
    <row r="1778" spans="1:22" x14ac:dyDescent="0.25">
      <c r="A1778" t="s">
        <v>3447</v>
      </c>
      <c r="B1778" t="s">
        <v>3448</v>
      </c>
      <c r="C1778">
        <v>64</v>
      </c>
      <c r="D1778">
        <v>99</v>
      </c>
      <c r="E1778">
        <v>99</v>
      </c>
      <c r="F1778" t="s">
        <v>3449</v>
      </c>
      <c r="G1778" t="s">
        <v>3449</v>
      </c>
      <c r="H1778">
        <f t="shared" si="30"/>
        <v>15</v>
      </c>
      <c r="M1778" s="1">
        <v>5.9388000518083503E-3</v>
      </c>
      <c r="N1778">
        <v>2144.04443359375</v>
      </c>
      <c r="O1778">
        <v>715.68880000000001</v>
      </c>
      <c r="P1778">
        <v>2144.03857421875</v>
      </c>
      <c r="Q1778">
        <v>715.68682861328102</v>
      </c>
      <c r="R1778">
        <v>3</v>
      </c>
      <c r="S1778">
        <v>1</v>
      </c>
      <c r="T1778">
        <v>8</v>
      </c>
      <c r="U1778">
        <v>23.67953</v>
      </c>
      <c r="V1778">
        <v>195697.4</v>
      </c>
    </row>
    <row r="1779" spans="1:22" x14ac:dyDescent="0.25">
      <c r="A1779" t="s">
        <v>3447</v>
      </c>
      <c r="B1779" t="s">
        <v>3448</v>
      </c>
      <c r="C1779">
        <v>163</v>
      </c>
      <c r="D1779">
        <v>99</v>
      </c>
      <c r="E1779">
        <v>99</v>
      </c>
      <c r="F1779" t="s">
        <v>3450</v>
      </c>
      <c r="G1779" t="s">
        <v>3450</v>
      </c>
      <c r="H1779">
        <f t="shared" si="30"/>
        <v>16</v>
      </c>
      <c r="M1779" s="1">
        <v>2.4163699708878899E-3</v>
      </c>
      <c r="N1779">
        <v>1192.67407226563</v>
      </c>
      <c r="O1779">
        <v>398.56529999999901</v>
      </c>
      <c r="P1779">
        <v>1192.67163085938</v>
      </c>
      <c r="Q1779">
        <v>398.56451416015602</v>
      </c>
      <c r="R1779">
        <v>3</v>
      </c>
      <c r="S1779">
        <v>7</v>
      </c>
      <c r="T1779">
        <v>11</v>
      </c>
      <c r="U1779">
        <v>29.953430000000001</v>
      </c>
      <c r="V1779">
        <v>3270031</v>
      </c>
    </row>
    <row r="1780" spans="1:22" x14ac:dyDescent="0.25">
      <c r="A1780" t="s">
        <v>3447</v>
      </c>
      <c r="B1780" t="s">
        <v>3448</v>
      </c>
      <c r="C1780">
        <v>64</v>
      </c>
      <c r="D1780">
        <v>99</v>
      </c>
      <c r="E1780">
        <v>99</v>
      </c>
      <c r="F1780" t="s">
        <v>3451</v>
      </c>
      <c r="G1780" t="s">
        <v>3451</v>
      </c>
      <c r="H1780">
        <f t="shared" si="30"/>
        <v>14</v>
      </c>
      <c r="M1780" s="1">
        <v>1.05421002954245E-2</v>
      </c>
      <c r="N1780">
        <v>1605.86206054688</v>
      </c>
      <c r="O1780">
        <v>803.93830000000003</v>
      </c>
      <c r="P1780">
        <v>1605.85144042969</v>
      </c>
      <c r="Q1780">
        <v>803.93304443359295</v>
      </c>
      <c r="R1780">
        <v>2</v>
      </c>
      <c r="S1780">
        <v>1</v>
      </c>
      <c r="T1780">
        <v>10</v>
      </c>
      <c r="U1780">
        <v>46.998379999999898</v>
      </c>
      <c r="V1780">
        <v>128042.7</v>
      </c>
    </row>
    <row r="1781" spans="1:22" x14ac:dyDescent="0.25">
      <c r="A1781" t="s">
        <v>1496</v>
      </c>
      <c r="B1781" t="s">
        <v>1497</v>
      </c>
      <c r="C1781">
        <v>140</v>
      </c>
      <c r="D1781">
        <v>99</v>
      </c>
      <c r="E1781">
        <v>99</v>
      </c>
      <c r="F1781" t="s">
        <v>1498</v>
      </c>
      <c r="G1781" t="s">
        <v>1498</v>
      </c>
      <c r="H1781">
        <f t="shared" si="30"/>
        <v>15</v>
      </c>
      <c r="M1781" s="1">
        <v>3.0942698940634701E-3</v>
      </c>
      <c r="N1781">
        <v>1085.65881347656</v>
      </c>
      <c r="O1781">
        <v>543.83669999999904</v>
      </c>
      <c r="P1781">
        <v>1085.65563964844</v>
      </c>
      <c r="Q1781">
        <v>543.83514404296795</v>
      </c>
      <c r="R1781">
        <v>2</v>
      </c>
      <c r="S1781">
        <v>2</v>
      </c>
      <c r="T1781">
        <v>12</v>
      </c>
      <c r="U1781">
        <v>35.305750000000003</v>
      </c>
      <c r="V1781">
        <v>670741.30000000005</v>
      </c>
    </row>
    <row r="1782" spans="1:22" x14ac:dyDescent="0.25">
      <c r="A1782" t="s">
        <v>1496</v>
      </c>
      <c r="B1782" t="s">
        <v>1497</v>
      </c>
      <c r="C1782">
        <v>170</v>
      </c>
      <c r="D1782">
        <v>99</v>
      </c>
      <c r="E1782">
        <v>99</v>
      </c>
      <c r="F1782" t="s">
        <v>1499</v>
      </c>
      <c r="G1782" t="s">
        <v>1499</v>
      </c>
      <c r="H1782">
        <f t="shared" si="30"/>
        <v>15</v>
      </c>
      <c r="L1782" t="s">
        <v>541</v>
      </c>
      <c r="M1782" s="1">
        <v>3.8783000782132101E-3</v>
      </c>
      <c r="N1782">
        <v>1022.60241699219</v>
      </c>
      <c r="O1782">
        <v>512.30849999999896</v>
      </c>
      <c r="P1782">
        <v>1022.59851074219</v>
      </c>
      <c r="Q1782">
        <v>512.30651855468705</v>
      </c>
      <c r="R1782">
        <v>2</v>
      </c>
      <c r="S1782">
        <v>3</v>
      </c>
      <c r="T1782">
        <v>12</v>
      </c>
      <c r="U1782">
        <v>32.630049999999898</v>
      </c>
      <c r="V1782">
        <v>1025936</v>
      </c>
    </row>
    <row r="1783" spans="1:22" x14ac:dyDescent="0.25">
      <c r="A1783" t="s">
        <v>4429</v>
      </c>
      <c r="B1783" t="s">
        <v>4430</v>
      </c>
      <c r="C1783">
        <v>153</v>
      </c>
      <c r="D1783">
        <v>98.6</v>
      </c>
      <c r="E1783">
        <v>98.58</v>
      </c>
      <c r="F1783" t="s">
        <v>4431</v>
      </c>
      <c r="G1783" t="s">
        <v>4431</v>
      </c>
      <c r="H1783">
        <f t="shared" si="30"/>
        <v>15</v>
      </c>
      <c r="M1783" s="1">
        <v>2.9801500495523201E-3</v>
      </c>
      <c r="N1783">
        <v>1095.7158203125</v>
      </c>
      <c r="O1783">
        <v>548.86519999999905</v>
      </c>
      <c r="P1783">
        <v>1095.71276855469</v>
      </c>
      <c r="Q1783">
        <v>548.86370849609295</v>
      </c>
      <c r="R1783">
        <v>2</v>
      </c>
      <c r="S1783">
        <v>1</v>
      </c>
      <c r="T1783">
        <v>10</v>
      </c>
      <c r="U1783">
        <v>48.25873</v>
      </c>
      <c r="V1783">
        <v>160046.1</v>
      </c>
    </row>
    <row r="1784" spans="1:22" x14ac:dyDescent="0.25">
      <c r="A1784" t="s">
        <v>4429</v>
      </c>
      <c r="B1784" t="s">
        <v>4430</v>
      </c>
      <c r="C1784">
        <v>120</v>
      </c>
      <c r="D1784">
        <v>98.9</v>
      </c>
      <c r="E1784">
        <v>98.93</v>
      </c>
      <c r="F1784" t="s">
        <v>4432</v>
      </c>
      <c r="G1784" t="s">
        <v>4432</v>
      </c>
      <c r="H1784">
        <f t="shared" si="30"/>
        <v>14</v>
      </c>
      <c r="M1784" s="1">
        <v>8.9699598029255902E-3</v>
      </c>
      <c r="N1784">
        <v>2178.19580078125</v>
      </c>
      <c r="O1784">
        <v>727.07259999999906</v>
      </c>
      <c r="P1784">
        <v>2178.18701171875</v>
      </c>
      <c r="Q1784">
        <v>727.069580078125</v>
      </c>
      <c r="R1784">
        <v>3</v>
      </c>
      <c r="S1784">
        <v>1</v>
      </c>
      <c r="T1784">
        <v>11</v>
      </c>
      <c r="U1784">
        <v>27.419550000000001</v>
      </c>
      <c r="V1784">
        <v>271463.2</v>
      </c>
    </row>
    <row r="1785" spans="1:22" x14ac:dyDescent="0.25">
      <c r="A1785" t="s">
        <v>4423</v>
      </c>
      <c r="B1785" t="s">
        <v>4424</v>
      </c>
      <c r="C1785">
        <v>248</v>
      </c>
      <c r="D1785">
        <v>99</v>
      </c>
      <c r="E1785">
        <v>99</v>
      </c>
      <c r="F1785" t="s">
        <v>4425</v>
      </c>
      <c r="G1785" t="s">
        <v>4425</v>
      </c>
      <c r="H1785">
        <f t="shared" si="30"/>
        <v>18</v>
      </c>
      <c r="M1785" s="1">
        <v>6.3972198404371704E-3</v>
      </c>
      <c r="N1785">
        <v>1884.04211425781</v>
      </c>
      <c r="O1785">
        <v>472.01780000000002</v>
      </c>
      <c r="P1785">
        <v>1884.03564453125</v>
      </c>
      <c r="Q1785">
        <v>472.01620483398301</v>
      </c>
      <c r="R1785">
        <v>4</v>
      </c>
      <c r="S1785">
        <v>1</v>
      </c>
      <c r="T1785">
        <v>12</v>
      </c>
      <c r="U1785">
        <v>38.18242</v>
      </c>
      <c r="V1785">
        <v>267131.3</v>
      </c>
    </row>
    <row r="1786" spans="1:22" x14ac:dyDescent="0.25">
      <c r="A1786" t="s">
        <v>3824</v>
      </c>
      <c r="B1786" t="s">
        <v>3825</v>
      </c>
      <c r="C1786">
        <v>215</v>
      </c>
      <c r="D1786">
        <v>97.6</v>
      </c>
      <c r="E1786">
        <v>97.55</v>
      </c>
      <c r="F1786" t="s">
        <v>3826</v>
      </c>
      <c r="G1786" t="s">
        <v>3826</v>
      </c>
      <c r="H1786">
        <f t="shared" si="30"/>
        <v>9</v>
      </c>
      <c r="M1786" s="1">
        <v>-2.1980500314384599E-3</v>
      </c>
      <c r="N1786">
        <v>1232.67163085938</v>
      </c>
      <c r="O1786">
        <v>617.34310000000005</v>
      </c>
      <c r="P1786">
        <v>1232.673828125</v>
      </c>
      <c r="Q1786">
        <v>617.34417724609295</v>
      </c>
      <c r="R1786">
        <v>2</v>
      </c>
      <c r="S1786">
        <v>1</v>
      </c>
      <c r="T1786">
        <v>13</v>
      </c>
      <c r="U1786">
        <v>22.69735</v>
      </c>
      <c r="V1786">
        <v>7900180</v>
      </c>
    </row>
    <row r="1787" spans="1:22" x14ac:dyDescent="0.25">
      <c r="A1787" t="s">
        <v>3824</v>
      </c>
      <c r="B1787" t="s">
        <v>3825</v>
      </c>
      <c r="C1787">
        <v>53</v>
      </c>
      <c r="D1787">
        <v>99</v>
      </c>
      <c r="E1787">
        <v>98.95</v>
      </c>
      <c r="F1787" t="s">
        <v>3827</v>
      </c>
      <c r="G1787" t="s">
        <v>3827</v>
      </c>
      <c r="H1787">
        <f t="shared" si="30"/>
        <v>9</v>
      </c>
      <c r="M1787" s="1">
        <v>1.0865599615499299E-3</v>
      </c>
      <c r="N1787">
        <v>933.52947998046795</v>
      </c>
      <c r="O1787">
        <v>467.77199999999903</v>
      </c>
      <c r="P1787">
        <v>933.52838134765602</v>
      </c>
      <c r="Q1787">
        <v>467.77145385742102</v>
      </c>
      <c r="R1787">
        <v>2</v>
      </c>
      <c r="S1787">
        <v>1</v>
      </c>
      <c r="T1787">
        <v>11</v>
      </c>
      <c r="U1787">
        <v>39.0220699999999</v>
      </c>
      <c r="V1787">
        <v>941080.8</v>
      </c>
    </row>
    <row r="1788" spans="1:22" x14ac:dyDescent="0.25">
      <c r="A1788" t="s">
        <v>3801</v>
      </c>
      <c r="B1788" t="s">
        <v>3802</v>
      </c>
      <c r="C1788">
        <v>245</v>
      </c>
      <c r="D1788">
        <v>99</v>
      </c>
      <c r="E1788">
        <v>99</v>
      </c>
      <c r="F1788" t="s">
        <v>3803</v>
      </c>
      <c r="G1788" t="s">
        <v>3803</v>
      </c>
      <c r="H1788">
        <f t="shared" si="30"/>
        <v>9</v>
      </c>
      <c r="M1788" s="1">
        <v>2.1283000241964999E-3</v>
      </c>
      <c r="N1788">
        <v>1004.53125</v>
      </c>
      <c r="O1788">
        <v>503.27289999999903</v>
      </c>
      <c r="P1788">
        <v>1004.52911376953</v>
      </c>
      <c r="Q1788">
        <v>503.27182006835801</v>
      </c>
      <c r="R1788">
        <v>2</v>
      </c>
      <c r="S1788">
        <v>9</v>
      </c>
      <c r="T1788">
        <v>9</v>
      </c>
      <c r="U1788">
        <v>38.907229999999899</v>
      </c>
      <c r="V1788">
        <v>67248890</v>
      </c>
    </row>
    <row r="1789" spans="1:22" x14ac:dyDescent="0.25">
      <c r="A1789" t="s">
        <v>2676</v>
      </c>
      <c r="B1789" t="s">
        <v>2677</v>
      </c>
      <c r="C1789">
        <v>335</v>
      </c>
      <c r="D1789">
        <v>99</v>
      </c>
      <c r="E1789">
        <v>99</v>
      </c>
      <c r="F1789" t="s">
        <v>2678</v>
      </c>
      <c r="G1789" t="s">
        <v>2678</v>
      </c>
      <c r="H1789">
        <f t="shared" si="30"/>
        <v>9</v>
      </c>
      <c r="M1789" s="1">
        <v>1.4613099629059299E-3</v>
      </c>
      <c r="N1789">
        <v>963.508056640625</v>
      </c>
      <c r="O1789">
        <v>482.76130000000001</v>
      </c>
      <c r="P1789">
        <v>963.506591796875</v>
      </c>
      <c r="Q1789">
        <v>482.76055908203102</v>
      </c>
      <c r="R1789">
        <v>2</v>
      </c>
      <c r="S1789">
        <v>1</v>
      </c>
      <c r="T1789">
        <v>9</v>
      </c>
      <c r="U1789">
        <v>56.815100000000001</v>
      </c>
      <c r="V1789">
        <v>461171.9</v>
      </c>
    </row>
    <row r="1790" spans="1:22" x14ac:dyDescent="0.25">
      <c r="A1790" t="s">
        <v>2679</v>
      </c>
      <c r="B1790" t="s">
        <v>2680</v>
      </c>
      <c r="C1790">
        <v>691</v>
      </c>
      <c r="D1790">
        <v>98.9</v>
      </c>
      <c r="E1790">
        <v>98.92</v>
      </c>
      <c r="F1790" t="s">
        <v>2681</v>
      </c>
      <c r="G1790" t="s">
        <v>2681</v>
      </c>
      <c r="H1790">
        <f t="shared" si="30"/>
        <v>9</v>
      </c>
      <c r="M1790" s="1">
        <v>4.6572899445891302E-3</v>
      </c>
      <c r="N1790">
        <v>979.49224853515602</v>
      </c>
      <c r="O1790">
        <v>490.7534</v>
      </c>
      <c r="P1790">
        <v>979.487548828125</v>
      </c>
      <c r="Q1790">
        <v>490.75106811523301</v>
      </c>
      <c r="R1790">
        <v>2</v>
      </c>
      <c r="S1790">
        <v>3</v>
      </c>
      <c r="T1790">
        <v>10</v>
      </c>
      <c r="U1790">
        <v>26.70673</v>
      </c>
      <c r="V1790">
        <v>258015.4</v>
      </c>
    </row>
    <row r="1791" spans="1:22" x14ac:dyDescent="0.25">
      <c r="A1791" t="s">
        <v>3661</v>
      </c>
      <c r="B1791" t="s">
        <v>3662</v>
      </c>
      <c r="C1791">
        <v>448</v>
      </c>
      <c r="D1791">
        <v>98.3</v>
      </c>
      <c r="E1791">
        <v>98.25</v>
      </c>
      <c r="F1791" t="s">
        <v>3663</v>
      </c>
      <c r="G1791" t="s">
        <v>3663</v>
      </c>
      <c r="H1791">
        <f t="shared" si="30"/>
        <v>17</v>
      </c>
      <c r="M1791" s="1">
        <v>1.81779998820275E-3</v>
      </c>
      <c r="N1791">
        <v>952.503662109375</v>
      </c>
      <c r="O1791">
        <v>477.25909999999902</v>
      </c>
      <c r="P1791">
        <v>952.50183105468705</v>
      </c>
      <c r="Q1791">
        <v>477.25817871093801</v>
      </c>
      <c r="R1791">
        <v>2</v>
      </c>
      <c r="S1791">
        <v>1</v>
      </c>
      <c r="T1791">
        <v>11</v>
      </c>
      <c r="U1791">
        <v>43.95158</v>
      </c>
      <c r="V1791">
        <v>1425646</v>
      </c>
    </row>
    <row r="1792" spans="1:22" x14ac:dyDescent="0.25">
      <c r="A1792" t="s">
        <v>3661</v>
      </c>
      <c r="B1792" t="s">
        <v>3662</v>
      </c>
      <c r="C1792">
        <v>1683</v>
      </c>
      <c r="D1792">
        <v>99</v>
      </c>
      <c r="E1792">
        <v>99</v>
      </c>
      <c r="F1792" t="s">
        <v>3664</v>
      </c>
      <c r="G1792" t="s">
        <v>3664</v>
      </c>
      <c r="H1792">
        <f t="shared" si="30"/>
        <v>14</v>
      </c>
      <c r="M1792" s="1">
        <v>-1.0416599921882101E-2</v>
      </c>
      <c r="N1792">
        <v>1470.84545898438</v>
      </c>
      <c r="O1792">
        <v>736.43</v>
      </c>
      <c r="P1792">
        <v>1470.85583496094</v>
      </c>
      <c r="Q1792">
        <v>736.43518066406205</v>
      </c>
      <c r="R1792">
        <v>2</v>
      </c>
      <c r="S1792">
        <v>2</v>
      </c>
      <c r="T1792">
        <v>15</v>
      </c>
      <c r="U1792">
        <v>18.344930000000002</v>
      </c>
      <c r="V1792">
        <v>501117.7</v>
      </c>
    </row>
    <row r="1793" spans="1:22" x14ac:dyDescent="0.25">
      <c r="A1793" t="s">
        <v>3661</v>
      </c>
      <c r="B1793" t="s">
        <v>3662</v>
      </c>
      <c r="C1793">
        <v>1882</v>
      </c>
      <c r="D1793">
        <v>98.8</v>
      </c>
      <c r="E1793">
        <v>98.82</v>
      </c>
      <c r="F1793" t="s">
        <v>3665</v>
      </c>
      <c r="G1793" t="s">
        <v>3665</v>
      </c>
      <c r="H1793">
        <f t="shared" si="30"/>
        <v>9</v>
      </c>
      <c r="M1793">
        <v>3.8800000000000002E-3</v>
      </c>
      <c r="N1793">
        <v>1047.57922363281</v>
      </c>
      <c r="O1793">
        <v>524.79690000000005</v>
      </c>
      <c r="P1793">
        <v>1047.57531738281</v>
      </c>
      <c r="Q1793">
        <v>524.794921875</v>
      </c>
      <c r="R1793">
        <v>2</v>
      </c>
      <c r="S1793">
        <v>2</v>
      </c>
      <c r="T1793">
        <v>11</v>
      </c>
      <c r="U1793">
        <v>51.493099999999899</v>
      </c>
      <c r="V1793">
        <v>4043192</v>
      </c>
    </row>
    <row r="1794" spans="1:22" x14ac:dyDescent="0.25">
      <c r="A1794" t="s">
        <v>3661</v>
      </c>
      <c r="B1794" t="s">
        <v>3662</v>
      </c>
      <c r="C1794">
        <v>1434</v>
      </c>
      <c r="D1794">
        <v>98.4</v>
      </c>
      <c r="E1794">
        <v>98.38</v>
      </c>
      <c r="F1794" t="s">
        <v>3666</v>
      </c>
      <c r="G1794" t="s">
        <v>3666</v>
      </c>
      <c r="H1794">
        <f t="shared" si="30"/>
        <v>16</v>
      </c>
      <c r="L1794" t="s">
        <v>3667</v>
      </c>
      <c r="M1794" s="1">
        <v>-9.29495971649885E-3</v>
      </c>
      <c r="N1794">
        <v>1750.71643066406</v>
      </c>
      <c r="O1794">
        <v>876.3655</v>
      </c>
      <c r="P1794">
        <v>1750.72570800781</v>
      </c>
      <c r="Q1794">
        <v>876.3701171875</v>
      </c>
      <c r="R1794">
        <v>2</v>
      </c>
      <c r="S1794">
        <v>3</v>
      </c>
      <c r="T1794">
        <v>16</v>
      </c>
      <c r="U1794">
        <v>39.431170000000002</v>
      </c>
      <c r="V1794">
        <v>399442.5</v>
      </c>
    </row>
    <row r="1795" spans="1:22" x14ac:dyDescent="0.25">
      <c r="A1795" t="s">
        <v>4661</v>
      </c>
      <c r="B1795" t="s">
        <v>4662</v>
      </c>
      <c r="C1795">
        <v>33</v>
      </c>
      <c r="D1795">
        <v>99</v>
      </c>
      <c r="E1795">
        <v>99</v>
      </c>
      <c r="F1795" t="s">
        <v>4663</v>
      </c>
      <c r="G1795" t="s">
        <v>4663</v>
      </c>
      <c r="H1795">
        <f t="shared" ref="H1795:H1858" si="31">LEN(G1795)</f>
        <v>15</v>
      </c>
      <c r="M1795" s="1">
        <v>-1.59746001008898E-3</v>
      </c>
      <c r="N1795">
        <v>1767.00268554688</v>
      </c>
      <c r="O1795">
        <v>590.00819999999896</v>
      </c>
      <c r="P1795">
        <v>1767.00427246094</v>
      </c>
      <c r="Q1795">
        <v>590.00872802734295</v>
      </c>
      <c r="R1795">
        <v>3</v>
      </c>
      <c r="S1795">
        <v>1</v>
      </c>
      <c r="T1795">
        <v>13</v>
      </c>
      <c r="U1795">
        <v>41.344119999999897</v>
      </c>
      <c r="V1795">
        <v>323970.5</v>
      </c>
    </row>
    <row r="1796" spans="1:22" x14ac:dyDescent="0.25">
      <c r="A1796" t="s">
        <v>4519</v>
      </c>
      <c r="B1796" t="s">
        <v>4520</v>
      </c>
      <c r="C1796">
        <v>123</v>
      </c>
      <c r="D1796">
        <v>99</v>
      </c>
      <c r="E1796">
        <v>99</v>
      </c>
      <c r="F1796" t="s">
        <v>4521</v>
      </c>
      <c r="G1796" t="s">
        <v>4521</v>
      </c>
      <c r="H1796">
        <f t="shared" si="31"/>
        <v>16</v>
      </c>
      <c r="M1796" s="1">
        <v>-2.1881100255996002E-3</v>
      </c>
      <c r="N1796">
        <v>914.43707275390602</v>
      </c>
      <c r="O1796">
        <v>458.22579999999903</v>
      </c>
      <c r="P1796">
        <v>914.439208984375</v>
      </c>
      <c r="Q1796">
        <v>458.22689819335801</v>
      </c>
      <c r="R1796">
        <v>2</v>
      </c>
      <c r="S1796">
        <v>3</v>
      </c>
      <c r="T1796">
        <v>9</v>
      </c>
      <c r="U1796">
        <v>20.84442</v>
      </c>
      <c r="V1796">
        <v>702654.8</v>
      </c>
    </row>
    <row r="1797" spans="1:22" x14ac:dyDescent="0.25">
      <c r="A1797" t="s">
        <v>4519</v>
      </c>
      <c r="B1797" t="s">
        <v>4520</v>
      </c>
      <c r="C1797">
        <v>124</v>
      </c>
      <c r="D1797">
        <v>99</v>
      </c>
      <c r="E1797">
        <v>99</v>
      </c>
      <c r="F1797" t="s">
        <v>4522</v>
      </c>
      <c r="G1797" t="s">
        <v>4522</v>
      </c>
      <c r="H1797">
        <f t="shared" si="31"/>
        <v>15</v>
      </c>
      <c r="M1797">
        <v>3.3019999999999998E-3</v>
      </c>
      <c r="N1797">
        <v>926.48547363281205</v>
      </c>
      <c r="O1797">
        <v>464.25</v>
      </c>
      <c r="P1797">
        <v>926.48211669921795</v>
      </c>
      <c r="Q1797">
        <v>464.24835205078102</v>
      </c>
      <c r="R1797">
        <v>2</v>
      </c>
      <c r="S1797">
        <v>2</v>
      </c>
      <c r="T1797">
        <v>10</v>
      </c>
      <c r="U1797">
        <v>23.20655</v>
      </c>
      <c r="V1797">
        <v>195814.7</v>
      </c>
    </row>
    <row r="1798" spans="1:22" x14ac:dyDescent="0.25">
      <c r="A1798" t="s">
        <v>4519</v>
      </c>
      <c r="B1798" t="s">
        <v>4520</v>
      </c>
      <c r="C1798">
        <v>123</v>
      </c>
      <c r="D1798">
        <v>99</v>
      </c>
      <c r="E1798">
        <v>99</v>
      </c>
      <c r="F1798" t="s">
        <v>4523</v>
      </c>
      <c r="G1798" t="s">
        <v>4523</v>
      </c>
      <c r="H1798">
        <f t="shared" si="31"/>
        <v>17</v>
      </c>
      <c r="M1798">
        <v>9.273E-3</v>
      </c>
      <c r="N1798">
        <v>1928.9208984375</v>
      </c>
      <c r="O1798">
        <v>643.98090000000002</v>
      </c>
      <c r="P1798">
        <v>1928.91162109375</v>
      </c>
      <c r="Q1798">
        <v>643.977783203125</v>
      </c>
      <c r="R1798">
        <v>3</v>
      </c>
      <c r="S1798">
        <v>1</v>
      </c>
      <c r="T1798">
        <v>10</v>
      </c>
      <c r="U1798">
        <v>38.83</v>
      </c>
      <c r="V1798">
        <v>76123.429999999906</v>
      </c>
    </row>
    <row r="1799" spans="1:22" x14ac:dyDescent="0.25">
      <c r="A1799" t="s">
        <v>4284</v>
      </c>
      <c r="B1799" t="s">
        <v>4285</v>
      </c>
      <c r="C1799">
        <v>327</v>
      </c>
      <c r="D1799">
        <v>99</v>
      </c>
      <c r="E1799">
        <v>99</v>
      </c>
      <c r="F1799" t="s">
        <v>4286</v>
      </c>
      <c r="G1799" t="s">
        <v>4286</v>
      </c>
      <c r="H1799">
        <f t="shared" si="31"/>
        <v>9</v>
      </c>
      <c r="M1799" s="1">
        <v>5.45044988393784E-3</v>
      </c>
      <c r="N1799">
        <v>1019.54547119141</v>
      </c>
      <c r="O1799">
        <v>510.78</v>
      </c>
      <c r="P1799">
        <v>1019.53997802734</v>
      </c>
      <c r="Q1799">
        <v>510.77728271484301</v>
      </c>
      <c r="R1799">
        <v>2</v>
      </c>
      <c r="S1799">
        <v>1</v>
      </c>
      <c r="T1799">
        <v>8</v>
      </c>
      <c r="U1799">
        <v>23.20533</v>
      </c>
      <c r="V1799">
        <v>322209.8</v>
      </c>
    </row>
    <row r="1800" spans="1:22" x14ac:dyDescent="0.25">
      <c r="A1800" t="s">
        <v>912</v>
      </c>
      <c r="B1800" t="s">
        <v>913</v>
      </c>
      <c r="C1800">
        <v>277</v>
      </c>
      <c r="D1800">
        <v>99</v>
      </c>
      <c r="E1800">
        <v>99</v>
      </c>
      <c r="F1800" t="s">
        <v>914</v>
      </c>
      <c r="G1800" t="s">
        <v>914</v>
      </c>
      <c r="H1800">
        <f t="shared" si="31"/>
        <v>9</v>
      </c>
      <c r="M1800" s="1">
        <v>6.5325698815286203E-3</v>
      </c>
      <c r="N1800">
        <v>1272.75073242188</v>
      </c>
      <c r="O1800">
        <v>637.38260000000002</v>
      </c>
      <c r="P1800">
        <v>1272.744140625</v>
      </c>
      <c r="Q1800">
        <v>637.37933349609295</v>
      </c>
      <c r="R1800">
        <v>2</v>
      </c>
      <c r="S1800">
        <v>1</v>
      </c>
      <c r="T1800">
        <v>14</v>
      </c>
      <c r="U1800">
        <v>53.637079999999898</v>
      </c>
      <c r="V1800">
        <v>176925.6</v>
      </c>
    </row>
    <row r="1801" spans="1:22" x14ac:dyDescent="0.25">
      <c r="A1801" t="s">
        <v>912</v>
      </c>
      <c r="B1801" t="s">
        <v>913</v>
      </c>
      <c r="C1801">
        <v>277</v>
      </c>
      <c r="D1801">
        <v>98.6</v>
      </c>
      <c r="E1801">
        <v>98.62</v>
      </c>
      <c r="F1801" t="s">
        <v>914</v>
      </c>
      <c r="G1801" t="s">
        <v>914</v>
      </c>
      <c r="H1801">
        <f t="shared" si="31"/>
        <v>9</v>
      </c>
      <c r="L1801" t="s">
        <v>116</v>
      </c>
      <c r="M1801">
        <v>4.1460000000000004E-3</v>
      </c>
      <c r="N1801">
        <v>1892.93969726563</v>
      </c>
      <c r="O1801">
        <v>631.98720000000003</v>
      </c>
      <c r="P1801">
        <v>1892.935546875</v>
      </c>
      <c r="Q1801">
        <v>631.98577880859295</v>
      </c>
      <c r="R1801">
        <v>3</v>
      </c>
      <c r="S1801">
        <v>1</v>
      </c>
      <c r="T1801">
        <v>10</v>
      </c>
      <c r="U1801">
        <v>31.881450000000001</v>
      </c>
      <c r="V1801">
        <v>229270.6</v>
      </c>
    </row>
    <row r="1802" spans="1:22" x14ac:dyDescent="0.25">
      <c r="A1802" t="s">
        <v>3838</v>
      </c>
      <c r="B1802" t="s">
        <v>3839</v>
      </c>
      <c r="C1802">
        <v>297</v>
      </c>
      <c r="D1802">
        <v>97.7</v>
      </c>
      <c r="E1802">
        <v>97.72</v>
      </c>
      <c r="F1802" t="s">
        <v>3840</v>
      </c>
      <c r="G1802" t="s">
        <v>3840</v>
      </c>
      <c r="H1802">
        <f t="shared" si="31"/>
        <v>17</v>
      </c>
      <c r="M1802" s="1">
        <v>8.9289098978042603E-3</v>
      </c>
      <c r="N1802">
        <v>1956.9306640625</v>
      </c>
      <c r="O1802">
        <v>653.3175</v>
      </c>
      <c r="P1802">
        <v>1956.92175292969</v>
      </c>
      <c r="Q1802">
        <v>653.31451416015602</v>
      </c>
      <c r="R1802">
        <v>3</v>
      </c>
      <c r="S1802">
        <v>1</v>
      </c>
      <c r="T1802">
        <v>10</v>
      </c>
      <c r="U1802">
        <v>45.440420000000003</v>
      </c>
      <c r="V1802">
        <v>134803.70000000001</v>
      </c>
    </row>
    <row r="1803" spans="1:22" x14ac:dyDescent="0.25">
      <c r="A1803" t="s">
        <v>3608</v>
      </c>
      <c r="B1803" t="s">
        <v>3609</v>
      </c>
      <c r="C1803">
        <v>100</v>
      </c>
      <c r="D1803">
        <v>99</v>
      </c>
      <c r="E1803">
        <v>99</v>
      </c>
      <c r="F1803" t="s">
        <v>3610</v>
      </c>
      <c r="G1803" t="s">
        <v>3610</v>
      </c>
      <c r="H1803">
        <f t="shared" si="31"/>
        <v>9</v>
      </c>
      <c r="M1803" s="1">
        <v>1.3965300284326101E-2</v>
      </c>
      <c r="N1803">
        <v>2053.98852539063</v>
      </c>
      <c r="O1803">
        <v>685.67010000000005</v>
      </c>
      <c r="P1803">
        <v>2053.974609375</v>
      </c>
      <c r="Q1803">
        <v>685.66546630859295</v>
      </c>
      <c r="R1803">
        <v>3</v>
      </c>
      <c r="S1803">
        <v>1</v>
      </c>
      <c r="T1803">
        <v>10</v>
      </c>
      <c r="U1803">
        <v>46.437579999999897</v>
      </c>
      <c r="V1803">
        <v>89634.57</v>
      </c>
    </row>
    <row r="1804" spans="1:22" x14ac:dyDescent="0.25">
      <c r="A1804" t="s">
        <v>509</v>
      </c>
      <c r="B1804" t="s">
        <v>510</v>
      </c>
      <c r="C1804">
        <v>299</v>
      </c>
      <c r="D1804">
        <v>99</v>
      </c>
      <c r="E1804">
        <v>99</v>
      </c>
      <c r="F1804" t="s">
        <v>1045</v>
      </c>
      <c r="G1804" t="s">
        <v>1045</v>
      </c>
      <c r="H1804">
        <f t="shared" si="31"/>
        <v>9</v>
      </c>
      <c r="M1804" s="1">
        <v>1.9004600471817E-4</v>
      </c>
      <c r="N1804">
        <v>2038.0458984375</v>
      </c>
      <c r="O1804">
        <v>680.35590000000002</v>
      </c>
      <c r="P1804">
        <v>2038.04565429688</v>
      </c>
      <c r="Q1804">
        <v>680.35583496093705</v>
      </c>
      <c r="R1804">
        <v>3</v>
      </c>
      <c r="S1804">
        <v>1</v>
      </c>
      <c r="T1804">
        <v>10</v>
      </c>
      <c r="U1804">
        <v>21.63448</v>
      </c>
      <c r="V1804">
        <v>269889.5</v>
      </c>
    </row>
    <row r="1805" spans="1:22" x14ac:dyDescent="0.25">
      <c r="A1805" t="s">
        <v>509</v>
      </c>
      <c r="B1805" t="s">
        <v>510</v>
      </c>
      <c r="C1805">
        <v>309</v>
      </c>
      <c r="D1805">
        <v>99</v>
      </c>
      <c r="E1805">
        <v>99</v>
      </c>
      <c r="F1805" t="s">
        <v>511</v>
      </c>
      <c r="G1805" t="s">
        <v>511</v>
      </c>
      <c r="H1805">
        <f t="shared" si="31"/>
        <v>9</v>
      </c>
      <c r="M1805">
        <v>1.056E-2</v>
      </c>
      <c r="N1805">
        <v>1840.90612792969</v>
      </c>
      <c r="O1805">
        <v>921.46029999999905</v>
      </c>
      <c r="P1805">
        <v>1840.8955078125</v>
      </c>
      <c r="Q1805">
        <v>921.45501708984295</v>
      </c>
      <c r="R1805">
        <v>2</v>
      </c>
      <c r="S1805">
        <v>1</v>
      </c>
      <c r="T1805">
        <v>10</v>
      </c>
      <c r="U1805">
        <v>45.549680000000002</v>
      </c>
      <c r="V1805">
        <v>48539.73</v>
      </c>
    </row>
    <row r="1806" spans="1:22" x14ac:dyDescent="0.25">
      <c r="A1806" t="s">
        <v>835</v>
      </c>
      <c r="B1806" t="s">
        <v>836</v>
      </c>
      <c r="C1806">
        <v>220</v>
      </c>
      <c r="D1806">
        <v>99</v>
      </c>
      <c r="E1806">
        <v>99</v>
      </c>
      <c r="F1806" t="s">
        <v>837</v>
      </c>
      <c r="G1806" t="s">
        <v>837</v>
      </c>
      <c r="H1806">
        <f t="shared" si="31"/>
        <v>9</v>
      </c>
      <c r="M1806" s="1">
        <v>3.67310992442071E-3</v>
      </c>
      <c r="N1806">
        <v>1621.81372070313</v>
      </c>
      <c r="O1806">
        <v>811.91409999999905</v>
      </c>
      <c r="P1806">
        <v>1621.81005859375</v>
      </c>
      <c r="Q1806">
        <v>811.91229248046795</v>
      </c>
      <c r="R1806">
        <v>2</v>
      </c>
      <c r="S1806">
        <v>1</v>
      </c>
      <c r="T1806">
        <v>9</v>
      </c>
      <c r="U1806">
        <v>46.247030000000002</v>
      </c>
      <c r="V1806">
        <v>38204.589999999902</v>
      </c>
    </row>
    <row r="1807" spans="1:22" x14ac:dyDescent="0.25">
      <c r="A1807" t="s">
        <v>2591</v>
      </c>
      <c r="B1807" t="s">
        <v>2592</v>
      </c>
      <c r="C1807">
        <v>327</v>
      </c>
      <c r="D1807">
        <v>98.1</v>
      </c>
      <c r="E1807">
        <v>98.1</v>
      </c>
      <c r="F1807" t="s">
        <v>2593</v>
      </c>
      <c r="G1807" t="s">
        <v>2593</v>
      </c>
      <c r="H1807">
        <f t="shared" si="31"/>
        <v>11</v>
      </c>
      <c r="M1807">
        <v>1.9151999999999999E-2</v>
      </c>
      <c r="N1807">
        <v>1863.00817871094</v>
      </c>
      <c r="O1807">
        <v>622.01</v>
      </c>
      <c r="P1807">
        <v>1862.98901367188</v>
      </c>
      <c r="Q1807">
        <v>622.00360107421795</v>
      </c>
      <c r="R1807">
        <v>3</v>
      </c>
      <c r="S1807">
        <v>1</v>
      </c>
      <c r="T1807">
        <v>13</v>
      </c>
      <c r="U1807">
        <v>44.267650000000003</v>
      </c>
      <c r="V1807">
        <v>364394.2</v>
      </c>
    </row>
    <row r="1808" spans="1:22" x14ac:dyDescent="0.25">
      <c r="A1808" t="s">
        <v>2591</v>
      </c>
      <c r="B1808" t="s">
        <v>2592</v>
      </c>
      <c r="C1808">
        <v>228</v>
      </c>
      <c r="D1808">
        <v>99</v>
      </c>
      <c r="E1808">
        <v>99</v>
      </c>
      <c r="F1808" t="s">
        <v>2594</v>
      </c>
      <c r="G1808" t="s">
        <v>2594</v>
      </c>
      <c r="H1808">
        <f t="shared" si="31"/>
        <v>16</v>
      </c>
      <c r="M1808" s="1">
        <v>6.5647400915622703E-3</v>
      </c>
      <c r="N1808">
        <v>1461.69543457031</v>
      </c>
      <c r="O1808">
        <v>731.85500000000002</v>
      </c>
      <c r="P1808">
        <v>1461.68884277344</v>
      </c>
      <c r="Q1808">
        <v>731.85168457031205</v>
      </c>
      <c r="R1808">
        <v>2</v>
      </c>
      <c r="S1808">
        <v>1</v>
      </c>
      <c r="T1808">
        <v>9</v>
      </c>
      <c r="U1808">
        <v>43.794150000000002</v>
      </c>
      <c r="V1808">
        <v>61875.77</v>
      </c>
    </row>
    <row r="1809" spans="1:22" x14ac:dyDescent="0.25">
      <c r="A1809" t="s">
        <v>442</v>
      </c>
      <c r="B1809" t="s">
        <v>4290</v>
      </c>
      <c r="C1809">
        <v>85</v>
      </c>
      <c r="D1809">
        <v>99</v>
      </c>
      <c r="E1809">
        <v>99</v>
      </c>
      <c r="F1809" t="s">
        <v>4291</v>
      </c>
      <c r="G1809" t="s">
        <v>4291</v>
      </c>
      <c r="H1809">
        <f t="shared" si="31"/>
        <v>19</v>
      </c>
      <c r="L1809" t="s">
        <v>397</v>
      </c>
      <c r="M1809" s="1">
        <v>3.57989990152419E-3</v>
      </c>
      <c r="N1809">
        <v>1670.8486328125</v>
      </c>
      <c r="O1809">
        <v>836.4316</v>
      </c>
      <c r="P1809">
        <v>1670.84497070313</v>
      </c>
      <c r="Q1809">
        <v>836.42980957031205</v>
      </c>
      <c r="R1809">
        <v>2</v>
      </c>
      <c r="S1809">
        <v>2</v>
      </c>
      <c r="T1809">
        <v>15</v>
      </c>
      <c r="U1809">
        <v>28.7049699999999</v>
      </c>
      <c r="V1809">
        <v>475456.3</v>
      </c>
    </row>
    <row r="1810" spans="1:22" x14ac:dyDescent="0.25">
      <c r="A1810" t="s">
        <v>4176</v>
      </c>
      <c r="B1810" t="s">
        <v>4177</v>
      </c>
      <c r="C1810">
        <v>39</v>
      </c>
      <c r="D1810">
        <v>99</v>
      </c>
      <c r="E1810">
        <v>99</v>
      </c>
      <c r="F1810" t="s">
        <v>4178</v>
      </c>
      <c r="G1810" t="s">
        <v>4178</v>
      </c>
      <c r="H1810">
        <f t="shared" si="31"/>
        <v>16</v>
      </c>
      <c r="M1810" s="1">
        <v>4.5387898571789204E-3</v>
      </c>
      <c r="N1810">
        <v>1637.78771972656</v>
      </c>
      <c r="O1810">
        <v>819.90110000000004</v>
      </c>
      <c r="P1810">
        <v>1637.783203125</v>
      </c>
      <c r="Q1810">
        <v>819.89886474609295</v>
      </c>
      <c r="R1810">
        <v>2</v>
      </c>
      <c r="S1810">
        <v>1</v>
      </c>
      <c r="T1810">
        <v>9</v>
      </c>
      <c r="U1810">
        <v>41.054670000000002</v>
      </c>
      <c r="V1810">
        <v>73403.960000000006</v>
      </c>
    </row>
    <row r="1811" spans="1:22" x14ac:dyDescent="0.25">
      <c r="A1811" t="s">
        <v>1675</v>
      </c>
      <c r="B1811" t="s">
        <v>1676</v>
      </c>
      <c r="C1811">
        <v>271</v>
      </c>
      <c r="D1811">
        <v>98.6</v>
      </c>
      <c r="E1811">
        <v>98.62</v>
      </c>
      <c r="F1811" t="s">
        <v>1677</v>
      </c>
      <c r="G1811" t="s">
        <v>1677</v>
      </c>
      <c r="H1811">
        <f t="shared" si="31"/>
        <v>15</v>
      </c>
      <c r="M1811" s="1">
        <v>7.5610699132084803E-3</v>
      </c>
      <c r="N1811">
        <v>1734.84350585938</v>
      </c>
      <c r="O1811">
        <v>868.42899999999895</v>
      </c>
      <c r="P1811">
        <v>1734.8359375</v>
      </c>
      <c r="Q1811">
        <v>868.42523193359295</v>
      </c>
      <c r="R1811">
        <v>2</v>
      </c>
      <c r="S1811">
        <v>1</v>
      </c>
      <c r="T1811">
        <v>10</v>
      </c>
      <c r="U1811">
        <v>42.364519999999899</v>
      </c>
      <c r="V1811">
        <v>128897.5</v>
      </c>
    </row>
    <row r="1812" spans="1:22" x14ac:dyDescent="0.25">
      <c r="A1812" t="s">
        <v>1675</v>
      </c>
      <c r="B1812" t="s">
        <v>1676</v>
      </c>
      <c r="C1812">
        <v>271</v>
      </c>
      <c r="D1812">
        <v>99</v>
      </c>
      <c r="E1812">
        <v>99</v>
      </c>
      <c r="F1812" t="s">
        <v>1678</v>
      </c>
      <c r="G1812" t="s">
        <v>1678</v>
      </c>
      <c r="H1812">
        <f t="shared" si="31"/>
        <v>16</v>
      </c>
      <c r="L1812" t="s">
        <v>397</v>
      </c>
      <c r="M1812">
        <v>-2.5999999999999998E-5</v>
      </c>
      <c r="N1812">
        <v>2076.015625</v>
      </c>
      <c r="O1812">
        <v>693.01250000000005</v>
      </c>
      <c r="P1812">
        <v>2076.015625</v>
      </c>
      <c r="Q1812">
        <v>693.01251220703102</v>
      </c>
      <c r="R1812">
        <v>3</v>
      </c>
      <c r="S1812">
        <v>1</v>
      </c>
      <c r="T1812">
        <v>13</v>
      </c>
      <c r="U1812">
        <v>40.567270000000001</v>
      </c>
      <c r="V1812">
        <v>215053</v>
      </c>
    </row>
    <row r="1813" spans="1:22" x14ac:dyDescent="0.25">
      <c r="A1813" t="s">
        <v>4335</v>
      </c>
      <c r="B1813" t="s">
        <v>4336</v>
      </c>
      <c r="C1813">
        <v>105</v>
      </c>
      <c r="D1813">
        <v>97.3</v>
      </c>
      <c r="E1813">
        <v>97.29</v>
      </c>
      <c r="F1813" t="s">
        <v>4337</v>
      </c>
      <c r="G1813" t="s">
        <v>4337</v>
      </c>
      <c r="H1813">
        <f t="shared" si="31"/>
        <v>9</v>
      </c>
      <c r="M1813" s="1">
        <v>2.22448003478347E-3</v>
      </c>
      <c r="N1813">
        <v>1849.86511230469</v>
      </c>
      <c r="O1813">
        <v>925.93979999999897</v>
      </c>
      <c r="P1813">
        <v>1849.86291503906</v>
      </c>
      <c r="Q1813">
        <v>925.938720703125</v>
      </c>
      <c r="R1813">
        <v>2</v>
      </c>
      <c r="S1813">
        <v>2</v>
      </c>
      <c r="T1813">
        <v>14</v>
      </c>
      <c r="U1813">
        <v>42.531480000000002</v>
      </c>
      <c r="V1813">
        <v>204211.7</v>
      </c>
    </row>
    <row r="1814" spans="1:22" x14ac:dyDescent="0.25">
      <c r="A1814" t="s">
        <v>1620</v>
      </c>
      <c r="B1814" t="s">
        <v>1621</v>
      </c>
      <c r="C1814">
        <v>362</v>
      </c>
      <c r="D1814">
        <v>98.4</v>
      </c>
      <c r="E1814">
        <v>98.41</v>
      </c>
      <c r="F1814" t="s">
        <v>1622</v>
      </c>
      <c r="G1814" t="s">
        <v>1622</v>
      </c>
      <c r="H1814">
        <f t="shared" si="31"/>
        <v>15</v>
      </c>
      <c r="M1814" s="1">
        <v>2.8359999414533299E-3</v>
      </c>
      <c r="N1814">
        <v>1467.70227050781</v>
      </c>
      <c r="O1814">
        <v>734.85839999999905</v>
      </c>
      <c r="P1814">
        <v>1467.69946289063</v>
      </c>
      <c r="Q1814">
        <v>734.85699462890602</v>
      </c>
      <c r="R1814">
        <v>2</v>
      </c>
      <c r="S1814">
        <v>2</v>
      </c>
      <c r="T1814">
        <v>10</v>
      </c>
      <c r="U1814">
        <v>42.955599999999897</v>
      </c>
      <c r="V1814">
        <v>88966</v>
      </c>
    </row>
    <row r="1815" spans="1:22" x14ac:dyDescent="0.25">
      <c r="A1815" t="s">
        <v>1620</v>
      </c>
      <c r="B1815" t="s">
        <v>1621</v>
      </c>
      <c r="C1815">
        <v>370</v>
      </c>
      <c r="D1815">
        <v>98.9</v>
      </c>
      <c r="E1815">
        <v>98.89</v>
      </c>
      <c r="F1815" t="s">
        <v>1623</v>
      </c>
      <c r="G1815" t="s">
        <v>1623</v>
      </c>
      <c r="H1815">
        <f t="shared" si="31"/>
        <v>9</v>
      </c>
      <c r="M1815" s="1">
        <v>8.3017097786068795E-3</v>
      </c>
      <c r="N1815">
        <v>2010.95922851563</v>
      </c>
      <c r="O1815">
        <v>671.327</v>
      </c>
      <c r="P1815">
        <v>2010.95092773438</v>
      </c>
      <c r="Q1815">
        <v>671.32427978515602</v>
      </c>
      <c r="R1815">
        <v>3</v>
      </c>
      <c r="S1815">
        <v>1</v>
      </c>
      <c r="T1815">
        <v>10</v>
      </c>
      <c r="U1815">
        <v>40.603879999999897</v>
      </c>
      <c r="V1815">
        <v>90125.09</v>
      </c>
    </row>
    <row r="1816" spans="1:22" x14ac:dyDescent="0.25">
      <c r="A1816" t="s">
        <v>1097</v>
      </c>
      <c r="B1816" t="s">
        <v>1098</v>
      </c>
      <c r="C1816">
        <v>39</v>
      </c>
      <c r="D1816">
        <v>99</v>
      </c>
      <c r="E1816">
        <v>99</v>
      </c>
      <c r="F1816" t="s">
        <v>1099</v>
      </c>
      <c r="G1816" t="s">
        <v>1099</v>
      </c>
      <c r="H1816">
        <f t="shared" si="31"/>
        <v>19</v>
      </c>
      <c r="M1816" s="1">
        <v>-4.0229600854217902E-3</v>
      </c>
      <c r="N1816">
        <v>1709.82543945313</v>
      </c>
      <c r="O1816">
        <v>855.92</v>
      </c>
      <c r="P1816">
        <v>1709.82946777344</v>
      </c>
      <c r="Q1816">
        <v>855.92199707031205</v>
      </c>
      <c r="R1816">
        <v>2</v>
      </c>
      <c r="S1816">
        <v>1</v>
      </c>
      <c r="T1816">
        <v>9</v>
      </c>
      <c r="U1816">
        <v>45.91198</v>
      </c>
      <c r="V1816">
        <v>249987.8</v>
      </c>
    </row>
    <row r="1817" spans="1:22" x14ac:dyDescent="0.25">
      <c r="A1817" t="s">
        <v>3430</v>
      </c>
      <c r="B1817" t="s">
        <v>3431</v>
      </c>
      <c r="C1817">
        <v>72</v>
      </c>
      <c r="D1817">
        <v>97.6</v>
      </c>
      <c r="E1817">
        <v>97.57</v>
      </c>
      <c r="F1817" t="s">
        <v>3432</v>
      </c>
      <c r="G1817" t="s">
        <v>3432</v>
      </c>
      <c r="H1817">
        <f t="shared" si="31"/>
        <v>9</v>
      </c>
      <c r="M1817" s="1">
        <v>-4.14170976728201E-3</v>
      </c>
      <c r="N1817">
        <v>1794.99243164063</v>
      </c>
      <c r="O1817">
        <v>599.33810000000005</v>
      </c>
      <c r="P1817">
        <v>1794.99658203125</v>
      </c>
      <c r="Q1817">
        <v>599.33947753906205</v>
      </c>
      <c r="R1817">
        <v>3</v>
      </c>
      <c r="S1817">
        <v>1</v>
      </c>
      <c r="T1817">
        <v>12</v>
      </c>
      <c r="U1817">
        <v>18.25517</v>
      </c>
      <c r="V1817">
        <v>299500</v>
      </c>
    </row>
    <row r="1818" spans="1:22" x14ac:dyDescent="0.25">
      <c r="A1818" t="s">
        <v>2960</v>
      </c>
      <c r="B1818" t="s">
        <v>2961</v>
      </c>
      <c r="C1818">
        <v>520</v>
      </c>
      <c r="D1818">
        <v>97.1</v>
      </c>
      <c r="E1818">
        <v>97.09</v>
      </c>
      <c r="F1818" t="s">
        <v>2962</v>
      </c>
      <c r="G1818" t="s">
        <v>2962</v>
      </c>
      <c r="H1818">
        <f t="shared" si="31"/>
        <v>8</v>
      </c>
      <c r="M1818" s="1">
        <v>2.0534100476652401E-3</v>
      </c>
      <c r="N1818">
        <v>934.52569580078102</v>
      </c>
      <c r="O1818">
        <v>468.27010000000001</v>
      </c>
      <c r="P1818">
        <v>934.52362060546795</v>
      </c>
      <c r="Q1818">
        <v>468.26907348632801</v>
      </c>
      <c r="R1818">
        <v>2</v>
      </c>
      <c r="S1818">
        <v>2</v>
      </c>
      <c r="T1818">
        <v>12</v>
      </c>
      <c r="U1818">
        <v>43.147100000000002</v>
      </c>
      <c r="V1818">
        <v>852957.8</v>
      </c>
    </row>
    <row r="1819" spans="1:22" x14ac:dyDescent="0.25">
      <c r="A1819" t="s">
        <v>2969</v>
      </c>
      <c r="B1819" t="s">
        <v>2970</v>
      </c>
      <c r="C1819">
        <v>78</v>
      </c>
      <c r="D1819">
        <v>99</v>
      </c>
      <c r="E1819">
        <v>99</v>
      </c>
      <c r="F1819" t="s">
        <v>2971</v>
      </c>
      <c r="G1819" t="s">
        <v>2971</v>
      </c>
      <c r="H1819">
        <f t="shared" si="31"/>
        <v>9</v>
      </c>
      <c r="M1819" s="1">
        <v>-2.5524098891764901E-3</v>
      </c>
      <c r="N1819">
        <v>2331.01123046875</v>
      </c>
      <c r="O1819">
        <v>1166.5129999999899</v>
      </c>
      <c r="P1819">
        <v>2331.01391601563</v>
      </c>
      <c r="Q1819">
        <v>1166.51416015625</v>
      </c>
      <c r="R1819">
        <v>2</v>
      </c>
      <c r="S1819">
        <v>2</v>
      </c>
      <c r="T1819">
        <v>12</v>
      </c>
      <c r="U1819">
        <v>42.519019999999898</v>
      </c>
      <c r="V1819">
        <v>221634</v>
      </c>
    </row>
    <row r="1820" spans="1:22" x14ac:dyDescent="0.25">
      <c r="A1820" t="s">
        <v>4603</v>
      </c>
      <c r="B1820" t="s">
        <v>4604</v>
      </c>
      <c r="C1820">
        <v>41</v>
      </c>
      <c r="D1820">
        <v>99</v>
      </c>
      <c r="E1820">
        <v>99</v>
      </c>
      <c r="F1820" t="s">
        <v>4605</v>
      </c>
      <c r="G1820" t="s">
        <v>4605</v>
      </c>
      <c r="H1820">
        <f t="shared" si="31"/>
        <v>8</v>
      </c>
      <c r="M1820" s="1">
        <v>1.62527000065893E-3</v>
      </c>
      <c r="N1820">
        <v>829.4462890625</v>
      </c>
      <c r="O1820">
        <v>415.73039999999901</v>
      </c>
      <c r="P1820">
        <v>829.44464111328102</v>
      </c>
      <c r="Q1820">
        <v>415.72958374023301</v>
      </c>
      <c r="R1820">
        <v>2</v>
      </c>
      <c r="S1820">
        <v>1</v>
      </c>
      <c r="T1820">
        <v>10</v>
      </c>
      <c r="U1820">
        <v>34.098770000000002</v>
      </c>
      <c r="V1820">
        <v>161942.5</v>
      </c>
    </row>
    <row r="1821" spans="1:22" x14ac:dyDescent="0.25">
      <c r="A1821" t="s">
        <v>4603</v>
      </c>
      <c r="B1821" t="s">
        <v>4604</v>
      </c>
      <c r="C1821">
        <v>40</v>
      </c>
      <c r="D1821">
        <v>98.9</v>
      </c>
      <c r="E1821">
        <v>98.88</v>
      </c>
      <c r="F1821" t="s">
        <v>4606</v>
      </c>
      <c r="G1821" t="s">
        <v>4606</v>
      </c>
      <c r="H1821">
        <f t="shared" si="31"/>
        <v>9</v>
      </c>
      <c r="M1821" s="1">
        <v>7.2694700211286501E-3</v>
      </c>
      <c r="N1821">
        <v>1884.97668457031</v>
      </c>
      <c r="O1821">
        <v>629.33280000000002</v>
      </c>
      <c r="P1821">
        <v>1884.96936035156</v>
      </c>
      <c r="Q1821">
        <v>629.33038330078102</v>
      </c>
      <c r="R1821">
        <v>3</v>
      </c>
      <c r="S1821">
        <v>1</v>
      </c>
      <c r="T1821">
        <v>8</v>
      </c>
      <c r="U1821">
        <v>34.233330000000002</v>
      </c>
      <c r="V1821">
        <v>136390</v>
      </c>
    </row>
    <row r="1822" spans="1:22" x14ac:dyDescent="0.25">
      <c r="A1822" t="s">
        <v>4603</v>
      </c>
      <c r="B1822" t="s">
        <v>4604</v>
      </c>
      <c r="C1822">
        <v>84</v>
      </c>
      <c r="D1822">
        <v>99</v>
      </c>
      <c r="E1822">
        <v>99</v>
      </c>
      <c r="F1822" t="s">
        <v>4607</v>
      </c>
      <c r="G1822" t="s">
        <v>4607</v>
      </c>
      <c r="H1822">
        <f t="shared" si="31"/>
        <v>9</v>
      </c>
      <c r="M1822" s="1">
        <v>2.1253500599414102E-3</v>
      </c>
      <c r="N1822">
        <v>914.55706787109295</v>
      </c>
      <c r="O1822">
        <v>458.28579999999903</v>
      </c>
      <c r="P1822">
        <v>914.554931640625</v>
      </c>
      <c r="Q1822">
        <v>458.28472900390602</v>
      </c>
      <c r="R1822">
        <v>2</v>
      </c>
      <c r="S1822">
        <v>2</v>
      </c>
      <c r="T1822">
        <v>12</v>
      </c>
      <c r="U1822">
        <v>42.5121299999999</v>
      </c>
      <c r="V1822">
        <v>234114.5</v>
      </c>
    </row>
    <row r="1823" spans="1:22" x14ac:dyDescent="0.25">
      <c r="A1823" t="s">
        <v>4170</v>
      </c>
      <c r="B1823" t="s">
        <v>4171</v>
      </c>
      <c r="C1823">
        <v>1137</v>
      </c>
      <c r="D1823">
        <v>99</v>
      </c>
      <c r="E1823">
        <v>99</v>
      </c>
      <c r="F1823" t="s">
        <v>4172</v>
      </c>
      <c r="G1823" t="s">
        <v>4172</v>
      </c>
      <c r="H1823">
        <f t="shared" si="31"/>
        <v>10</v>
      </c>
      <c r="L1823" t="s">
        <v>563</v>
      </c>
      <c r="M1823" s="1">
        <v>1.17666004225612E-2</v>
      </c>
      <c r="N1823">
        <v>1894.92529296875</v>
      </c>
      <c r="O1823">
        <v>948.46990000000005</v>
      </c>
      <c r="P1823">
        <v>1894.91345214844</v>
      </c>
      <c r="Q1823">
        <v>948.46405029296795</v>
      </c>
      <c r="R1823">
        <v>2</v>
      </c>
      <c r="S1823">
        <v>1</v>
      </c>
      <c r="T1823">
        <v>9</v>
      </c>
      <c r="U1823">
        <v>46.3626</v>
      </c>
      <c r="V1823">
        <v>80104.179999999906</v>
      </c>
    </row>
    <row r="1824" spans="1:22" x14ac:dyDescent="0.25">
      <c r="A1824" t="s">
        <v>1763</v>
      </c>
      <c r="B1824" t="s">
        <v>1764</v>
      </c>
      <c r="C1824">
        <v>32</v>
      </c>
      <c r="D1824">
        <v>99</v>
      </c>
      <c r="E1824">
        <v>99</v>
      </c>
      <c r="F1824" t="s">
        <v>1765</v>
      </c>
      <c r="G1824" t="s">
        <v>1765</v>
      </c>
      <c r="H1824">
        <f t="shared" si="31"/>
        <v>9</v>
      </c>
      <c r="M1824" s="1">
        <v>-5.9026497183367502E-4</v>
      </c>
      <c r="N1824">
        <v>960.487060546875</v>
      </c>
      <c r="O1824">
        <v>481.25080000000003</v>
      </c>
      <c r="P1824">
        <v>960.48760986328102</v>
      </c>
      <c r="Q1824">
        <v>481.25109863281301</v>
      </c>
      <c r="R1824">
        <v>2</v>
      </c>
      <c r="S1824">
        <v>1</v>
      </c>
      <c r="T1824">
        <v>14</v>
      </c>
      <c r="U1824">
        <v>35.8874</v>
      </c>
      <c r="V1824">
        <v>717756.9</v>
      </c>
    </row>
    <row r="1825" spans="1:22" x14ac:dyDescent="0.25">
      <c r="A1825" t="s">
        <v>1763</v>
      </c>
      <c r="B1825" t="s">
        <v>1764</v>
      </c>
      <c r="C1825">
        <v>32</v>
      </c>
      <c r="D1825">
        <v>97.3</v>
      </c>
      <c r="E1825">
        <v>97.25</v>
      </c>
      <c r="F1825" t="s">
        <v>1765</v>
      </c>
      <c r="G1825" t="s">
        <v>1765</v>
      </c>
      <c r="H1825">
        <f t="shared" si="31"/>
        <v>9</v>
      </c>
      <c r="L1825" t="s">
        <v>1408</v>
      </c>
      <c r="M1825" s="1">
        <v>1.08559997752309E-2</v>
      </c>
      <c r="N1825">
        <v>1887.87817382813</v>
      </c>
      <c r="O1825">
        <v>630.29999999999905</v>
      </c>
      <c r="P1825">
        <v>1887.86730957031</v>
      </c>
      <c r="Q1825">
        <v>630.29638671875</v>
      </c>
      <c r="R1825">
        <v>3</v>
      </c>
      <c r="S1825">
        <v>1</v>
      </c>
      <c r="T1825">
        <v>9</v>
      </c>
      <c r="U1825">
        <v>33.65448</v>
      </c>
      <c r="V1825">
        <v>289672.59999999899</v>
      </c>
    </row>
    <row r="1826" spans="1:22" x14ac:dyDescent="0.25">
      <c r="A1826" t="s">
        <v>2858</v>
      </c>
      <c r="B1826" t="s">
        <v>2859</v>
      </c>
      <c r="C1826">
        <v>222</v>
      </c>
      <c r="D1826">
        <v>97.9</v>
      </c>
      <c r="E1826">
        <v>97.88</v>
      </c>
      <c r="F1826" t="s">
        <v>2860</v>
      </c>
      <c r="G1826" t="s">
        <v>2860</v>
      </c>
      <c r="H1826">
        <f t="shared" si="31"/>
        <v>9</v>
      </c>
      <c r="M1826" s="1">
        <v>5.7960501872003E-3</v>
      </c>
      <c r="N1826">
        <v>1463.7314453125</v>
      </c>
      <c r="O1826">
        <v>732.87300000000005</v>
      </c>
      <c r="P1826">
        <v>1463.7255859375</v>
      </c>
      <c r="Q1826">
        <v>732.8701171875</v>
      </c>
      <c r="R1826">
        <v>2</v>
      </c>
      <c r="S1826">
        <v>2</v>
      </c>
      <c r="T1826">
        <v>12</v>
      </c>
      <c r="U1826">
        <v>31.252099999999899</v>
      </c>
      <c r="V1826">
        <v>142218.299999999</v>
      </c>
    </row>
    <row r="1827" spans="1:22" x14ac:dyDescent="0.25">
      <c r="A1827" t="s">
        <v>2526</v>
      </c>
      <c r="B1827" t="s">
        <v>2527</v>
      </c>
      <c r="C1827">
        <v>79</v>
      </c>
      <c r="D1827">
        <v>99</v>
      </c>
      <c r="E1827">
        <v>99</v>
      </c>
      <c r="F1827" t="s">
        <v>2528</v>
      </c>
      <c r="G1827" t="s">
        <v>2528</v>
      </c>
      <c r="H1827">
        <f t="shared" si="31"/>
        <v>9</v>
      </c>
      <c r="M1827" s="1">
        <v>4.9955199938267502E-4</v>
      </c>
      <c r="N1827">
        <v>1407.77270507813</v>
      </c>
      <c r="O1827">
        <v>704.89359999999897</v>
      </c>
      <c r="P1827">
        <v>1407.77221679688</v>
      </c>
      <c r="Q1827">
        <v>704.89337158203102</v>
      </c>
      <c r="R1827">
        <v>2</v>
      </c>
      <c r="S1827">
        <v>2</v>
      </c>
      <c r="T1827">
        <v>10</v>
      </c>
      <c r="U1827">
        <v>22.3216199999999</v>
      </c>
      <c r="V1827">
        <v>108991.3</v>
      </c>
    </row>
    <row r="1828" spans="1:22" x14ac:dyDescent="0.25">
      <c r="A1828" t="s">
        <v>3294</v>
      </c>
      <c r="B1828" t="s">
        <v>3295</v>
      </c>
      <c r="C1828">
        <v>495</v>
      </c>
      <c r="D1828">
        <v>99</v>
      </c>
      <c r="E1828">
        <v>99</v>
      </c>
      <c r="F1828" t="s">
        <v>3296</v>
      </c>
      <c r="G1828" t="s">
        <v>3296</v>
      </c>
      <c r="H1828">
        <f t="shared" si="31"/>
        <v>10</v>
      </c>
      <c r="M1828" s="1">
        <v>1.1010100133716999E-3</v>
      </c>
      <c r="N1828">
        <v>1042.65502929688</v>
      </c>
      <c r="O1828">
        <v>522.33479999999895</v>
      </c>
      <c r="P1828">
        <v>1042.65393066406</v>
      </c>
      <c r="Q1828">
        <v>522.334228515625</v>
      </c>
      <c r="R1828">
        <v>2</v>
      </c>
      <c r="S1828">
        <v>2</v>
      </c>
      <c r="T1828">
        <v>9</v>
      </c>
      <c r="U1828">
        <v>54.278700000000001</v>
      </c>
      <c r="V1828">
        <v>1016334</v>
      </c>
    </row>
    <row r="1829" spans="1:22" x14ac:dyDescent="0.25">
      <c r="A1829" t="s">
        <v>2903</v>
      </c>
      <c r="B1829" t="s">
        <v>2904</v>
      </c>
      <c r="C1829">
        <v>269</v>
      </c>
      <c r="D1829">
        <v>99</v>
      </c>
      <c r="E1829">
        <v>99</v>
      </c>
      <c r="F1829" t="s">
        <v>2905</v>
      </c>
      <c r="G1829" t="s">
        <v>2905</v>
      </c>
      <c r="H1829">
        <f t="shared" si="31"/>
        <v>14</v>
      </c>
      <c r="M1829" s="1">
        <v>3.6936900578439201E-3</v>
      </c>
      <c r="N1829">
        <v>1123.64270019531</v>
      </c>
      <c r="O1829">
        <v>562.82860000000005</v>
      </c>
      <c r="P1829">
        <v>1123.63903808594</v>
      </c>
      <c r="Q1829">
        <v>562.82678222656205</v>
      </c>
      <c r="R1829">
        <v>2</v>
      </c>
      <c r="S1829">
        <v>1</v>
      </c>
      <c r="T1829">
        <v>9</v>
      </c>
      <c r="U1829">
        <v>52.653329999999897</v>
      </c>
      <c r="V1829">
        <v>1680863</v>
      </c>
    </row>
    <row r="1830" spans="1:22" x14ac:dyDescent="0.25">
      <c r="A1830" t="s">
        <v>2903</v>
      </c>
      <c r="B1830" t="s">
        <v>2904</v>
      </c>
      <c r="C1830">
        <v>266</v>
      </c>
      <c r="D1830">
        <v>99</v>
      </c>
      <c r="E1830">
        <v>99</v>
      </c>
      <c r="F1830" t="s">
        <v>2906</v>
      </c>
      <c r="G1830" t="s">
        <v>2906</v>
      </c>
      <c r="H1830">
        <f t="shared" si="31"/>
        <v>17</v>
      </c>
      <c r="M1830" s="1">
        <v>3.3221798948943602E-3</v>
      </c>
      <c r="N1830">
        <v>1231.61181640625</v>
      </c>
      <c r="O1830">
        <v>616.81320000000005</v>
      </c>
      <c r="P1830">
        <v>1231.60852050781</v>
      </c>
      <c r="Q1830">
        <v>616.8115234375</v>
      </c>
      <c r="R1830">
        <v>2</v>
      </c>
      <c r="S1830">
        <v>1</v>
      </c>
      <c r="T1830">
        <v>14</v>
      </c>
      <c r="U1830">
        <v>35.851849999999899</v>
      </c>
      <c r="V1830">
        <v>446082.6</v>
      </c>
    </row>
    <row r="1831" spans="1:22" x14ac:dyDescent="0.25">
      <c r="A1831" t="s">
        <v>2903</v>
      </c>
      <c r="B1831" t="s">
        <v>2904</v>
      </c>
      <c r="C1831">
        <v>263</v>
      </c>
      <c r="D1831">
        <v>97.8</v>
      </c>
      <c r="E1831">
        <v>97.82</v>
      </c>
      <c r="F1831" t="s">
        <v>2907</v>
      </c>
      <c r="G1831" t="s">
        <v>2907</v>
      </c>
      <c r="H1831">
        <f t="shared" si="31"/>
        <v>20</v>
      </c>
      <c r="L1831" t="s">
        <v>542</v>
      </c>
      <c r="M1831" s="1">
        <v>1.18910000310279E-4</v>
      </c>
      <c r="N1831">
        <v>1210.62084960938</v>
      </c>
      <c r="O1831">
        <v>606.31769999999904</v>
      </c>
      <c r="P1831">
        <v>1210.62072753906</v>
      </c>
      <c r="Q1831">
        <v>606.317626953125</v>
      </c>
      <c r="R1831">
        <v>2</v>
      </c>
      <c r="S1831">
        <v>1</v>
      </c>
      <c r="T1831">
        <v>12</v>
      </c>
      <c r="U1831">
        <v>36.94473</v>
      </c>
      <c r="V1831">
        <v>642210.80000000005</v>
      </c>
    </row>
    <row r="1832" spans="1:22" x14ac:dyDescent="0.25">
      <c r="A1832" t="s">
        <v>3767</v>
      </c>
      <c r="B1832" t="s">
        <v>3768</v>
      </c>
      <c r="C1832">
        <v>141</v>
      </c>
      <c r="D1832">
        <v>99</v>
      </c>
      <c r="E1832">
        <v>99</v>
      </c>
      <c r="F1832" t="s">
        <v>3769</v>
      </c>
      <c r="G1832" t="s">
        <v>3769</v>
      </c>
      <c r="H1832">
        <f t="shared" si="31"/>
        <v>9</v>
      </c>
      <c r="M1832" s="1">
        <v>-1.0770299704745401E-3</v>
      </c>
      <c r="N1832">
        <v>1641.89270019531</v>
      </c>
      <c r="O1832">
        <v>821.95360000000005</v>
      </c>
      <c r="P1832">
        <v>1641.89379882813</v>
      </c>
      <c r="Q1832">
        <v>821.95416259765602</v>
      </c>
      <c r="R1832">
        <v>2</v>
      </c>
      <c r="S1832">
        <v>2</v>
      </c>
      <c r="T1832">
        <v>16</v>
      </c>
      <c r="U1832">
        <v>50.439329999999899</v>
      </c>
      <c r="V1832">
        <v>387932.1</v>
      </c>
    </row>
    <row r="1833" spans="1:22" x14ac:dyDescent="0.25">
      <c r="A1833" t="s">
        <v>2001</v>
      </c>
      <c r="B1833" t="s">
        <v>2002</v>
      </c>
      <c r="C1833">
        <v>365</v>
      </c>
      <c r="D1833">
        <v>99</v>
      </c>
      <c r="E1833">
        <v>99</v>
      </c>
      <c r="F1833" t="s">
        <v>2003</v>
      </c>
      <c r="G1833" t="s">
        <v>2003</v>
      </c>
      <c r="H1833">
        <f t="shared" si="31"/>
        <v>9</v>
      </c>
      <c r="M1833" s="1">
        <v>-9.0897800400853105E-3</v>
      </c>
      <c r="N1833">
        <v>937.52545166015602</v>
      </c>
      <c r="O1833">
        <v>469.77</v>
      </c>
      <c r="P1833">
        <v>937.53448486328102</v>
      </c>
      <c r="Q1833">
        <v>469.77453613281301</v>
      </c>
      <c r="R1833">
        <v>2</v>
      </c>
      <c r="S1833">
        <v>1</v>
      </c>
      <c r="T1833">
        <v>12</v>
      </c>
      <c r="U1833">
        <v>25.154869999999899</v>
      </c>
      <c r="V1833">
        <v>551045.30000000005</v>
      </c>
    </row>
    <row r="1834" spans="1:22" x14ac:dyDescent="0.25">
      <c r="A1834" t="s">
        <v>2787</v>
      </c>
      <c r="B1834" t="s">
        <v>2788</v>
      </c>
      <c r="C1834">
        <v>639</v>
      </c>
      <c r="D1834">
        <v>98.4</v>
      </c>
      <c r="E1834">
        <v>98.37</v>
      </c>
      <c r="F1834" t="s">
        <v>2789</v>
      </c>
      <c r="G1834" t="s">
        <v>2789</v>
      </c>
      <c r="H1834">
        <f t="shared" si="31"/>
        <v>9</v>
      </c>
      <c r="M1834" s="1">
        <v>5.1647699438035401E-3</v>
      </c>
      <c r="N1834">
        <v>1346.73583984375</v>
      </c>
      <c r="O1834">
        <v>674.37519999999904</v>
      </c>
      <c r="P1834">
        <v>1346.73059082031</v>
      </c>
      <c r="Q1834">
        <v>674.37261962890602</v>
      </c>
      <c r="R1834">
        <v>2</v>
      </c>
      <c r="S1834">
        <v>1</v>
      </c>
      <c r="T1834">
        <v>11</v>
      </c>
      <c r="U1834">
        <v>29.459230000000002</v>
      </c>
      <c r="V1834">
        <v>270687.3</v>
      </c>
    </row>
    <row r="1835" spans="1:22" x14ac:dyDescent="0.25">
      <c r="A1835" t="s">
        <v>3249</v>
      </c>
      <c r="B1835" t="s">
        <v>3250</v>
      </c>
      <c r="C1835">
        <v>225</v>
      </c>
      <c r="D1835">
        <v>99</v>
      </c>
      <c r="E1835">
        <v>99</v>
      </c>
      <c r="F1835" t="s">
        <v>3251</v>
      </c>
      <c r="G1835" t="s">
        <v>3251</v>
      </c>
      <c r="H1835">
        <f t="shared" si="31"/>
        <v>13</v>
      </c>
      <c r="M1835" s="1">
        <v>-1.29788997583091E-3</v>
      </c>
      <c r="N1835">
        <v>1191.70751953125</v>
      </c>
      <c r="O1835">
        <v>596.86099999999897</v>
      </c>
      <c r="P1835">
        <v>1191.70874023438</v>
      </c>
      <c r="Q1835">
        <v>596.86169433593705</v>
      </c>
      <c r="R1835">
        <v>2</v>
      </c>
      <c r="S1835">
        <v>5</v>
      </c>
      <c r="T1835">
        <v>13</v>
      </c>
      <c r="U1835">
        <v>19.25787</v>
      </c>
      <c r="V1835">
        <v>443547.5</v>
      </c>
    </row>
    <row r="1836" spans="1:22" x14ac:dyDescent="0.25">
      <c r="A1836" t="s">
        <v>3249</v>
      </c>
      <c r="B1836" t="s">
        <v>3250</v>
      </c>
      <c r="C1836">
        <v>279</v>
      </c>
      <c r="D1836">
        <v>99</v>
      </c>
      <c r="E1836">
        <v>99</v>
      </c>
      <c r="F1836" t="s">
        <v>3252</v>
      </c>
      <c r="G1836" t="s">
        <v>3252</v>
      </c>
      <c r="H1836">
        <f t="shared" si="31"/>
        <v>17</v>
      </c>
      <c r="M1836" s="1">
        <v>8.1339599564671395E-3</v>
      </c>
      <c r="N1836">
        <v>1553.87463378906</v>
      </c>
      <c r="O1836">
        <v>777.94460000000004</v>
      </c>
      <c r="P1836">
        <v>1553.86645507813</v>
      </c>
      <c r="Q1836">
        <v>777.94049072265602</v>
      </c>
      <c r="R1836">
        <v>2</v>
      </c>
      <c r="S1836">
        <v>1</v>
      </c>
      <c r="T1836">
        <v>11</v>
      </c>
      <c r="U1836">
        <v>43.427230000000002</v>
      </c>
      <c r="V1836">
        <v>125526.1</v>
      </c>
    </row>
    <row r="1837" spans="1:22" x14ac:dyDescent="0.25">
      <c r="A1837" t="s">
        <v>3249</v>
      </c>
      <c r="B1837" t="s">
        <v>3250</v>
      </c>
      <c r="C1837">
        <v>154</v>
      </c>
      <c r="D1837">
        <v>99</v>
      </c>
      <c r="E1837">
        <v>99</v>
      </c>
      <c r="F1837" t="s">
        <v>3253</v>
      </c>
      <c r="G1837" t="s">
        <v>3253</v>
      </c>
      <c r="H1837">
        <f t="shared" si="31"/>
        <v>16</v>
      </c>
      <c r="M1837" s="1">
        <v>-2.5165500119328399E-3</v>
      </c>
      <c r="N1837">
        <v>1134.61608886719</v>
      </c>
      <c r="O1837">
        <v>568.31529999999896</v>
      </c>
      <c r="P1837">
        <v>1134.61853027344</v>
      </c>
      <c r="Q1837">
        <v>568.31658935546795</v>
      </c>
      <c r="R1837">
        <v>2</v>
      </c>
      <c r="S1837">
        <v>1</v>
      </c>
      <c r="T1837">
        <v>12</v>
      </c>
      <c r="U1837">
        <v>24.208970000000001</v>
      </c>
      <c r="V1837">
        <v>4090462</v>
      </c>
    </row>
    <row r="1838" spans="1:22" x14ac:dyDescent="0.25">
      <c r="A1838" t="s">
        <v>3249</v>
      </c>
      <c r="B1838" t="s">
        <v>3250</v>
      </c>
      <c r="C1838">
        <v>97</v>
      </c>
      <c r="D1838">
        <v>99</v>
      </c>
      <c r="E1838">
        <v>99</v>
      </c>
      <c r="F1838" t="s">
        <v>3254</v>
      </c>
      <c r="G1838" t="s">
        <v>3254</v>
      </c>
      <c r="H1838">
        <f t="shared" si="31"/>
        <v>14</v>
      </c>
      <c r="M1838">
        <v>-5.0000000000000002E-5</v>
      </c>
      <c r="N1838">
        <v>1006.61749267578</v>
      </c>
      <c r="O1838">
        <v>504.31599999999901</v>
      </c>
      <c r="P1838">
        <v>1006.61749267578</v>
      </c>
      <c r="Q1838">
        <v>504.31604003906301</v>
      </c>
      <c r="R1838">
        <v>2</v>
      </c>
      <c r="S1838">
        <v>2</v>
      </c>
      <c r="T1838">
        <v>10</v>
      </c>
      <c r="U1838">
        <v>21.218530000000001</v>
      </c>
      <c r="V1838">
        <v>204672.2</v>
      </c>
    </row>
    <row r="1839" spans="1:22" x14ac:dyDescent="0.25">
      <c r="A1839" t="s">
        <v>3255</v>
      </c>
      <c r="B1839" t="s">
        <v>3256</v>
      </c>
      <c r="C1839">
        <v>171</v>
      </c>
      <c r="D1839">
        <v>99</v>
      </c>
      <c r="E1839">
        <v>99</v>
      </c>
      <c r="F1839" t="s">
        <v>3257</v>
      </c>
      <c r="G1839" t="s">
        <v>3257</v>
      </c>
      <c r="H1839">
        <f t="shared" si="31"/>
        <v>17</v>
      </c>
      <c r="M1839" s="1">
        <v>4.1271201334893703E-3</v>
      </c>
      <c r="N1839">
        <v>957.55364990234295</v>
      </c>
      <c r="O1839">
        <v>479.78410000000002</v>
      </c>
      <c r="P1839">
        <v>957.54949951171795</v>
      </c>
      <c r="Q1839">
        <v>479.78201293945301</v>
      </c>
      <c r="R1839">
        <v>2</v>
      </c>
      <c r="S1839">
        <v>3</v>
      </c>
      <c r="T1839">
        <v>11</v>
      </c>
      <c r="U1839">
        <v>44.197270000000003</v>
      </c>
      <c r="V1839">
        <v>408627.4</v>
      </c>
    </row>
    <row r="1840" spans="1:22" x14ac:dyDescent="0.25">
      <c r="A1840" t="s">
        <v>3255</v>
      </c>
      <c r="B1840" t="s">
        <v>3256</v>
      </c>
      <c r="C1840">
        <v>172</v>
      </c>
      <c r="D1840">
        <v>99</v>
      </c>
      <c r="E1840">
        <v>99</v>
      </c>
      <c r="F1840" t="s">
        <v>3258</v>
      </c>
      <c r="G1840" t="s">
        <v>3258</v>
      </c>
      <c r="H1840">
        <f t="shared" si="31"/>
        <v>16</v>
      </c>
      <c r="L1840" t="s">
        <v>295</v>
      </c>
      <c r="M1840">
        <v>7.2909999999999997E-3</v>
      </c>
      <c r="N1840">
        <v>1907.87561035156</v>
      </c>
      <c r="O1840">
        <v>636.96579999999904</v>
      </c>
      <c r="P1840">
        <v>1907.86828613281</v>
      </c>
      <c r="Q1840">
        <v>636.96337890625</v>
      </c>
      <c r="R1840">
        <v>3</v>
      </c>
      <c r="S1840">
        <v>2</v>
      </c>
      <c r="T1840">
        <v>14</v>
      </c>
      <c r="U1840">
        <v>31.3665799999999</v>
      </c>
      <c r="V1840">
        <v>807816.3</v>
      </c>
    </row>
    <row r="1841" spans="1:22" x14ac:dyDescent="0.25">
      <c r="A1841" t="s">
        <v>3835</v>
      </c>
      <c r="B1841" t="s">
        <v>3836</v>
      </c>
      <c r="C1841">
        <v>37</v>
      </c>
      <c r="D1841">
        <v>99</v>
      </c>
      <c r="E1841">
        <v>99</v>
      </c>
      <c r="F1841" t="s">
        <v>3837</v>
      </c>
      <c r="G1841" t="s">
        <v>3837</v>
      </c>
      <c r="H1841">
        <f t="shared" si="31"/>
        <v>15</v>
      </c>
      <c r="M1841" s="1">
        <v>-5.3653898648917701E-3</v>
      </c>
      <c r="N1841">
        <v>1907.78552246094</v>
      </c>
      <c r="O1841">
        <v>954.9</v>
      </c>
      <c r="P1841">
        <v>1907.79089355469</v>
      </c>
      <c r="Q1841">
        <v>954.90270996093705</v>
      </c>
      <c r="R1841">
        <v>2</v>
      </c>
      <c r="S1841">
        <v>1</v>
      </c>
      <c r="T1841">
        <v>8</v>
      </c>
      <c r="U1841">
        <v>40.13308</v>
      </c>
      <c r="V1841">
        <v>132907.1</v>
      </c>
    </row>
    <row r="1842" spans="1:22" x14ac:dyDescent="0.25">
      <c r="A1842" t="s">
        <v>852</v>
      </c>
      <c r="B1842" t="s">
        <v>853</v>
      </c>
      <c r="C1842">
        <v>627</v>
      </c>
      <c r="D1842">
        <v>97.9</v>
      </c>
      <c r="E1842">
        <v>97.9</v>
      </c>
      <c r="F1842" t="s">
        <v>854</v>
      </c>
      <c r="G1842" t="s">
        <v>854</v>
      </c>
      <c r="H1842">
        <f t="shared" si="31"/>
        <v>16</v>
      </c>
      <c r="M1842" s="1">
        <v>1.0901300236582701E-2</v>
      </c>
      <c r="N1842">
        <v>1832.85510253906</v>
      </c>
      <c r="O1842">
        <v>917.4348</v>
      </c>
      <c r="P1842">
        <v>1832.84411621094</v>
      </c>
      <c r="Q1842">
        <v>917.42938232421795</v>
      </c>
      <c r="R1842">
        <v>2</v>
      </c>
      <c r="S1842">
        <v>1</v>
      </c>
      <c r="T1842">
        <v>9</v>
      </c>
      <c r="U1842">
        <v>44.069899999999897</v>
      </c>
      <c r="V1842">
        <v>96661.2</v>
      </c>
    </row>
    <row r="1843" spans="1:22" x14ac:dyDescent="0.25">
      <c r="A1843" t="s">
        <v>831</v>
      </c>
      <c r="B1843" t="s">
        <v>832</v>
      </c>
      <c r="C1843">
        <v>134</v>
      </c>
      <c r="D1843">
        <v>99</v>
      </c>
      <c r="E1843">
        <v>99</v>
      </c>
      <c r="F1843" t="s">
        <v>833</v>
      </c>
      <c r="G1843" t="s">
        <v>833</v>
      </c>
      <c r="H1843">
        <f t="shared" si="31"/>
        <v>15</v>
      </c>
      <c r="M1843" s="1">
        <v>9.9942795932292904E-3</v>
      </c>
      <c r="N1843">
        <v>2104.11254882813</v>
      </c>
      <c r="O1843">
        <v>702.37810000000002</v>
      </c>
      <c r="P1843">
        <v>2104.1025390625</v>
      </c>
      <c r="Q1843">
        <v>702.374755859375</v>
      </c>
      <c r="R1843">
        <v>3</v>
      </c>
      <c r="S1843">
        <v>1</v>
      </c>
      <c r="T1843">
        <v>16</v>
      </c>
      <c r="U1843">
        <v>40.533450000000002</v>
      </c>
      <c r="V1843">
        <v>194488.8</v>
      </c>
    </row>
    <row r="1844" spans="1:22" x14ac:dyDescent="0.25">
      <c r="A1844" t="s">
        <v>831</v>
      </c>
      <c r="B1844" t="s">
        <v>832</v>
      </c>
      <c r="C1844">
        <v>135</v>
      </c>
      <c r="D1844">
        <v>99</v>
      </c>
      <c r="E1844">
        <v>99</v>
      </c>
      <c r="F1844" t="s">
        <v>834</v>
      </c>
      <c r="G1844" t="s">
        <v>834</v>
      </c>
      <c r="H1844">
        <f t="shared" si="31"/>
        <v>16</v>
      </c>
      <c r="M1844" s="1">
        <v>1.32376002147794E-2</v>
      </c>
      <c r="N1844">
        <v>1738.89819335938</v>
      </c>
      <c r="O1844">
        <v>580.64</v>
      </c>
      <c r="P1844">
        <v>1738.88500976563</v>
      </c>
      <c r="Q1844">
        <v>580.63562011718705</v>
      </c>
      <c r="R1844">
        <v>3</v>
      </c>
      <c r="S1844">
        <v>2</v>
      </c>
      <c r="T1844">
        <v>11</v>
      </c>
      <c r="U1844">
        <v>32.314630000000001</v>
      </c>
      <c r="V1844">
        <v>446637.5</v>
      </c>
    </row>
    <row r="1845" spans="1:22" x14ac:dyDescent="0.25">
      <c r="A1845" t="s">
        <v>3965</v>
      </c>
      <c r="B1845" t="s">
        <v>3966</v>
      </c>
      <c r="C1845">
        <v>462</v>
      </c>
      <c r="D1845">
        <v>99</v>
      </c>
      <c r="E1845">
        <v>99</v>
      </c>
      <c r="F1845" t="s">
        <v>3967</v>
      </c>
      <c r="G1845" t="s">
        <v>3967</v>
      </c>
      <c r="H1845">
        <f t="shared" si="31"/>
        <v>11</v>
      </c>
      <c r="M1845" s="1">
        <v>-1.3229299802332999E-3</v>
      </c>
      <c r="N1845">
        <v>1796.94482421875</v>
      </c>
      <c r="O1845">
        <v>899.47969999999896</v>
      </c>
      <c r="P1845">
        <v>1796.94616699219</v>
      </c>
      <c r="Q1845">
        <v>899.48034667968705</v>
      </c>
      <c r="R1845">
        <v>2</v>
      </c>
      <c r="S1845">
        <v>1</v>
      </c>
      <c r="T1845">
        <v>9</v>
      </c>
      <c r="U1845">
        <v>54.177950000000003</v>
      </c>
      <c r="V1845">
        <v>183949.8</v>
      </c>
    </row>
    <row r="1846" spans="1:22" x14ac:dyDescent="0.25">
      <c r="A1846" t="s">
        <v>730</v>
      </c>
      <c r="B1846" t="s">
        <v>731</v>
      </c>
      <c r="C1846">
        <v>6</v>
      </c>
      <c r="D1846">
        <v>99</v>
      </c>
      <c r="E1846">
        <v>99</v>
      </c>
      <c r="F1846" t="s">
        <v>732</v>
      </c>
      <c r="G1846" t="s">
        <v>732</v>
      </c>
      <c r="H1846">
        <f t="shared" si="31"/>
        <v>15</v>
      </c>
      <c r="M1846" s="1">
        <v>1.7075500218197599E-3</v>
      </c>
      <c r="N1846">
        <v>1043.59924316406</v>
      </c>
      <c r="O1846">
        <v>522.80690000000004</v>
      </c>
      <c r="P1846">
        <v>1043.59753417969</v>
      </c>
      <c r="Q1846">
        <v>522.80603027343705</v>
      </c>
      <c r="R1846">
        <v>2</v>
      </c>
      <c r="S1846">
        <v>2</v>
      </c>
      <c r="T1846">
        <v>13</v>
      </c>
      <c r="U1846">
        <v>45.402949999999898</v>
      </c>
      <c r="V1846">
        <v>1644409</v>
      </c>
    </row>
    <row r="1847" spans="1:22" x14ac:dyDescent="0.25">
      <c r="A1847" t="s">
        <v>730</v>
      </c>
      <c r="B1847" t="s">
        <v>731</v>
      </c>
      <c r="C1847">
        <v>7</v>
      </c>
      <c r="D1847">
        <v>99</v>
      </c>
      <c r="E1847">
        <v>99</v>
      </c>
      <c r="F1847" t="s">
        <v>733</v>
      </c>
      <c r="G1847" t="s">
        <v>733</v>
      </c>
      <c r="H1847">
        <f t="shared" si="31"/>
        <v>13</v>
      </c>
      <c r="M1847" s="1">
        <v>-1.1382700176909601E-3</v>
      </c>
      <c r="N1847">
        <v>1270.79614257813</v>
      </c>
      <c r="O1847">
        <v>424.60599999999903</v>
      </c>
      <c r="P1847">
        <v>1270.79724121094</v>
      </c>
      <c r="Q1847">
        <v>424.60635375976602</v>
      </c>
      <c r="R1847">
        <v>3</v>
      </c>
      <c r="S1847">
        <v>1</v>
      </c>
      <c r="T1847">
        <v>10</v>
      </c>
      <c r="U1847">
        <v>18.96752</v>
      </c>
      <c r="V1847">
        <v>62734.96</v>
      </c>
    </row>
    <row r="1848" spans="1:22" x14ac:dyDescent="0.25">
      <c r="A1848" t="s">
        <v>730</v>
      </c>
      <c r="B1848" t="s">
        <v>731</v>
      </c>
      <c r="C1848">
        <v>7</v>
      </c>
      <c r="D1848">
        <v>99</v>
      </c>
      <c r="E1848">
        <v>99</v>
      </c>
      <c r="F1848" t="s">
        <v>734</v>
      </c>
      <c r="G1848" t="s">
        <v>734</v>
      </c>
      <c r="H1848">
        <f t="shared" si="31"/>
        <v>14</v>
      </c>
      <c r="M1848" s="1">
        <v>7.1231899783015303E-3</v>
      </c>
      <c r="N1848">
        <v>1716.87536621094</v>
      </c>
      <c r="O1848">
        <v>573.29909999999904</v>
      </c>
      <c r="P1848">
        <v>1716.86828613281</v>
      </c>
      <c r="Q1848">
        <v>573.29669189453102</v>
      </c>
      <c r="R1848">
        <v>3</v>
      </c>
      <c r="S1848">
        <v>1</v>
      </c>
      <c r="T1848">
        <v>8</v>
      </c>
      <c r="U1848">
        <v>45.795760000000001</v>
      </c>
      <c r="V1848">
        <v>70671.22</v>
      </c>
    </row>
    <row r="1849" spans="1:22" x14ac:dyDescent="0.25">
      <c r="A1849" t="s">
        <v>4524</v>
      </c>
      <c r="B1849" t="s">
        <v>4525</v>
      </c>
      <c r="C1849">
        <v>12</v>
      </c>
      <c r="D1849">
        <v>99</v>
      </c>
      <c r="E1849">
        <v>99</v>
      </c>
      <c r="F1849" t="s">
        <v>4526</v>
      </c>
      <c r="G1849" t="s">
        <v>4526</v>
      </c>
      <c r="H1849">
        <f t="shared" si="31"/>
        <v>16</v>
      </c>
      <c r="L1849" t="s">
        <v>109</v>
      </c>
      <c r="M1849" s="1">
        <v>2.60386988520621E-3</v>
      </c>
      <c r="N1849">
        <v>1141.56164550781</v>
      </c>
      <c r="O1849">
        <v>571.78809999999896</v>
      </c>
      <c r="P1849">
        <v>1141.55895996094</v>
      </c>
      <c r="Q1849">
        <v>571.78680419921795</v>
      </c>
      <c r="R1849">
        <v>2</v>
      </c>
      <c r="S1849">
        <v>2</v>
      </c>
      <c r="T1849">
        <v>12</v>
      </c>
      <c r="U1849">
        <v>36.1529799999999</v>
      </c>
      <c r="V1849">
        <v>523667.8</v>
      </c>
    </row>
    <row r="1850" spans="1:22" x14ac:dyDescent="0.25">
      <c r="A1850" t="s">
        <v>2391</v>
      </c>
      <c r="B1850" t="s">
        <v>2392</v>
      </c>
      <c r="C1850">
        <v>291</v>
      </c>
      <c r="D1850">
        <v>99</v>
      </c>
      <c r="E1850">
        <v>99</v>
      </c>
      <c r="F1850" t="s">
        <v>2393</v>
      </c>
      <c r="G1850" t="s">
        <v>2393</v>
      </c>
      <c r="H1850">
        <f t="shared" si="31"/>
        <v>9</v>
      </c>
      <c r="M1850" s="1">
        <v>-4.3109902180731201E-3</v>
      </c>
      <c r="N1850">
        <v>2031.03820800781</v>
      </c>
      <c r="O1850">
        <v>678.02</v>
      </c>
      <c r="P1850">
        <v>2031.04248046875</v>
      </c>
      <c r="Q1850">
        <v>678.021484375</v>
      </c>
      <c r="R1850">
        <v>3</v>
      </c>
      <c r="S1850">
        <v>1</v>
      </c>
      <c r="T1850">
        <v>12</v>
      </c>
      <c r="U1850">
        <v>41.27552</v>
      </c>
      <c r="V1850">
        <v>261985.5</v>
      </c>
    </row>
    <row r="1851" spans="1:22" x14ac:dyDescent="0.25">
      <c r="A1851" t="s">
        <v>706</v>
      </c>
      <c r="B1851" t="s">
        <v>707</v>
      </c>
      <c r="C1851">
        <v>85</v>
      </c>
      <c r="D1851">
        <v>99</v>
      </c>
      <c r="E1851">
        <v>99</v>
      </c>
      <c r="F1851" t="s">
        <v>708</v>
      </c>
      <c r="G1851" t="s">
        <v>708</v>
      </c>
      <c r="H1851">
        <f t="shared" si="31"/>
        <v>16</v>
      </c>
      <c r="M1851">
        <v>1.3940000000000001E-3</v>
      </c>
      <c r="N1851">
        <v>1964.90893554688</v>
      </c>
      <c r="O1851">
        <v>655.9769</v>
      </c>
      <c r="P1851">
        <v>1964.90759277344</v>
      </c>
      <c r="Q1851">
        <v>655.97644042968705</v>
      </c>
      <c r="R1851">
        <v>3</v>
      </c>
      <c r="S1851">
        <v>1</v>
      </c>
      <c r="T1851">
        <v>12</v>
      </c>
      <c r="U1851">
        <v>29.924299999999899</v>
      </c>
      <c r="V1851">
        <v>111518.3</v>
      </c>
    </row>
    <row r="1852" spans="1:22" x14ac:dyDescent="0.25">
      <c r="A1852" t="s">
        <v>706</v>
      </c>
      <c r="B1852" t="s">
        <v>707</v>
      </c>
      <c r="C1852">
        <v>11</v>
      </c>
      <c r="D1852">
        <v>99</v>
      </c>
      <c r="E1852">
        <v>99</v>
      </c>
      <c r="F1852" t="s">
        <v>709</v>
      </c>
      <c r="G1852" t="s">
        <v>709</v>
      </c>
      <c r="H1852">
        <f t="shared" si="31"/>
        <v>18</v>
      </c>
      <c r="M1852" s="1">
        <v>6.6897999495267903E-3</v>
      </c>
      <c r="N1852">
        <v>1790.86547851563</v>
      </c>
      <c r="O1852">
        <v>896.44</v>
      </c>
      <c r="P1852">
        <v>1790.85876464844</v>
      </c>
      <c r="Q1852">
        <v>896.43664550781205</v>
      </c>
      <c r="R1852">
        <v>2</v>
      </c>
      <c r="S1852">
        <v>1</v>
      </c>
      <c r="T1852">
        <v>10</v>
      </c>
      <c r="U1852">
        <v>42.643799999999899</v>
      </c>
      <c r="V1852">
        <v>72637.100000000006</v>
      </c>
    </row>
    <row r="1853" spans="1:22" x14ac:dyDescent="0.25">
      <c r="A1853" t="s">
        <v>706</v>
      </c>
      <c r="B1853" t="s">
        <v>707</v>
      </c>
      <c r="C1853">
        <v>70</v>
      </c>
      <c r="D1853">
        <v>99</v>
      </c>
      <c r="E1853">
        <v>99</v>
      </c>
      <c r="F1853" t="s">
        <v>710</v>
      </c>
      <c r="G1853" t="s">
        <v>710</v>
      </c>
      <c r="H1853">
        <f t="shared" si="31"/>
        <v>18</v>
      </c>
      <c r="M1853" s="1">
        <v>5.5183097720146101E-3</v>
      </c>
      <c r="N1853">
        <v>1746.99353027344</v>
      </c>
      <c r="O1853">
        <v>874.50400000000002</v>
      </c>
      <c r="P1853">
        <v>1746.98803710938</v>
      </c>
      <c r="Q1853">
        <v>874.50128173828102</v>
      </c>
      <c r="R1853">
        <v>2</v>
      </c>
      <c r="S1853">
        <v>1</v>
      </c>
      <c r="T1853">
        <v>12</v>
      </c>
      <c r="U1853">
        <v>51.860120000000002</v>
      </c>
      <c r="V1853">
        <v>109473.9</v>
      </c>
    </row>
    <row r="1854" spans="1:22" x14ac:dyDescent="0.25">
      <c r="A1854" t="s">
        <v>706</v>
      </c>
      <c r="B1854" t="s">
        <v>707</v>
      </c>
      <c r="C1854">
        <v>174</v>
      </c>
      <c r="D1854">
        <v>97.4</v>
      </c>
      <c r="E1854">
        <v>97.43</v>
      </c>
      <c r="F1854" t="s">
        <v>711</v>
      </c>
      <c r="G1854" t="s">
        <v>711</v>
      </c>
      <c r="H1854">
        <f t="shared" si="31"/>
        <v>15</v>
      </c>
      <c r="L1854" t="s">
        <v>183</v>
      </c>
      <c r="M1854" s="1">
        <v>8.9507000520825403E-3</v>
      </c>
      <c r="N1854">
        <v>1543.68151855469</v>
      </c>
      <c r="O1854">
        <v>772.84799999999905</v>
      </c>
      <c r="P1854">
        <v>1543.67248535156</v>
      </c>
      <c r="Q1854">
        <v>772.84356689453102</v>
      </c>
      <c r="R1854">
        <v>2</v>
      </c>
      <c r="S1854">
        <v>1</v>
      </c>
      <c r="T1854">
        <v>12</v>
      </c>
      <c r="U1854">
        <v>46.863579999999899</v>
      </c>
      <c r="V1854">
        <v>66544.240000000005</v>
      </c>
    </row>
    <row r="1855" spans="1:22" x14ac:dyDescent="0.25">
      <c r="A1855" t="s">
        <v>1635</v>
      </c>
      <c r="B1855" t="s">
        <v>1636</v>
      </c>
      <c r="C1855">
        <v>358</v>
      </c>
      <c r="D1855">
        <v>99</v>
      </c>
      <c r="E1855">
        <v>99</v>
      </c>
      <c r="F1855" t="s">
        <v>1637</v>
      </c>
      <c r="G1855" t="s">
        <v>1637</v>
      </c>
      <c r="H1855">
        <f t="shared" si="31"/>
        <v>13</v>
      </c>
      <c r="M1855" s="1">
        <v>2.72013992071151E-3</v>
      </c>
      <c r="N1855">
        <v>1876.03332519531</v>
      </c>
      <c r="O1855">
        <v>939.02390000000003</v>
      </c>
      <c r="P1855">
        <v>1876.03051757813</v>
      </c>
      <c r="Q1855">
        <v>939.02258300781205</v>
      </c>
      <c r="R1855">
        <v>2</v>
      </c>
      <c r="S1855">
        <v>2</v>
      </c>
      <c r="T1855">
        <v>13</v>
      </c>
      <c r="U1855">
        <v>52.1694999999999</v>
      </c>
      <c r="V1855">
        <v>181873.3</v>
      </c>
    </row>
    <row r="1856" spans="1:22" x14ac:dyDescent="0.25">
      <c r="A1856" t="s">
        <v>2189</v>
      </c>
      <c r="B1856" t="s">
        <v>2190</v>
      </c>
      <c r="C1856">
        <v>529</v>
      </c>
      <c r="D1856">
        <v>99</v>
      </c>
      <c r="E1856">
        <v>99</v>
      </c>
      <c r="F1856" t="s">
        <v>2191</v>
      </c>
      <c r="G1856" t="s">
        <v>2191</v>
      </c>
      <c r="H1856">
        <f t="shared" si="31"/>
        <v>11</v>
      </c>
      <c r="M1856" s="1">
        <v>1.31483003497124E-2</v>
      </c>
      <c r="N1856">
        <v>2084.10327148438</v>
      </c>
      <c r="O1856">
        <v>1043.059</v>
      </c>
      <c r="P1856">
        <v>2084.09033203125</v>
      </c>
      <c r="Q1856">
        <v>1043.05236816406</v>
      </c>
      <c r="R1856">
        <v>2</v>
      </c>
      <c r="S1856">
        <v>1</v>
      </c>
      <c r="T1856">
        <v>14</v>
      </c>
      <c r="U1856">
        <v>40.896900000000002</v>
      </c>
      <c r="V1856">
        <v>157873.1</v>
      </c>
    </row>
    <row r="1857" spans="1:22" x14ac:dyDescent="0.25">
      <c r="A1857" t="s">
        <v>2189</v>
      </c>
      <c r="B1857" t="s">
        <v>2190</v>
      </c>
      <c r="C1857">
        <v>392</v>
      </c>
      <c r="D1857">
        <v>97.9</v>
      </c>
      <c r="E1857">
        <v>97.87</v>
      </c>
      <c r="F1857" t="s">
        <v>2192</v>
      </c>
      <c r="G1857" t="s">
        <v>2192</v>
      </c>
      <c r="H1857">
        <f t="shared" si="31"/>
        <v>16</v>
      </c>
      <c r="M1857" s="1">
        <v>-3.2680500298738501E-3</v>
      </c>
      <c r="N1857">
        <v>2150.99340820313</v>
      </c>
      <c r="O1857">
        <v>1076.5039999999899</v>
      </c>
      <c r="P1857">
        <v>2150.99682617188</v>
      </c>
      <c r="Q1857">
        <v>1076.50561523438</v>
      </c>
      <c r="R1857">
        <v>2</v>
      </c>
      <c r="S1857">
        <v>1</v>
      </c>
      <c r="T1857">
        <v>12</v>
      </c>
      <c r="U1857">
        <v>38.22842</v>
      </c>
      <c r="V1857">
        <v>295549.09999999899</v>
      </c>
    </row>
    <row r="1858" spans="1:22" x14ac:dyDescent="0.25">
      <c r="A1858" t="s">
        <v>2189</v>
      </c>
      <c r="B1858" t="s">
        <v>2190</v>
      </c>
      <c r="C1858">
        <v>393</v>
      </c>
      <c r="D1858">
        <v>99</v>
      </c>
      <c r="E1858">
        <v>99</v>
      </c>
      <c r="F1858" t="s">
        <v>2193</v>
      </c>
      <c r="G1858" t="s">
        <v>2193</v>
      </c>
      <c r="H1858">
        <f t="shared" si="31"/>
        <v>15</v>
      </c>
      <c r="M1858" s="1">
        <v>5.8974800631403802E-3</v>
      </c>
      <c r="N1858">
        <v>2132.01611328125</v>
      </c>
      <c r="O1858">
        <v>711.67930000000001</v>
      </c>
      <c r="P1858">
        <v>2132.01025390625</v>
      </c>
      <c r="Q1858">
        <v>711.67736816406205</v>
      </c>
      <c r="R1858">
        <v>3</v>
      </c>
      <c r="S1858">
        <v>1</v>
      </c>
      <c r="T1858">
        <v>12</v>
      </c>
      <c r="U1858">
        <v>40.456429999999898</v>
      </c>
      <c r="V1858">
        <v>199158.9</v>
      </c>
    </row>
    <row r="1859" spans="1:22" x14ac:dyDescent="0.25">
      <c r="A1859" t="s">
        <v>2137</v>
      </c>
      <c r="B1859" t="s">
        <v>2138</v>
      </c>
      <c r="C1859">
        <v>342</v>
      </c>
      <c r="D1859">
        <v>97.1</v>
      </c>
      <c r="E1859">
        <v>97.09</v>
      </c>
      <c r="F1859" t="s">
        <v>2139</v>
      </c>
      <c r="G1859" t="s">
        <v>2139</v>
      </c>
      <c r="H1859">
        <f t="shared" ref="H1859:H1922" si="32">LEN(G1859)</f>
        <v>13</v>
      </c>
      <c r="M1859" s="1">
        <v>-1.5868899645283801E-3</v>
      </c>
      <c r="N1859">
        <v>1014.58465576172</v>
      </c>
      <c r="O1859">
        <v>508.2996</v>
      </c>
      <c r="P1859">
        <v>1014.58624267578</v>
      </c>
      <c r="Q1859">
        <v>508.30038452148301</v>
      </c>
      <c r="R1859">
        <v>2</v>
      </c>
      <c r="S1859">
        <v>1</v>
      </c>
      <c r="T1859">
        <v>9</v>
      </c>
      <c r="U1859">
        <v>44.795229999999897</v>
      </c>
      <c r="V1859">
        <v>237916.5</v>
      </c>
    </row>
    <row r="1860" spans="1:22" x14ac:dyDescent="0.25">
      <c r="A1860" t="s">
        <v>2161</v>
      </c>
      <c r="B1860" t="s">
        <v>2162</v>
      </c>
      <c r="C1860">
        <v>455</v>
      </c>
      <c r="D1860">
        <v>98.1</v>
      </c>
      <c r="E1860">
        <v>98.14</v>
      </c>
      <c r="F1860" t="s">
        <v>2163</v>
      </c>
      <c r="G1860" t="s">
        <v>2163</v>
      </c>
      <c r="H1860">
        <f t="shared" si="32"/>
        <v>9</v>
      </c>
      <c r="L1860" t="s">
        <v>2164</v>
      </c>
      <c r="M1860">
        <v>4.8187000000000001E-2</v>
      </c>
      <c r="N1860">
        <v>2186.02465820313</v>
      </c>
      <c r="O1860">
        <v>729.68209999999897</v>
      </c>
      <c r="P1860">
        <v>2185.97631835938</v>
      </c>
      <c r="Q1860">
        <v>729.66607666015602</v>
      </c>
      <c r="R1860">
        <v>3</v>
      </c>
      <c r="S1860">
        <v>2</v>
      </c>
      <c r="T1860">
        <v>12</v>
      </c>
      <c r="U1860">
        <v>36.049729999999897</v>
      </c>
      <c r="V1860">
        <v>186435.8</v>
      </c>
    </row>
    <row r="1861" spans="1:22" x14ac:dyDescent="0.25">
      <c r="A1861" t="s">
        <v>3402</v>
      </c>
      <c r="B1861" t="s">
        <v>3403</v>
      </c>
      <c r="C1861">
        <v>1193</v>
      </c>
      <c r="D1861">
        <v>99</v>
      </c>
      <c r="E1861">
        <v>99</v>
      </c>
      <c r="F1861" t="s">
        <v>20</v>
      </c>
      <c r="G1861" t="s">
        <v>20</v>
      </c>
      <c r="H1861">
        <f t="shared" si="32"/>
        <v>9</v>
      </c>
      <c r="M1861" s="1">
        <v>1.4563299482688199E-3</v>
      </c>
      <c r="N1861">
        <v>1068.60949707031</v>
      </c>
      <c r="O1861">
        <v>535.31200000000001</v>
      </c>
      <c r="P1861">
        <v>1068.60803222656</v>
      </c>
      <c r="Q1861">
        <v>535.311279296875</v>
      </c>
      <c r="R1861">
        <v>2</v>
      </c>
      <c r="S1861">
        <v>3</v>
      </c>
      <c r="T1861">
        <v>10</v>
      </c>
      <c r="U1861">
        <v>47.8508</v>
      </c>
      <c r="V1861">
        <v>4841021</v>
      </c>
    </row>
    <row r="1862" spans="1:22" x14ac:dyDescent="0.25">
      <c r="A1862" t="s">
        <v>214</v>
      </c>
      <c r="B1862" t="s">
        <v>215</v>
      </c>
      <c r="C1862">
        <v>171</v>
      </c>
      <c r="D1862">
        <v>97</v>
      </c>
      <c r="E1862">
        <v>96.99</v>
      </c>
      <c r="F1862" t="s">
        <v>216</v>
      </c>
      <c r="G1862" t="s">
        <v>216</v>
      </c>
      <c r="H1862">
        <f t="shared" si="32"/>
        <v>9</v>
      </c>
      <c r="M1862" s="1">
        <v>-2.9107799753546701E-2</v>
      </c>
      <c r="N1862">
        <v>1026.50549316406</v>
      </c>
      <c r="O1862">
        <v>514.26</v>
      </c>
      <c r="P1862">
        <v>1026.53454589844</v>
      </c>
      <c r="Q1862">
        <v>514.27453613281205</v>
      </c>
      <c r="R1862">
        <v>2</v>
      </c>
      <c r="S1862">
        <v>3</v>
      </c>
      <c r="T1862">
        <v>10</v>
      </c>
      <c r="U1862">
        <v>40.01023</v>
      </c>
      <c r="V1862">
        <v>354855.5</v>
      </c>
    </row>
    <row r="1863" spans="1:22" x14ac:dyDescent="0.25">
      <c r="A1863" t="s">
        <v>4620</v>
      </c>
      <c r="B1863" t="s">
        <v>4621</v>
      </c>
      <c r="C1863">
        <v>1578</v>
      </c>
      <c r="D1863">
        <v>99</v>
      </c>
      <c r="E1863">
        <v>99</v>
      </c>
      <c r="F1863" t="s">
        <v>4622</v>
      </c>
      <c r="G1863" t="s">
        <v>4622</v>
      </c>
      <c r="H1863">
        <f t="shared" si="32"/>
        <v>16</v>
      </c>
      <c r="M1863" s="1">
        <v>2.9833500739186898E-3</v>
      </c>
      <c r="N1863">
        <v>874.43609619140602</v>
      </c>
      <c r="O1863">
        <v>438.2253</v>
      </c>
      <c r="P1863">
        <v>874.43310546875</v>
      </c>
      <c r="Q1863">
        <v>438.22381591796801</v>
      </c>
      <c r="R1863">
        <v>2</v>
      </c>
      <c r="S1863">
        <v>1</v>
      </c>
      <c r="T1863">
        <v>10</v>
      </c>
      <c r="U1863">
        <v>26.522770000000001</v>
      </c>
      <c r="V1863">
        <v>6966449</v>
      </c>
    </row>
    <row r="1864" spans="1:22" x14ac:dyDescent="0.25">
      <c r="A1864" t="s">
        <v>2550</v>
      </c>
      <c r="B1864" t="s">
        <v>2551</v>
      </c>
      <c r="C1864">
        <v>1052</v>
      </c>
      <c r="D1864">
        <v>98.1</v>
      </c>
      <c r="E1864">
        <v>98.11</v>
      </c>
      <c r="F1864" t="s">
        <v>2552</v>
      </c>
      <c r="G1864" t="s">
        <v>2552</v>
      </c>
      <c r="H1864">
        <f t="shared" si="32"/>
        <v>15</v>
      </c>
      <c r="M1864" s="1">
        <v>-3.09355999343096E-3</v>
      </c>
      <c r="N1864">
        <v>1226.60131835938</v>
      </c>
      <c r="O1864">
        <v>614.30790000000002</v>
      </c>
      <c r="P1864">
        <v>1226.60437011719</v>
      </c>
      <c r="Q1864">
        <v>614.30944824218705</v>
      </c>
      <c r="R1864">
        <v>2</v>
      </c>
      <c r="S1864">
        <v>1</v>
      </c>
      <c r="T1864">
        <v>11</v>
      </c>
      <c r="U1864">
        <v>19.1728799999999</v>
      </c>
      <c r="V1864">
        <v>101456.4</v>
      </c>
    </row>
    <row r="1865" spans="1:22" x14ac:dyDescent="0.25">
      <c r="A1865" t="s">
        <v>2550</v>
      </c>
      <c r="B1865" t="s">
        <v>2551</v>
      </c>
      <c r="C1865">
        <v>772</v>
      </c>
      <c r="D1865">
        <v>98.8</v>
      </c>
      <c r="E1865">
        <v>98.83</v>
      </c>
      <c r="F1865" t="s">
        <v>2553</v>
      </c>
      <c r="G1865" t="s">
        <v>2553</v>
      </c>
      <c r="H1865">
        <f t="shared" si="32"/>
        <v>15</v>
      </c>
      <c r="M1865" s="1">
        <v>1.92811002489179E-3</v>
      </c>
      <c r="N1865">
        <v>1094.58923339844</v>
      </c>
      <c r="O1865">
        <v>548.30190000000005</v>
      </c>
      <c r="P1865">
        <v>1094.58728027344</v>
      </c>
      <c r="Q1865">
        <v>548.30090332031205</v>
      </c>
      <c r="R1865">
        <v>2</v>
      </c>
      <c r="S1865">
        <v>1</v>
      </c>
      <c r="T1865">
        <v>8</v>
      </c>
      <c r="U1865">
        <v>47.976120000000002</v>
      </c>
      <c r="V1865">
        <v>151649.70000000001</v>
      </c>
    </row>
    <row r="1866" spans="1:22" x14ac:dyDescent="0.25">
      <c r="A1866" t="s">
        <v>2550</v>
      </c>
      <c r="B1866" t="s">
        <v>2551</v>
      </c>
      <c r="C1866">
        <v>1052</v>
      </c>
      <c r="D1866">
        <v>99</v>
      </c>
      <c r="E1866">
        <v>99</v>
      </c>
      <c r="F1866" t="s">
        <v>2554</v>
      </c>
      <c r="G1866" t="s">
        <v>2554</v>
      </c>
      <c r="H1866">
        <f t="shared" si="32"/>
        <v>14</v>
      </c>
      <c r="M1866">
        <v>-2.4169999999999999E-3</v>
      </c>
      <c r="N1866">
        <v>959.512451171875</v>
      </c>
      <c r="O1866">
        <v>480.76350000000002</v>
      </c>
      <c r="P1866">
        <v>959.51483154296795</v>
      </c>
      <c r="Q1866">
        <v>480.76470947265602</v>
      </c>
      <c r="R1866">
        <v>2</v>
      </c>
      <c r="S1866">
        <v>3</v>
      </c>
      <c r="T1866">
        <v>11</v>
      </c>
      <c r="U1866">
        <v>19.833279999999899</v>
      </c>
      <c r="V1866">
        <v>574270.4</v>
      </c>
    </row>
    <row r="1867" spans="1:22" x14ac:dyDescent="0.25">
      <c r="A1867" t="s">
        <v>2550</v>
      </c>
      <c r="B1867" t="s">
        <v>2551</v>
      </c>
      <c r="C1867">
        <v>1052</v>
      </c>
      <c r="D1867">
        <v>99</v>
      </c>
      <c r="E1867">
        <v>99</v>
      </c>
      <c r="F1867" t="s">
        <v>2555</v>
      </c>
      <c r="G1867" t="s">
        <v>2555</v>
      </c>
      <c r="H1867">
        <f t="shared" si="32"/>
        <v>16</v>
      </c>
      <c r="M1867" s="1">
        <v>1.22136005666107E-3</v>
      </c>
      <c r="N1867">
        <v>1291.68969726563</v>
      </c>
      <c r="O1867">
        <v>646.85209999999904</v>
      </c>
      <c r="P1867">
        <v>1291.6884765625</v>
      </c>
      <c r="Q1867">
        <v>646.85150146484295</v>
      </c>
      <c r="R1867">
        <v>2</v>
      </c>
      <c r="S1867">
        <v>1</v>
      </c>
      <c r="T1867">
        <v>11</v>
      </c>
      <c r="U1867">
        <v>28.037520000000001</v>
      </c>
      <c r="V1867">
        <v>750883</v>
      </c>
    </row>
    <row r="1868" spans="1:22" x14ac:dyDescent="0.25">
      <c r="A1868" t="s">
        <v>2550</v>
      </c>
      <c r="B1868" t="s">
        <v>2551</v>
      </c>
      <c r="C1868">
        <v>1052</v>
      </c>
      <c r="D1868">
        <v>99</v>
      </c>
      <c r="E1868">
        <v>99</v>
      </c>
      <c r="F1868" t="s">
        <v>2555</v>
      </c>
      <c r="G1868" t="s">
        <v>2555</v>
      </c>
      <c r="H1868">
        <f t="shared" si="32"/>
        <v>16</v>
      </c>
      <c r="L1868" t="s">
        <v>1408</v>
      </c>
      <c r="M1868" s="1">
        <v>1.16598997265099E-2</v>
      </c>
      <c r="N1868">
        <v>1826.71130371094</v>
      </c>
      <c r="O1868">
        <v>914.36289999999894</v>
      </c>
      <c r="P1868">
        <v>1826.69958496094</v>
      </c>
      <c r="Q1868">
        <v>914.35705566406205</v>
      </c>
      <c r="R1868">
        <v>2</v>
      </c>
      <c r="S1868">
        <v>1</v>
      </c>
      <c r="T1868">
        <v>14</v>
      </c>
      <c r="U1868">
        <v>39.57808</v>
      </c>
      <c r="V1868">
        <v>720512.4</v>
      </c>
    </row>
    <row r="1869" spans="1:22" x14ac:dyDescent="0.25">
      <c r="A1869" t="s">
        <v>3364</v>
      </c>
      <c r="B1869" t="s">
        <v>3365</v>
      </c>
      <c r="C1869">
        <v>14</v>
      </c>
      <c r="D1869">
        <v>98.9</v>
      </c>
      <c r="E1869">
        <v>98.88</v>
      </c>
      <c r="F1869" t="s">
        <v>3366</v>
      </c>
      <c r="G1869" t="s">
        <v>3366</v>
      </c>
      <c r="H1869">
        <f t="shared" si="32"/>
        <v>13</v>
      </c>
      <c r="M1869" s="1">
        <v>5.2614999003708302E-3</v>
      </c>
      <c r="N1869">
        <v>1490.78942871094</v>
      </c>
      <c r="O1869">
        <v>746.40200000000004</v>
      </c>
      <c r="P1869">
        <v>1490.7841796875</v>
      </c>
      <c r="Q1869">
        <v>746.39935302734295</v>
      </c>
      <c r="R1869">
        <v>2</v>
      </c>
      <c r="S1869">
        <v>1</v>
      </c>
      <c r="T1869">
        <v>9</v>
      </c>
      <c r="U1869">
        <v>27.844449999999899</v>
      </c>
      <c r="V1869">
        <v>213574.1</v>
      </c>
    </row>
    <row r="1870" spans="1:22" x14ac:dyDescent="0.25">
      <c r="A1870" t="s">
        <v>4580</v>
      </c>
      <c r="B1870" t="s">
        <v>4581</v>
      </c>
      <c r="C1870">
        <v>676</v>
      </c>
      <c r="D1870">
        <v>97.4</v>
      </c>
      <c r="E1870">
        <v>97.35</v>
      </c>
      <c r="F1870" t="s">
        <v>4582</v>
      </c>
      <c r="G1870" t="s">
        <v>4582</v>
      </c>
      <c r="H1870">
        <f t="shared" si="32"/>
        <v>9</v>
      </c>
      <c r="M1870" s="1">
        <v>-5.3771701641380804E-3</v>
      </c>
      <c r="N1870">
        <v>1885.94396972656</v>
      </c>
      <c r="O1870">
        <v>629.65530000000001</v>
      </c>
      <c r="P1870">
        <v>1885.94934082031</v>
      </c>
      <c r="Q1870">
        <v>629.65704345703102</v>
      </c>
      <c r="R1870">
        <v>3</v>
      </c>
      <c r="S1870">
        <v>1</v>
      </c>
      <c r="T1870">
        <v>19</v>
      </c>
      <c r="U1870">
        <v>20.84817</v>
      </c>
      <c r="V1870">
        <v>231640.3</v>
      </c>
    </row>
    <row r="1871" spans="1:22" x14ac:dyDescent="0.25">
      <c r="A1871" t="s">
        <v>3629</v>
      </c>
      <c r="B1871" t="s">
        <v>3630</v>
      </c>
      <c r="C1871">
        <v>31</v>
      </c>
      <c r="D1871">
        <v>97.1</v>
      </c>
      <c r="E1871">
        <v>97.05</v>
      </c>
      <c r="F1871" t="s">
        <v>3631</v>
      </c>
      <c r="G1871" t="s">
        <v>3631</v>
      </c>
      <c r="H1871">
        <f t="shared" si="32"/>
        <v>9</v>
      </c>
      <c r="M1871" s="1">
        <v>1.3855800498276799E-3</v>
      </c>
      <c r="N1871">
        <v>997.60467529296795</v>
      </c>
      <c r="O1871">
        <v>499.80959999999902</v>
      </c>
      <c r="P1871">
        <v>997.603271484375</v>
      </c>
      <c r="Q1871">
        <v>499.80889892578102</v>
      </c>
      <c r="R1871">
        <v>2</v>
      </c>
      <c r="S1871">
        <v>2</v>
      </c>
      <c r="T1871">
        <v>11</v>
      </c>
      <c r="U1871">
        <v>28.725670000000001</v>
      </c>
      <c r="V1871">
        <v>94788850</v>
      </c>
    </row>
    <row r="1872" spans="1:22" x14ac:dyDescent="0.25">
      <c r="A1872" t="s">
        <v>3161</v>
      </c>
      <c r="B1872" t="s">
        <v>3162</v>
      </c>
      <c r="C1872">
        <v>2358</v>
      </c>
      <c r="D1872">
        <v>99</v>
      </c>
      <c r="E1872">
        <v>99</v>
      </c>
      <c r="F1872" t="s">
        <v>3163</v>
      </c>
      <c r="G1872" t="s">
        <v>3163</v>
      </c>
      <c r="H1872">
        <f t="shared" si="32"/>
        <v>9</v>
      </c>
      <c r="M1872" s="1">
        <v>1.9903299398720199E-3</v>
      </c>
      <c r="N1872">
        <v>1087.61584472656</v>
      </c>
      <c r="O1872">
        <v>544.8152</v>
      </c>
      <c r="P1872">
        <v>1087.61376953125</v>
      </c>
      <c r="Q1872">
        <v>544.814208984375</v>
      </c>
      <c r="R1872">
        <v>2</v>
      </c>
      <c r="S1872">
        <v>19</v>
      </c>
      <c r="T1872">
        <v>11</v>
      </c>
      <c r="U1872">
        <v>35.8721999999999</v>
      </c>
      <c r="V1872">
        <v>783339.6</v>
      </c>
    </row>
    <row r="1873" spans="1:22" x14ac:dyDescent="0.25">
      <c r="A1873" t="s">
        <v>4311</v>
      </c>
      <c r="B1873" t="s">
        <v>4312</v>
      </c>
      <c r="C1873">
        <v>2533</v>
      </c>
      <c r="D1873">
        <v>99</v>
      </c>
      <c r="E1873">
        <v>99</v>
      </c>
      <c r="F1873" t="s">
        <v>4313</v>
      </c>
      <c r="G1873" t="s">
        <v>4313</v>
      </c>
      <c r="H1873">
        <f t="shared" si="32"/>
        <v>16</v>
      </c>
      <c r="M1873" s="1">
        <v>-2.0691100507974499E-3</v>
      </c>
      <c r="N1873">
        <v>1158.57604980469</v>
      </c>
      <c r="O1873">
        <v>387.19929999999903</v>
      </c>
      <c r="P1873">
        <v>1158.578125</v>
      </c>
      <c r="Q1873">
        <v>387.20001220703102</v>
      </c>
      <c r="R1873">
        <v>3</v>
      </c>
      <c r="S1873">
        <v>7</v>
      </c>
      <c r="T1873">
        <v>11</v>
      </c>
      <c r="U1873">
        <v>20.52985</v>
      </c>
      <c r="V1873">
        <v>740740.7</v>
      </c>
    </row>
    <row r="1874" spans="1:22" x14ac:dyDescent="0.25">
      <c r="A1874" t="s">
        <v>4311</v>
      </c>
      <c r="B1874" t="s">
        <v>4312</v>
      </c>
      <c r="C1874">
        <v>1470</v>
      </c>
      <c r="D1874">
        <v>99</v>
      </c>
      <c r="E1874">
        <v>99</v>
      </c>
      <c r="F1874" t="s">
        <v>4314</v>
      </c>
      <c r="G1874" t="s">
        <v>4314</v>
      </c>
      <c r="H1874">
        <f t="shared" si="32"/>
        <v>17</v>
      </c>
      <c r="M1874" s="1">
        <v>-1.13134004641324E-3</v>
      </c>
      <c r="N1874">
        <v>1042.48547363281</v>
      </c>
      <c r="O1874">
        <v>522.25</v>
      </c>
      <c r="P1874">
        <v>1042.48657226563</v>
      </c>
      <c r="Q1874">
        <v>522.25054931640602</v>
      </c>
      <c r="R1874">
        <v>2</v>
      </c>
      <c r="S1874">
        <v>4</v>
      </c>
      <c r="T1874">
        <v>12</v>
      </c>
      <c r="U1874">
        <v>23.22533</v>
      </c>
      <c r="V1874">
        <v>898080.3</v>
      </c>
    </row>
    <row r="1875" spans="1:22" x14ac:dyDescent="0.25">
      <c r="A1875" t="s">
        <v>4311</v>
      </c>
      <c r="B1875" t="s">
        <v>4312</v>
      </c>
      <c r="C1875">
        <v>2533</v>
      </c>
      <c r="D1875">
        <v>99</v>
      </c>
      <c r="E1875">
        <v>99</v>
      </c>
      <c r="F1875" t="s">
        <v>4313</v>
      </c>
      <c r="G1875" t="s">
        <v>4313</v>
      </c>
      <c r="H1875">
        <f t="shared" si="32"/>
        <v>16</v>
      </c>
      <c r="L1875" t="s">
        <v>87</v>
      </c>
      <c r="M1875" s="1">
        <v>9.4723096117377194E-3</v>
      </c>
      <c r="N1875">
        <v>1732.9130859375</v>
      </c>
      <c r="O1875">
        <v>867.46379999999897</v>
      </c>
      <c r="P1875">
        <v>1732.90356445313</v>
      </c>
      <c r="Q1875">
        <v>867.45904541015602</v>
      </c>
      <c r="R1875">
        <v>2</v>
      </c>
      <c r="S1875">
        <v>1</v>
      </c>
      <c r="T1875">
        <v>10</v>
      </c>
      <c r="U1875">
        <v>48.014870000000002</v>
      </c>
      <c r="V1875">
        <v>136670.399999999</v>
      </c>
    </row>
    <row r="1876" spans="1:22" x14ac:dyDescent="0.25">
      <c r="A1876" t="s">
        <v>892</v>
      </c>
      <c r="B1876" t="s">
        <v>893</v>
      </c>
      <c r="C1876">
        <v>39</v>
      </c>
      <c r="D1876">
        <v>99</v>
      </c>
      <c r="E1876">
        <v>99</v>
      </c>
      <c r="F1876" t="s">
        <v>894</v>
      </c>
      <c r="G1876" t="s">
        <v>894</v>
      </c>
      <c r="H1876">
        <f t="shared" si="32"/>
        <v>12</v>
      </c>
      <c r="M1876" s="1">
        <v>2.6923799887299399E-3</v>
      </c>
      <c r="N1876">
        <v>1139.59033203125</v>
      </c>
      <c r="O1876">
        <v>570.80240000000003</v>
      </c>
      <c r="P1876">
        <v>1139.58764648438</v>
      </c>
      <c r="Q1876">
        <v>570.80108642578102</v>
      </c>
      <c r="R1876">
        <v>2</v>
      </c>
      <c r="S1876">
        <v>2</v>
      </c>
      <c r="T1876">
        <v>10</v>
      </c>
      <c r="U1876">
        <v>33.819830000000003</v>
      </c>
      <c r="V1876">
        <v>242485.7</v>
      </c>
    </row>
    <row r="1877" spans="1:22" x14ac:dyDescent="0.25">
      <c r="A1877" t="s">
        <v>3231</v>
      </c>
      <c r="B1877" t="s">
        <v>3232</v>
      </c>
      <c r="C1877">
        <v>3</v>
      </c>
      <c r="D1877">
        <v>98.2</v>
      </c>
      <c r="E1877">
        <v>98.2</v>
      </c>
      <c r="F1877" t="s">
        <v>3233</v>
      </c>
      <c r="G1877" t="s">
        <v>3233</v>
      </c>
      <c r="H1877">
        <f t="shared" si="32"/>
        <v>14</v>
      </c>
      <c r="M1877">
        <v>3.4250000000000001E-3</v>
      </c>
      <c r="N1877">
        <v>1281.60241699219</v>
      </c>
      <c r="O1877">
        <v>641.80849999999896</v>
      </c>
      <c r="P1877">
        <v>1281.59899902344</v>
      </c>
      <c r="Q1877">
        <v>641.80676269531205</v>
      </c>
      <c r="R1877">
        <v>2</v>
      </c>
      <c r="S1877">
        <v>1</v>
      </c>
      <c r="T1877">
        <v>11</v>
      </c>
      <c r="U1877">
        <v>34.47298</v>
      </c>
      <c r="V1877">
        <v>408040.5</v>
      </c>
    </row>
    <row r="1878" spans="1:22" x14ac:dyDescent="0.25">
      <c r="A1878" t="s">
        <v>3231</v>
      </c>
      <c r="B1878" t="s">
        <v>3232</v>
      </c>
      <c r="C1878">
        <v>3</v>
      </c>
      <c r="D1878">
        <v>99</v>
      </c>
      <c r="E1878">
        <v>99</v>
      </c>
      <c r="F1878" t="s">
        <v>3234</v>
      </c>
      <c r="G1878" t="s">
        <v>3234</v>
      </c>
      <c r="H1878">
        <f t="shared" si="32"/>
        <v>15</v>
      </c>
      <c r="M1878" s="1">
        <v>-4.9383298028260502E-4</v>
      </c>
      <c r="N1878">
        <v>1166.65148925781</v>
      </c>
      <c r="O1878">
        <v>389.89109999999903</v>
      </c>
      <c r="P1878">
        <v>1166.65197753906</v>
      </c>
      <c r="Q1878">
        <v>389.89126586914102</v>
      </c>
      <c r="R1878">
        <v>3</v>
      </c>
      <c r="S1878">
        <v>3</v>
      </c>
      <c r="T1878">
        <v>11</v>
      </c>
      <c r="U1878">
        <v>19.389669999999899</v>
      </c>
      <c r="V1878">
        <v>536902.6</v>
      </c>
    </row>
    <row r="1879" spans="1:22" x14ac:dyDescent="0.25">
      <c r="A1879" t="s">
        <v>1669</v>
      </c>
      <c r="B1879" t="s">
        <v>1670</v>
      </c>
      <c r="C1879">
        <v>161</v>
      </c>
      <c r="D1879">
        <v>99</v>
      </c>
      <c r="E1879">
        <v>99</v>
      </c>
      <c r="F1879" t="s">
        <v>1671</v>
      </c>
      <c r="G1879" t="s">
        <v>1671</v>
      </c>
      <c r="H1879">
        <f t="shared" si="32"/>
        <v>9</v>
      </c>
      <c r="M1879" s="1">
        <v>-2.4652499705552998E-3</v>
      </c>
      <c r="N1879">
        <v>1221.69580078125</v>
      </c>
      <c r="O1879">
        <v>408.23919999999902</v>
      </c>
      <c r="P1879">
        <v>1221.6982421875</v>
      </c>
      <c r="Q1879">
        <v>408.24002075195301</v>
      </c>
      <c r="R1879">
        <v>3</v>
      </c>
      <c r="S1879">
        <v>2</v>
      </c>
      <c r="T1879">
        <v>10</v>
      </c>
      <c r="U1879">
        <v>19.146180000000001</v>
      </c>
      <c r="V1879">
        <v>118949.7</v>
      </c>
    </row>
    <row r="1880" spans="1:22" x14ac:dyDescent="0.25">
      <c r="A1880" t="s">
        <v>4394</v>
      </c>
      <c r="B1880" t="s">
        <v>4395</v>
      </c>
      <c r="C1880">
        <v>21</v>
      </c>
      <c r="D1880">
        <v>99</v>
      </c>
      <c r="E1880">
        <v>99</v>
      </c>
      <c r="F1880" t="s">
        <v>4396</v>
      </c>
      <c r="G1880" t="s">
        <v>4396</v>
      </c>
      <c r="H1880">
        <f t="shared" si="32"/>
        <v>9</v>
      </c>
      <c r="M1880" s="1">
        <v>3.4121400676667701E-4</v>
      </c>
      <c r="N1880">
        <v>1016.57305908203</v>
      </c>
      <c r="O1880">
        <v>509.29379999999901</v>
      </c>
      <c r="P1880">
        <v>1016.57269287109</v>
      </c>
      <c r="Q1880">
        <v>509.29360961914102</v>
      </c>
      <c r="R1880">
        <v>2</v>
      </c>
      <c r="S1880">
        <v>2</v>
      </c>
      <c r="T1880">
        <v>11</v>
      </c>
      <c r="U1880">
        <v>23.95627</v>
      </c>
      <c r="V1880">
        <v>657146.4</v>
      </c>
    </row>
    <row r="1881" spans="1:22" x14ac:dyDescent="0.25">
      <c r="A1881" t="s">
        <v>2243</v>
      </c>
      <c r="B1881" t="s">
        <v>2244</v>
      </c>
      <c r="C1881">
        <v>378</v>
      </c>
      <c r="D1881">
        <v>99</v>
      </c>
      <c r="E1881">
        <v>99</v>
      </c>
      <c r="F1881" t="s">
        <v>2245</v>
      </c>
      <c r="G1881" t="s">
        <v>2245</v>
      </c>
      <c r="H1881">
        <f t="shared" si="32"/>
        <v>16</v>
      </c>
      <c r="M1881" s="1">
        <v>-2.2142899688333199E-3</v>
      </c>
      <c r="N1881">
        <v>1092.61303710938</v>
      </c>
      <c r="O1881">
        <v>547.31380000000001</v>
      </c>
      <c r="P1881">
        <v>1092.615234375</v>
      </c>
      <c r="Q1881">
        <v>547.31488037109295</v>
      </c>
      <c r="R1881">
        <v>2</v>
      </c>
      <c r="S1881">
        <v>2</v>
      </c>
      <c r="T1881">
        <v>11</v>
      </c>
      <c r="U1881">
        <v>24.06738</v>
      </c>
      <c r="V1881">
        <v>2043414</v>
      </c>
    </row>
    <row r="1882" spans="1:22" x14ac:dyDescent="0.25">
      <c r="A1882" t="s">
        <v>4113</v>
      </c>
      <c r="B1882" t="s">
        <v>4114</v>
      </c>
      <c r="C1882">
        <v>214</v>
      </c>
      <c r="D1882">
        <v>97.3</v>
      </c>
      <c r="E1882">
        <v>97.31</v>
      </c>
      <c r="F1882" t="s">
        <v>4115</v>
      </c>
      <c r="G1882" t="s">
        <v>4115</v>
      </c>
      <c r="H1882">
        <f t="shared" si="32"/>
        <v>9</v>
      </c>
      <c r="M1882" s="1">
        <v>6.37248996645212E-3</v>
      </c>
      <c r="N1882">
        <v>1136.60021972656</v>
      </c>
      <c r="O1882">
        <v>569.30740000000003</v>
      </c>
      <c r="P1882">
        <v>1136.59387207031</v>
      </c>
      <c r="Q1882">
        <v>569.30419921875</v>
      </c>
      <c r="R1882">
        <v>2</v>
      </c>
      <c r="S1882">
        <v>3</v>
      </c>
      <c r="T1882">
        <v>13</v>
      </c>
      <c r="U1882">
        <v>27.878820000000001</v>
      </c>
      <c r="V1882">
        <v>747353.59999999905</v>
      </c>
    </row>
    <row r="1883" spans="1:22" x14ac:dyDescent="0.25">
      <c r="A1883" t="s">
        <v>3571</v>
      </c>
      <c r="B1883" t="s">
        <v>3572</v>
      </c>
      <c r="C1883">
        <v>818</v>
      </c>
      <c r="D1883">
        <v>99</v>
      </c>
      <c r="E1883">
        <v>99</v>
      </c>
      <c r="F1883" t="s">
        <v>3573</v>
      </c>
      <c r="G1883" t="s">
        <v>3573</v>
      </c>
      <c r="H1883">
        <f t="shared" si="32"/>
        <v>9</v>
      </c>
      <c r="L1883" t="s">
        <v>397</v>
      </c>
      <c r="M1883" s="1">
        <v>4.59471018984914E-3</v>
      </c>
      <c r="N1883">
        <v>1054.54150390625</v>
      </c>
      <c r="O1883">
        <v>528.27800000000002</v>
      </c>
      <c r="P1883">
        <v>1054.53686523438</v>
      </c>
      <c r="Q1883">
        <v>528.27569580078102</v>
      </c>
      <c r="R1883">
        <v>2</v>
      </c>
      <c r="S1883">
        <v>2</v>
      </c>
      <c r="T1883">
        <v>10</v>
      </c>
      <c r="U1883">
        <v>43.544330000000002</v>
      </c>
      <c r="V1883">
        <v>405142.8</v>
      </c>
    </row>
    <row r="1884" spans="1:22" x14ac:dyDescent="0.25">
      <c r="A1884" t="s">
        <v>1359</v>
      </c>
      <c r="B1884" t="s">
        <v>1360</v>
      </c>
      <c r="C1884">
        <v>51</v>
      </c>
      <c r="D1884">
        <v>99</v>
      </c>
      <c r="E1884">
        <v>99</v>
      </c>
      <c r="F1884" t="s">
        <v>1361</v>
      </c>
      <c r="G1884" t="s">
        <v>1361</v>
      </c>
      <c r="H1884">
        <f t="shared" si="32"/>
        <v>19</v>
      </c>
      <c r="M1884">
        <v>2.2980000000000001E-3</v>
      </c>
      <c r="N1884">
        <v>1093.59033203125</v>
      </c>
      <c r="O1884">
        <v>547.80240000000003</v>
      </c>
      <c r="P1884">
        <v>1093.58801269531</v>
      </c>
      <c r="Q1884">
        <v>547.80126953125</v>
      </c>
      <c r="R1884">
        <v>2</v>
      </c>
      <c r="S1884">
        <v>1</v>
      </c>
      <c r="T1884">
        <v>12</v>
      </c>
      <c r="U1884">
        <v>29.436150000000001</v>
      </c>
      <c r="V1884">
        <v>2124853</v>
      </c>
    </row>
    <row r="1885" spans="1:22" x14ac:dyDescent="0.25">
      <c r="A1885" t="s">
        <v>1689</v>
      </c>
      <c r="B1885" t="s">
        <v>1690</v>
      </c>
      <c r="C1885">
        <v>462</v>
      </c>
      <c r="D1885">
        <v>97.2</v>
      </c>
      <c r="E1885">
        <v>97.16</v>
      </c>
      <c r="F1885" t="s">
        <v>1691</v>
      </c>
      <c r="G1885" t="s">
        <v>1691</v>
      </c>
      <c r="H1885">
        <f t="shared" si="32"/>
        <v>14</v>
      </c>
      <c r="M1885">
        <v>4.2050000000000004E-3</v>
      </c>
      <c r="N1885">
        <v>1003.51629638672</v>
      </c>
      <c r="O1885">
        <v>502.7654</v>
      </c>
      <c r="P1885">
        <v>1003.51208496094</v>
      </c>
      <c r="Q1885">
        <v>502.76330566406301</v>
      </c>
      <c r="R1885">
        <v>2</v>
      </c>
      <c r="S1885">
        <v>1</v>
      </c>
      <c r="T1885">
        <v>9</v>
      </c>
      <c r="U1885">
        <v>33.458669999999898</v>
      </c>
      <c r="V1885">
        <v>166880.299999999</v>
      </c>
    </row>
    <row r="1886" spans="1:22" x14ac:dyDescent="0.25">
      <c r="A1886" t="s">
        <v>3269</v>
      </c>
      <c r="B1886" t="s">
        <v>3270</v>
      </c>
      <c r="C1886">
        <v>1551</v>
      </c>
      <c r="D1886">
        <v>97.2</v>
      </c>
      <c r="E1886">
        <v>97.22</v>
      </c>
      <c r="F1886" t="s">
        <v>282</v>
      </c>
      <c r="G1886" t="s">
        <v>282</v>
      </c>
      <c r="H1886">
        <f t="shared" si="32"/>
        <v>9</v>
      </c>
      <c r="M1886" s="1">
        <v>2.1088600624352598E-3</v>
      </c>
      <c r="N1886">
        <v>1078.52172851563</v>
      </c>
      <c r="O1886">
        <v>540.2681</v>
      </c>
      <c r="P1886">
        <v>1078.51965332031</v>
      </c>
      <c r="Q1886">
        <v>540.26708984375</v>
      </c>
      <c r="R1886">
        <v>2</v>
      </c>
      <c r="S1886">
        <v>1</v>
      </c>
      <c r="T1886">
        <v>12</v>
      </c>
      <c r="U1886">
        <v>26.448370000000001</v>
      </c>
      <c r="V1886">
        <v>486263.8</v>
      </c>
    </row>
    <row r="1887" spans="1:22" x14ac:dyDescent="0.25">
      <c r="A1887" t="s">
        <v>4085</v>
      </c>
      <c r="B1887" t="s">
        <v>4086</v>
      </c>
      <c r="C1887">
        <v>146</v>
      </c>
      <c r="D1887">
        <v>99</v>
      </c>
      <c r="E1887">
        <v>99</v>
      </c>
      <c r="F1887" t="s">
        <v>4087</v>
      </c>
      <c r="G1887" t="s">
        <v>4087</v>
      </c>
      <c r="H1887">
        <f t="shared" si="32"/>
        <v>17</v>
      </c>
      <c r="M1887" s="1">
        <v>-7.6302001252770402E-4</v>
      </c>
      <c r="N1887">
        <v>1058.58251953125</v>
      </c>
      <c r="O1887">
        <v>530.29849999999897</v>
      </c>
      <c r="P1887">
        <v>1058.58325195313</v>
      </c>
      <c r="Q1887">
        <v>530.29888916015602</v>
      </c>
      <c r="R1887">
        <v>2</v>
      </c>
      <c r="S1887">
        <v>2</v>
      </c>
      <c r="T1887">
        <v>12</v>
      </c>
      <c r="U1887">
        <v>24.799579999999899</v>
      </c>
      <c r="V1887">
        <v>738511.1</v>
      </c>
    </row>
    <row r="1888" spans="1:22" x14ac:dyDescent="0.25">
      <c r="A1888" t="s">
        <v>4085</v>
      </c>
      <c r="B1888" t="s">
        <v>4086</v>
      </c>
      <c r="C1888">
        <v>147</v>
      </c>
      <c r="D1888">
        <v>98</v>
      </c>
      <c r="E1888">
        <v>98.03</v>
      </c>
      <c r="F1888" t="s">
        <v>4088</v>
      </c>
      <c r="G1888" t="s">
        <v>4088</v>
      </c>
      <c r="H1888">
        <f t="shared" si="32"/>
        <v>18</v>
      </c>
      <c r="M1888" s="1">
        <v>1.65449001360685E-3</v>
      </c>
      <c r="N1888">
        <v>1071.64172363281</v>
      </c>
      <c r="O1888">
        <v>536.82809999999904</v>
      </c>
      <c r="P1888">
        <v>1071.64001464844</v>
      </c>
      <c r="Q1888">
        <v>536.82727050781205</v>
      </c>
      <c r="R1888">
        <v>2</v>
      </c>
      <c r="S1888">
        <v>4</v>
      </c>
      <c r="T1888">
        <v>11</v>
      </c>
      <c r="U1888">
        <v>30.175429999999899</v>
      </c>
      <c r="V1888">
        <v>13282350</v>
      </c>
    </row>
    <row r="1889" spans="1:22" x14ac:dyDescent="0.25">
      <c r="A1889" t="s">
        <v>727</v>
      </c>
      <c r="B1889" t="s">
        <v>728</v>
      </c>
      <c r="C1889">
        <v>106</v>
      </c>
      <c r="D1889">
        <v>99</v>
      </c>
      <c r="E1889">
        <v>99</v>
      </c>
      <c r="F1889" t="s">
        <v>729</v>
      </c>
      <c r="G1889" t="s">
        <v>729</v>
      </c>
      <c r="H1889">
        <f t="shared" si="32"/>
        <v>9</v>
      </c>
      <c r="M1889" s="1">
        <v>1.6845499631017401E-3</v>
      </c>
      <c r="N1889">
        <v>982.51007080078102</v>
      </c>
      <c r="O1889">
        <v>492.26229999999902</v>
      </c>
      <c r="P1889">
        <v>982.50836181640602</v>
      </c>
      <c r="Q1889">
        <v>492.26144409179602</v>
      </c>
      <c r="R1889">
        <v>2</v>
      </c>
      <c r="S1889">
        <v>1</v>
      </c>
      <c r="T1889">
        <v>11</v>
      </c>
      <c r="U1889">
        <v>26.988150000000001</v>
      </c>
      <c r="V1889">
        <v>1553734</v>
      </c>
    </row>
    <row r="1890" spans="1:22" x14ac:dyDescent="0.25">
      <c r="A1890" t="s">
        <v>4139</v>
      </c>
      <c r="B1890" t="s">
        <v>4140</v>
      </c>
      <c r="C1890">
        <v>316</v>
      </c>
      <c r="D1890">
        <v>99</v>
      </c>
      <c r="E1890">
        <v>99</v>
      </c>
      <c r="F1890" t="s">
        <v>4141</v>
      </c>
      <c r="G1890" t="s">
        <v>4141</v>
      </c>
      <c r="H1890">
        <f t="shared" si="32"/>
        <v>9</v>
      </c>
      <c r="M1890" s="1">
        <v>1.6480199992656599E-3</v>
      </c>
      <c r="N1890">
        <v>1110.55871582031</v>
      </c>
      <c r="O1890">
        <v>556.28660000000002</v>
      </c>
      <c r="P1890">
        <v>1110.55700683594</v>
      </c>
      <c r="Q1890">
        <v>556.28576660156205</v>
      </c>
      <c r="R1890">
        <v>2</v>
      </c>
      <c r="S1890">
        <v>1</v>
      </c>
      <c r="T1890">
        <v>10</v>
      </c>
      <c r="U1890">
        <v>24.7549999999999</v>
      </c>
      <c r="V1890">
        <v>1176576</v>
      </c>
    </row>
    <row r="1891" spans="1:22" x14ac:dyDescent="0.25">
      <c r="A1891" t="s">
        <v>4658</v>
      </c>
      <c r="B1891" t="s">
        <v>4659</v>
      </c>
      <c r="C1891">
        <v>44</v>
      </c>
      <c r="D1891">
        <v>99</v>
      </c>
      <c r="E1891">
        <v>99</v>
      </c>
      <c r="F1891" t="s">
        <v>4660</v>
      </c>
      <c r="G1891" t="s">
        <v>4660</v>
      </c>
      <c r="H1891">
        <f t="shared" si="32"/>
        <v>9</v>
      </c>
      <c r="L1891" t="s">
        <v>47</v>
      </c>
      <c r="M1891" s="1">
        <v>3.1994900200515899E-3</v>
      </c>
      <c r="N1891">
        <v>1732.994140625</v>
      </c>
      <c r="O1891">
        <v>578.67200000000003</v>
      </c>
      <c r="P1891">
        <v>1732.99096679688</v>
      </c>
      <c r="Q1891">
        <v>578.67095947265602</v>
      </c>
      <c r="R1891">
        <v>3</v>
      </c>
      <c r="S1891">
        <v>1</v>
      </c>
      <c r="T1891">
        <v>13</v>
      </c>
      <c r="U1891">
        <v>33.565379999999898</v>
      </c>
      <c r="V1891">
        <v>228137.60000000001</v>
      </c>
    </row>
    <row r="1892" spans="1:22" x14ac:dyDescent="0.25">
      <c r="A1892" t="s">
        <v>1692</v>
      </c>
      <c r="B1892" t="s">
        <v>1693</v>
      </c>
      <c r="C1892">
        <v>340</v>
      </c>
      <c r="D1892">
        <v>98.3</v>
      </c>
      <c r="E1892">
        <v>98.29</v>
      </c>
      <c r="F1892" t="s">
        <v>1694</v>
      </c>
      <c r="G1892" t="s">
        <v>1694</v>
      </c>
      <c r="H1892">
        <f t="shared" si="32"/>
        <v>15</v>
      </c>
      <c r="M1892" s="1">
        <v>1.4123700093477899E-3</v>
      </c>
      <c r="N1892">
        <v>1138.54553222656</v>
      </c>
      <c r="O1892">
        <v>570.28</v>
      </c>
      <c r="P1892">
        <v>1138.54406738281</v>
      </c>
      <c r="Q1892">
        <v>570.279296875</v>
      </c>
      <c r="R1892">
        <v>2</v>
      </c>
      <c r="S1892">
        <v>1</v>
      </c>
      <c r="T1892">
        <v>10</v>
      </c>
      <c r="U1892">
        <v>32.113399999999899</v>
      </c>
      <c r="V1892">
        <v>354022.2</v>
      </c>
    </row>
    <row r="1893" spans="1:22" x14ac:dyDescent="0.25">
      <c r="A1893" t="s">
        <v>1760</v>
      </c>
      <c r="B1893" t="s">
        <v>1761</v>
      </c>
      <c r="C1893">
        <v>44</v>
      </c>
      <c r="D1893">
        <v>96.7</v>
      </c>
      <c r="E1893">
        <v>96.68</v>
      </c>
      <c r="F1893" t="s">
        <v>1762</v>
      </c>
      <c r="G1893" t="s">
        <v>1762</v>
      </c>
      <c r="H1893">
        <f t="shared" si="32"/>
        <v>10</v>
      </c>
      <c r="M1893" s="1">
        <v>-3.2088200096040899E-3</v>
      </c>
      <c r="N1893">
        <v>1103.53271484375</v>
      </c>
      <c r="O1893">
        <v>1104.54</v>
      </c>
      <c r="P1893">
        <v>1103.53601074219</v>
      </c>
      <c r="Q1893">
        <v>1104.54321289063</v>
      </c>
      <c r="R1893">
        <v>1</v>
      </c>
      <c r="S1893">
        <v>2</v>
      </c>
      <c r="T1893">
        <v>9</v>
      </c>
      <c r="U1893">
        <v>21.918230000000001</v>
      </c>
      <c r="V1893">
        <v>11506630</v>
      </c>
    </row>
    <row r="1894" spans="1:22" x14ac:dyDescent="0.25">
      <c r="A1894" t="s">
        <v>2957</v>
      </c>
      <c r="B1894" t="s">
        <v>2958</v>
      </c>
      <c r="C1894">
        <v>58</v>
      </c>
      <c r="D1894">
        <v>98.9</v>
      </c>
      <c r="E1894">
        <v>98.89</v>
      </c>
      <c r="F1894" t="s">
        <v>2959</v>
      </c>
      <c r="G1894" t="s">
        <v>2959</v>
      </c>
      <c r="H1894">
        <f t="shared" si="32"/>
        <v>15</v>
      </c>
      <c r="M1894" s="1">
        <v>1.33394997101277E-3</v>
      </c>
      <c r="N1894">
        <v>851.45147705078102</v>
      </c>
      <c r="O1894">
        <v>426.733</v>
      </c>
      <c r="P1894">
        <v>851.45013427734295</v>
      </c>
      <c r="Q1894">
        <v>426.73233032226602</v>
      </c>
      <c r="R1894">
        <v>2</v>
      </c>
      <c r="S1894">
        <v>1</v>
      </c>
      <c r="T1894">
        <v>11</v>
      </c>
      <c r="U1894">
        <v>29.60765</v>
      </c>
      <c r="V1894">
        <v>291696.7</v>
      </c>
    </row>
    <row r="1895" spans="1:22" x14ac:dyDescent="0.25">
      <c r="A1895" t="s">
        <v>2517</v>
      </c>
      <c r="B1895" t="s">
        <v>2518</v>
      </c>
      <c r="C1895">
        <v>92</v>
      </c>
      <c r="D1895">
        <v>97.9</v>
      </c>
      <c r="E1895">
        <v>97.87</v>
      </c>
      <c r="F1895" t="s">
        <v>2519</v>
      </c>
      <c r="G1895" t="s">
        <v>2519</v>
      </c>
      <c r="H1895">
        <f t="shared" si="32"/>
        <v>10</v>
      </c>
      <c r="M1895" s="1">
        <v>-4.4876402243971703E-3</v>
      </c>
      <c r="N1895">
        <v>1483.68579101563</v>
      </c>
      <c r="O1895">
        <v>495.56920000000002</v>
      </c>
      <c r="P1895">
        <v>1483.69030761719</v>
      </c>
      <c r="Q1895">
        <v>495.57070922851602</v>
      </c>
      <c r="R1895">
        <v>3</v>
      </c>
      <c r="S1895">
        <v>1</v>
      </c>
      <c r="T1895">
        <v>12</v>
      </c>
      <c r="U1895">
        <v>20.951920000000001</v>
      </c>
      <c r="V1895">
        <v>345949.9</v>
      </c>
    </row>
    <row r="1896" spans="1:22" x14ac:dyDescent="0.25">
      <c r="A1896" t="s">
        <v>671</v>
      </c>
      <c r="B1896" t="s">
        <v>672</v>
      </c>
      <c r="C1896">
        <v>999</v>
      </c>
      <c r="D1896">
        <v>99</v>
      </c>
      <c r="E1896">
        <v>99</v>
      </c>
      <c r="F1896" t="s">
        <v>673</v>
      </c>
      <c r="G1896" t="s">
        <v>673</v>
      </c>
      <c r="H1896">
        <f t="shared" si="32"/>
        <v>9</v>
      </c>
      <c r="M1896" s="1">
        <v>5.6748799979686702E-3</v>
      </c>
      <c r="N1896">
        <v>1792.88012695313</v>
      </c>
      <c r="O1896">
        <v>598.63400000000001</v>
      </c>
      <c r="P1896">
        <v>1792.87438964844</v>
      </c>
      <c r="Q1896">
        <v>598.632080078125</v>
      </c>
      <c r="R1896">
        <v>3</v>
      </c>
      <c r="S1896">
        <v>1</v>
      </c>
      <c r="T1896">
        <v>12</v>
      </c>
      <c r="U1896">
        <v>36.252699999999898</v>
      </c>
      <c r="V1896">
        <v>261043.5</v>
      </c>
    </row>
    <row r="1897" spans="1:22" x14ac:dyDescent="0.25">
      <c r="A1897" t="s">
        <v>218</v>
      </c>
      <c r="B1897" t="s">
        <v>219</v>
      </c>
      <c r="C1897">
        <v>126</v>
      </c>
      <c r="D1897">
        <v>98.5</v>
      </c>
      <c r="E1897">
        <v>98.52</v>
      </c>
      <c r="F1897" t="s">
        <v>220</v>
      </c>
      <c r="G1897" t="s">
        <v>220</v>
      </c>
      <c r="H1897">
        <f t="shared" si="32"/>
        <v>9</v>
      </c>
      <c r="M1897" s="1">
        <v>8.7053701281547408E-3</v>
      </c>
      <c r="N1897">
        <v>1216.67504882813</v>
      </c>
      <c r="O1897">
        <v>609.34479999999905</v>
      </c>
      <c r="P1897">
        <v>1216.66625976563</v>
      </c>
      <c r="Q1897">
        <v>609.34045410156205</v>
      </c>
      <c r="R1897">
        <v>2</v>
      </c>
      <c r="S1897">
        <v>1</v>
      </c>
      <c r="T1897">
        <v>12</v>
      </c>
      <c r="U1897">
        <v>30.371649999999899</v>
      </c>
      <c r="V1897">
        <v>205361.3</v>
      </c>
    </row>
    <row r="1898" spans="1:22" x14ac:dyDescent="0.25">
      <c r="A1898" t="s">
        <v>3948</v>
      </c>
      <c r="B1898" t="s">
        <v>3949</v>
      </c>
      <c r="C1898">
        <v>637</v>
      </c>
      <c r="D1898">
        <v>98.4</v>
      </c>
      <c r="E1898">
        <v>98.36</v>
      </c>
      <c r="F1898" t="s">
        <v>3950</v>
      </c>
      <c r="G1898" t="s">
        <v>3950</v>
      </c>
      <c r="H1898">
        <f t="shared" si="32"/>
        <v>9</v>
      </c>
      <c r="M1898" s="1">
        <v>7.0809498429298401E-3</v>
      </c>
      <c r="N1898">
        <v>1361.67541503906</v>
      </c>
      <c r="O1898">
        <v>681.84500000000003</v>
      </c>
      <c r="P1898">
        <v>1361.66833496094</v>
      </c>
      <c r="Q1898">
        <v>681.84143066406205</v>
      </c>
      <c r="R1898">
        <v>2</v>
      </c>
      <c r="S1898">
        <v>2</v>
      </c>
      <c r="T1898">
        <v>14</v>
      </c>
      <c r="U1898">
        <v>55.3872199999999</v>
      </c>
      <c r="V1898">
        <v>133519.299999999</v>
      </c>
    </row>
    <row r="1899" spans="1:22" x14ac:dyDescent="0.25">
      <c r="A1899" t="s">
        <v>1599</v>
      </c>
      <c r="B1899" t="s">
        <v>1600</v>
      </c>
      <c r="C1899">
        <v>443</v>
      </c>
      <c r="D1899">
        <v>99</v>
      </c>
      <c r="E1899">
        <v>99</v>
      </c>
      <c r="F1899" t="s">
        <v>1601</v>
      </c>
      <c r="G1899" t="s">
        <v>1601</v>
      </c>
      <c r="H1899">
        <f t="shared" si="32"/>
        <v>8</v>
      </c>
      <c r="M1899" s="1">
        <v>4.9550298601388799E-2</v>
      </c>
      <c r="N1899">
        <v>1523.72692871094</v>
      </c>
      <c r="O1899">
        <v>762.87070000000006</v>
      </c>
      <c r="P1899">
        <v>1523.67736816406</v>
      </c>
      <c r="Q1899">
        <v>762.845947265625</v>
      </c>
      <c r="R1899">
        <v>2</v>
      </c>
      <c r="S1899">
        <v>1</v>
      </c>
      <c r="T1899">
        <v>9</v>
      </c>
      <c r="U1899">
        <v>27.022369999999899</v>
      </c>
      <c r="V1899">
        <v>308052</v>
      </c>
    </row>
    <row r="1900" spans="1:22" x14ac:dyDescent="0.25">
      <c r="A1900" t="s">
        <v>1268</v>
      </c>
      <c r="B1900" t="s">
        <v>1269</v>
      </c>
      <c r="C1900">
        <v>26</v>
      </c>
      <c r="D1900">
        <v>97.1</v>
      </c>
      <c r="E1900">
        <v>97.1</v>
      </c>
      <c r="F1900" t="s">
        <v>1270</v>
      </c>
      <c r="G1900" t="s">
        <v>1270</v>
      </c>
      <c r="H1900">
        <f t="shared" si="32"/>
        <v>9</v>
      </c>
      <c r="M1900" s="1">
        <v>7.6046300819143599E-4</v>
      </c>
      <c r="N1900">
        <v>1042.54553222656</v>
      </c>
      <c r="O1900">
        <v>522.28</v>
      </c>
      <c r="P1900">
        <v>1042.54479980469</v>
      </c>
      <c r="Q1900">
        <v>522.27966308593705</v>
      </c>
      <c r="R1900">
        <v>2</v>
      </c>
      <c r="S1900">
        <v>1</v>
      </c>
      <c r="T1900">
        <v>11</v>
      </c>
      <c r="U1900">
        <v>39.941220000000001</v>
      </c>
      <c r="V1900">
        <v>779910.3</v>
      </c>
    </row>
    <row r="1901" spans="1:22" x14ac:dyDescent="0.25">
      <c r="A1901" t="s">
        <v>3011</v>
      </c>
      <c r="B1901" t="s">
        <v>3012</v>
      </c>
      <c r="C1901">
        <v>105</v>
      </c>
      <c r="D1901">
        <v>98.9</v>
      </c>
      <c r="E1901">
        <v>98.9</v>
      </c>
      <c r="F1901" t="s">
        <v>3013</v>
      </c>
      <c r="G1901" t="s">
        <v>3013</v>
      </c>
      <c r="H1901">
        <f t="shared" si="32"/>
        <v>9</v>
      </c>
      <c r="M1901" s="1">
        <v>9.4973398372530903E-3</v>
      </c>
      <c r="N1901">
        <v>942.46545410156205</v>
      </c>
      <c r="O1901">
        <v>472.24</v>
      </c>
      <c r="P1901">
        <v>942.45593261718705</v>
      </c>
      <c r="Q1901">
        <v>472.23522949218801</v>
      </c>
      <c r="R1901">
        <v>2</v>
      </c>
      <c r="S1901">
        <v>2</v>
      </c>
      <c r="T1901">
        <v>10</v>
      </c>
      <c r="U1901">
        <v>23.649930000000001</v>
      </c>
      <c r="V1901">
        <v>488314.3</v>
      </c>
    </row>
    <row r="1902" spans="1:22" x14ac:dyDescent="0.25">
      <c r="A1902" t="s">
        <v>2633</v>
      </c>
      <c r="B1902" t="s">
        <v>2634</v>
      </c>
      <c r="C1902">
        <v>256</v>
      </c>
      <c r="D1902">
        <v>99</v>
      </c>
      <c r="E1902">
        <v>99</v>
      </c>
      <c r="F1902" t="s">
        <v>2635</v>
      </c>
      <c r="G1902" t="s">
        <v>2635</v>
      </c>
      <c r="H1902">
        <f t="shared" si="32"/>
        <v>16</v>
      </c>
      <c r="M1902" s="1">
        <v>5.3495698375627301E-4</v>
      </c>
      <c r="N1902">
        <v>1887.94848632813</v>
      </c>
      <c r="O1902">
        <v>630.32339999999897</v>
      </c>
      <c r="P1902">
        <v>1887.94787597656</v>
      </c>
      <c r="Q1902">
        <v>630.3232421875</v>
      </c>
      <c r="R1902">
        <v>3</v>
      </c>
      <c r="S1902">
        <v>1</v>
      </c>
      <c r="T1902">
        <v>10</v>
      </c>
      <c r="U1902">
        <v>32.011519999999898</v>
      </c>
      <c r="V1902">
        <v>370261.4</v>
      </c>
    </row>
    <row r="1903" spans="1:22" x14ac:dyDescent="0.25">
      <c r="A1903" t="s">
        <v>1176</v>
      </c>
      <c r="B1903" t="s">
        <v>1177</v>
      </c>
      <c r="C1903">
        <v>15</v>
      </c>
      <c r="D1903">
        <v>99</v>
      </c>
      <c r="E1903">
        <v>99</v>
      </c>
      <c r="F1903" t="s">
        <v>1178</v>
      </c>
      <c r="G1903" t="s">
        <v>1178</v>
      </c>
      <c r="H1903">
        <f t="shared" si="32"/>
        <v>15</v>
      </c>
      <c r="M1903" s="1">
        <v>8.8932202197611202E-4</v>
      </c>
      <c r="N1903">
        <v>993.56164550781205</v>
      </c>
      <c r="O1903">
        <v>497.78809999999902</v>
      </c>
      <c r="P1903">
        <v>993.56072998046795</v>
      </c>
      <c r="Q1903">
        <v>497.78762817382801</v>
      </c>
      <c r="R1903">
        <v>2</v>
      </c>
      <c r="S1903">
        <v>4</v>
      </c>
      <c r="T1903">
        <v>11</v>
      </c>
      <c r="U1903">
        <v>23.391549999999899</v>
      </c>
      <c r="V1903">
        <v>1729536</v>
      </c>
    </row>
    <row r="1904" spans="1:22" x14ac:dyDescent="0.25">
      <c r="A1904" t="s">
        <v>1176</v>
      </c>
      <c r="B1904" t="s">
        <v>1177</v>
      </c>
      <c r="C1904">
        <v>332</v>
      </c>
      <c r="D1904">
        <v>99</v>
      </c>
      <c r="E1904">
        <v>99</v>
      </c>
      <c r="F1904" t="s">
        <v>1179</v>
      </c>
      <c r="G1904" t="s">
        <v>1179</v>
      </c>
      <c r="H1904">
        <f t="shared" si="32"/>
        <v>16</v>
      </c>
      <c r="M1904" s="1">
        <v>2.6551999617368E-3</v>
      </c>
      <c r="N1904">
        <v>958.56268310546795</v>
      </c>
      <c r="O1904">
        <v>480.28859999999901</v>
      </c>
      <c r="P1904">
        <v>958.55999755859295</v>
      </c>
      <c r="Q1904">
        <v>480.28726196289102</v>
      </c>
      <c r="R1904">
        <v>2</v>
      </c>
      <c r="S1904">
        <v>24</v>
      </c>
      <c r="T1904">
        <v>9</v>
      </c>
      <c r="U1904">
        <v>44.588920000000002</v>
      </c>
      <c r="V1904">
        <v>22297850</v>
      </c>
    </row>
    <row r="1905" spans="1:22" x14ac:dyDescent="0.25">
      <c r="A1905" t="s">
        <v>1176</v>
      </c>
      <c r="B1905" t="s">
        <v>1177</v>
      </c>
      <c r="C1905">
        <v>332</v>
      </c>
      <c r="D1905">
        <v>99</v>
      </c>
      <c r="E1905">
        <v>99</v>
      </c>
      <c r="F1905" t="s">
        <v>1180</v>
      </c>
      <c r="G1905" t="s">
        <v>1180</v>
      </c>
      <c r="H1905">
        <f t="shared" si="32"/>
        <v>17</v>
      </c>
      <c r="M1905" s="1">
        <v>7.8544598072767206E-3</v>
      </c>
      <c r="N1905">
        <v>2011.04528808594</v>
      </c>
      <c r="O1905">
        <v>671.35569999999905</v>
      </c>
      <c r="P1905">
        <v>2011.03747558594</v>
      </c>
      <c r="Q1905">
        <v>671.35308837890602</v>
      </c>
      <c r="R1905">
        <v>3</v>
      </c>
      <c r="S1905">
        <v>3</v>
      </c>
      <c r="T1905">
        <v>17</v>
      </c>
      <c r="U1905">
        <v>34.536029999999897</v>
      </c>
      <c r="V1905">
        <v>533145.30000000005</v>
      </c>
    </row>
    <row r="1906" spans="1:22" x14ac:dyDescent="0.25">
      <c r="A1906" t="s">
        <v>1176</v>
      </c>
      <c r="B1906" t="s">
        <v>1177</v>
      </c>
      <c r="C1906">
        <v>332</v>
      </c>
      <c r="D1906">
        <v>99</v>
      </c>
      <c r="E1906">
        <v>99</v>
      </c>
      <c r="F1906" t="s">
        <v>1181</v>
      </c>
      <c r="G1906" t="s">
        <v>1181</v>
      </c>
      <c r="H1906">
        <f t="shared" si="32"/>
        <v>18</v>
      </c>
      <c r="L1906" t="s">
        <v>1182</v>
      </c>
      <c r="M1906" s="1">
        <v>6.5555898472666602E-3</v>
      </c>
      <c r="N1906">
        <v>1375.82531738281</v>
      </c>
      <c r="O1906">
        <v>688.91989999999896</v>
      </c>
      <c r="P1906">
        <v>1375.81872558594</v>
      </c>
      <c r="Q1906">
        <v>688.91662597656205</v>
      </c>
      <c r="R1906">
        <v>2</v>
      </c>
      <c r="S1906">
        <v>1</v>
      </c>
      <c r="T1906">
        <v>10</v>
      </c>
      <c r="U1906">
        <v>44.693930000000002</v>
      </c>
      <c r="V1906">
        <v>74207.009999999893</v>
      </c>
    </row>
    <row r="1907" spans="1:22" x14ac:dyDescent="0.25">
      <c r="A1907" t="s">
        <v>1176</v>
      </c>
      <c r="B1907" t="s">
        <v>1177</v>
      </c>
      <c r="C1907">
        <v>329</v>
      </c>
      <c r="D1907">
        <v>99</v>
      </c>
      <c r="E1907">
        <v>99</v>
      </c>
      <c r="F1907" t="s">
        <v>1183</v>
      </c>
      <c r="G1907" t="s">
        <v>1183</v>
      </c>
      <c r="H1907">
        <f t="shared" si="32"/>
        <v>21</v>
      </c>
      <c r="L1907" t="s">
        <v>1184</v>
      </c>
      <c r="M1907" s="1">
        <v>1.48166995495558E-3</v>
      </c>
      <c r="N1907">
        <v>1262.56164550781</v>
      </c>
      <c r="O1907">
        <v>632.28809999999896</v>
      </c>
      <c r="P1907">
        <v>1262.56018066406</v>
      </c>
      <c r="Q1907">
        <v>632.287353515625</v>
      </c>
      <c r="R1907">
        <v>2</v>
      </c>
      <c r="S1907">
        <v>2</v>
      </c>
      <c r="T1907">
        <v>12</v>
      </c>
      <c r="U1907">
        <v>33.529499999999899</v>
      </c>
      <c r="V1907">
        <v>148051</v>
      </c>
    </row>
    <row r="1908" spans="1:22" x14ac:dyDescent="0.25">
      <c r="A1908" t="s">
        <v>4626</v>
      </c>
      <c r="B1908" t="s">
        <v>4627</v>
      </c>
      <c r="C1908">
        <v>1241</v>
      </c>
      <c r="D1908">
        <v>98.6</v>
      </c>
      <c r="E1908">
        <v>98.58</v>
      </c>
      <c r="F1908" t="s">
        <v>145</v>
      </c>
      <c r="G1908" t="s">
        <v>145</v>
      </c>
      <c r="H1908">
        <f t="shared" si="32"/>
        <v>9</v>
      </c>
      <c r="M1908" s="1">
        <v>1.28414004575461E-3</v>
      </c>
      <c r="N1908">
        <v>1048.640625</v>
      </c>
      <c r="O1908">
        <v>525.32759999999905</v>
      </c>
      <c r="P1908">
        <v>1048.63928222656</v>
      </c>
      <c r="Q1908">
        <v>525.326904296875</v>
      </c>
      <c r="R1908">
        <v>2</v>
      </c>
      <c r="S1908">
        <v>1</v>
      </c>
      <c r="T1908">
        <v>10</v>
      </c>
      <c r="U1908">
        <v>23.1465</v>
      </c>
      <c r="V1908">
        <v>1844641</v>
      </c>
    </row>
    <row r="1909" spans="1:22" x14ac:dyDescent="0.25">
      <c r="A1909" t="s">
        <v>4626</v>
      </c>
      <c r="B1909" t="s">
        <v>4627</v>
      </c>
      <c r="C1909">
        <v>1977</v>
      </c>
      <c r="D1909">
        <v>99</v>
      </c>
      <c r="E1909">
        <v>99</v>
      </c>
      <c r="F1909" t="s">
        <v>4628</v>
      </c>
      <c r="G1909" t="s">
        <v>4628</v>
      </c>
      <c r="H1909">
        <f t="shared" si="32"/>
        <v>9</v>
      </c>
      <c r="L1909" t="s">
        <v>47</v>
      </c>
      <c r="M1909" s="1">
        <v>-8.8306202087551301E-4</v>
      </c>
      <c r="N1909">
        <v>1149.48645019531</v>
      </c>
      <c r="O1909">
        <v>575.75049999999896</v>
      </c>
      <c r="P1909">
        <v>1149.4873046875</v>
      </c>
      <c r="Q1909">
        <v>575.75091552734295</v>
      </c>
      <c r="R1909">
        <v>2</v>
      </c>
      <c r="S1909">
        <v>2</v>
      </c>
      <c r="T1909">
        <v>10</v>
      </c>
      <c r="U1909">
        <v>21.185580000000002</v>
      </c>
      <c r="V1909">
        <v>306983.8</v>
      </c>
    </row>
    <row r="1910" spans="1:22" x14ac:dyDescent="0.25">
      <c r="A1910" t="s">
        <v>412</v>
      </c>
      <c r="B1910" t="s">
        <v>413</v>
      </c>
      <c r="C1910">
        <v>162</v>
      </c>
      <c r="D1910">
        <v>99</v>
      </c>
      <c r="E1910">
        <v>99</v>
      </c>
      <c r="F1910" t="s">
        <v>414</v>
      </c>
      <c r="G1910" t="s">
        <v>414</v>
      </c>
      <c r="H1910">
        <f t="shared" si="32"/>
        <v>9</v>
      </c>
      <c r="M1910" s="1">
        <v>4.1875899769365701E-3</v>
      </c>
      <c r="N1910">
        <v>1099.61804199219</v>
      </c>
      <c r="O1910">
        <v>550.81629999999905</v>
      </c>
      <c r="P1910">
        <v>1099.61376953125</v>
      </c>
      <c r="Q1910">
        <v>550.814208984375</v>
      </c>
      <c r="R1910">
        <v>2</v>
      </c>
      <c r="S1910">
        <v>8</v>
      </c>
      <c r="T1910">
        <v>11</v>
      </c>
      <c r="U1910">
        <v>31.822579999999899</v>
      </c>
      <c r="V1910">
        <v>741651.4</v>
      </c>
    </row>
    <row r="1911" spans="1:22" x14ac:dyDescent="0.25">
      <c r="A1911" t="s">
        <v>203</v>
      </c>
      <c r="B1911" t="s">
        <v>204</v>
      </c>
      <c r="C1911">
        <v>127</v>
      </c>
      <c r="D1911">
        <v>99</v>
      </c>
      <c r="E1911">
        <v>99</v>
      </c>
      <c r="F1911" t="s">
        <v>2012</v>
      </c>
      <c r="G1911" t="s">
        <v>2012</v>
      </c>
      <c r="H1911">
        <f t="shared" si="32"/>
        <v>16</v>
      </c>
      <c r="M1911">
        <v>6.4180000000000001E-3</v>
      </c>
      <c r="N1911">
        <v>1203.63525390625</v>
      </c>
      <c r="O1911">
        <v>602.82489999999905</v>
      </c>
      <c r="P1911">
        <v>1203.62878417969</v>
      </c>
      <c r="Q1911">
        <v>602.82165527343705</v>
      </c>
      <c r="R1911">
        <v>2</v>
      </c>
      <c r="S1911">
        <v>3</v>
      </c>
      <c r="T1911">
        <v>12</v>
      </c>
      <c r="U1911">
        <v>50.233719999999899</v>
      </c>
      <c r="V1911">
        <v>4567914</v>
      </c>
    </row>
    <row r="1912" spans="1:22" x14ac:dyDescent="0.25">
      <c r="A1912" t="s">
        <v>203</v>
      </c>
      <c r="B1912" t="s">
        <v>204</v>
      </c>
      <c r="C1912">
        <v>190</v>
      </c>
      <c r="D1912">
        <v>97.9</v>
      </c>
      <c r="E1912">
        <v>97.92</v>
      </c>
      <c r="F1912" t="s">
        <v>205</v>
      </c>
      <c r="G1912" t="s">
        <v>205</v>
      </c>
      <c r="H1912">
        <f t="shared" si="32"/>
        <v>9</v>
      </c>
      <c r="M1912" s="1">
        <v>4.2450102046132001E-3</v>
      </c>
      <c r="N1912">
        <v>1064.56188964844</v>
      </c>
      <c r="O1912">
        <v>533.28819999999905</v>
      </c>
      <c r="P1912">
        <v>1064.5576171875</v>
      </c>
      <c r="Q1912">
        <v>533.28607177734295</v>
      </c>
      <c r="R1912">
        <v>2</v>
      </c>
      <c r="S1912">
        <v>3</v>
      </c>
      <c r="T1912">
        <v>12</v>
      </c>
      <c r="U1912">
        <v>43.697780000000002</v>
      </c>
      <c r="V1912">
        <v>2224249</v>
      </c>
    </row>
    <row r="1913" spans="1:22" x14ac:dyDescent="0.25">
      <c r="A1913" t="s">
        <v>203</v>
      </c>
      <c r="B1913" t="s">
        <v>204</v>
      </c>
      <c r="C1913">
        <v>125</v>
      </c>
      <c r="D1913">
        <v>99</v>
      </c>
      <c r="E1913">
        <v>99</v>
      </c>
      <c r="F1913" t="s">
        <v>2013</v>
      </c>
      <c r="G1913" t="s">
        <v>2013</v>
      </c>
      <c r="H1913">
        <f t="shared" si="32"/>
        <v>18</v>
      </c>
      <c r="M1913" s="1">
        <v>3.76447010785341E-3</v>
      </c>
      <c r="N1913">
        <v>1092.63293457031</v>
      </c>
      <c r="O1913">
        <v>547.32370000000003</v>
      </c>
      <c r="P1913">
        <v>1092.62915039063</v>
      </c>
      <c r="Q1913">
        <v>547.32183837890602</v>
      </c>
      <c r="R1913">
        <v>2</v>
      </c>
      <c r="S1913">
        <v>1</v>
      </c>
      <c r="T1913">
        <v>11</v>
      </c>
      <c r="U1913">
        <v>28.90727</v>
      </c>
      <c r="V1913">
        <v>6850525</v>
      </c>
    </row>
    <row r="1914" spans="1:22" x14ac:dyDescent="0.25">
      <c r="A1914" t="s">
        <v>203</v>
      </c>
      <c r="B1914" t="s">
        <v>204</v>
      </c>
      <c r="C1914">
        <v>2</v>
      </c>
      <c r="D1914">
        <v>99</v>
      </c>
      <c r="E1914">
        <v>99</v>
      </c>
      <c r="F1914" t="s">
        <v>614</v>
      </c>
      <c r="G1914" t="s">
        <v>614</v>
      </c>
      <c r="H1914">
        <f t="shared" si="32"/>
        <v>13</v>
      </c>
      <c r="L1914" t="s">
        <v>227</v>
      </c>
      <c r="M1914" s="1">
        <v>4.8492997884750401E-3</v>
      </c>
      <c r="N1914">
        <v>2307.12133789063</v>
      </c>
      <c r="O1914">
        <v>770.04769999999905</v>
      </c>
      <c r="P1914">
        <v>2307.11645507813</v>
      </c>
      <c r="Q1914">
        <v>770.046142578125</v>
      </c>
      <c r="R1914">
        <v>3</v>
      </c>
      <c r="S1914">
        <v>1</v>
      </c>
      <c r="T1914">
        <v>9</v>
      </c>
      <c r="U1914">
        <v>41.534350000000003</v>
      </c>
      <c r="V1914">
        <v>174400.9</v>
      </c>
    </row>
    <row r="1915" spans="1:22" x14ac:dyDescent="0.25">
      <c r="A1915" t="s">
        <v>203</v>
      </c>
      <c r="B1915" t="s">
        <v>204</v>
      </c>
      <c r="C1915">
        <v>190</v>
      </c>
      <c r="D1915">
        <v>99</v>
      </c>
      <c r="E1915">
        <v>99</v>
      </c>
      <c r="F1915" t="s">
        <v>205</v>
      </c>
      <c r="G1915" t="s">
        <v>205</v>
      </c>
      <c r="H1915">
        <f t="shared" si="32"/>
        <v>9</v>
      </c>
      <c r="L1915" t="s">
        <v>43</v>
      </c>
      <c r="M1915">
        <v>-2.882E-3</v>
      </c>
      <c r="N1915">
        <v>1058.47863769531</v>
      </c>
      <c r="O1915">
        <v>530.24659999999903</v>
      </c>
      <c r="P1915">
        <v>1058.4814453125</v>
      </c>
      <c r="Q1915">
        <v>530.248046875</v>
      </c>
      <c r="R1915">
        <v>2</v>
      </c>
      <c r="S1915">
        <v>5</v>
      </c>
      <c r="T1915">
        <v>14</v>
      </c>
      <c r="U1915">
        <v>19.1678999999999</v>
      </c>
      <c r="V1915">
        <v>2253871</v>
      </c>
    </row>
    <row r="1916" spans="1:22" x14ac:dyDescent="0.25">
      <c r="A1916" t="s">
        <v>203</v>
      </c>
      <c r="B1916" t="s">
        <v>204</v>
      </c>
      <c r="C1916">
        <v>125</v>
      </c>
      <c r="D1916">
        <v>99</v>
      </c>
      <c r="E1916">
        <v>99</v>
      </c>
      <c r="F1916" t="s">
        <v>2013</v>
      </c>
      <c r="G1916" t="s">
        <v>2013</v>
      </c>
      <c r="H1916">
        <f t="shared" si="32"/>
        <v>18</v>
      </c>
      <c r="L1916" t="s">
        <v>87</v>
      </c>
      <c r="M1916" s="1">
        <v>-6.4753298647701599E-4</v>
      </c>
      <c r="N1916">
        <v>1261.54650878906</v>
      </c>
      <c r="O1916">
        <v>631.78049999999905</v>
      </c>
      <c r="P1916">
        <v>1261.54711914063</v>
      </c>
      <c r="Q1916">
        <v>631.78082275390602</v>
      </c>
      <c r="R1916">
        <v>2</v>
      </c>
      <c r="S1916">
        <v>1</v>
      </c>
      <c r="T1916">
        <v>9</v>
      </c>
      <c r="U1916">
        <v>40.854019999999899</v>
      </c>
      <c r="V1916">
        <v>85251.3</v>
      </c>
    </row>
    <row r="1917" spans="1:22" x14ac:dyDescent="0.25">
      <c r="A1917" t="s">
        <v>3657</v>
      </c>
      <c r="B1917" t="s">
        <v>3658</v>
      </c>
      <c r="C1917">
        <v>2025</v>
      </c>
      <c r="D1917">
        <v>99</v>
      </c>
      <c r="E1917">
        <v>99</v>
      </c>
      <c r="F1917" t="s">
        <v>3659</v>
      </c>
      <c r="G1917" t="s">
        <v>3659</v>
      </c>
      <c r="H1917">
        <f t="shared" si="32"/>
        <v>16</v>
      </c>
      <c r="M1917" s="1">
        <v>2.3169899359345401E-3</v>
      </c>
      <c r="N1917">
        <v>884.53546142578102</v>
      </c>
      <c r="O1917">
        <v>443.27499999999901</v>
      </c>
      <c r="P1917">
        <v>884.53314208984295</v>
      </c>
      <c r="Q1917">
        <v>443.27383422851602</v>
      </c>
      <c r="R1917">
        <v>2</v>
      </c>
      <c r="S1917">
        <v>1</v>
      </c>
      <c r="T1917">
        <v>11</v>
      </c>
      <c r="U1917">
        <v>28.9816</v>
      </c>
      <c r="V1917">
        <v>756344.7</v>
      </c>
    </row>
    <row r="1918" spans="1:22" x14ac:dyDescent="0.25">
      <c r="A1918" t="s">
        <v>3657</v>
      </c>
      <c r="B1918" t="s">
        <v>3658</v>
      </c>
      <c r="C1918">
        <v>750</v>
      </c>
      <c r="D1918">
        <v>99</v>
      </c>
      <c r="E1918">
        <v>99</v>
      </c>
      <c r="F1918" t="s">
        <v>3660</v>
      </c>
      <c r="G1918" t="s">
        <v>3660</v>
      </c>
      <c r="H1918">
        <f t="shared" si="32"/>
        <v>9</v>
      </c>
      <c r="M1918" s="1">
        <v>2.0841099321842201E-2</v>
      </c>
      <c r="N1918">
        <v>2019.03820800781</v>
      </c>
      <c r="O1918">
        <v>674.02</v>
      </c>
      <c r="P1918">
        <v>2019.01733398438</v>
      </c>
      <c r="Q1918">
        <v>674.01306152343705</v>
      </c>
      <c r="R1918">
        <v>3</v>
      </c>
      <c r="S1918">
        <v>1</v>
      </c>
      <c r="T1918">
        <v>8</v>
      </c>
      <c r="U1918">
        <v>39.542400000000001</v>
      </c>
      <c r="V1918">
        <v>59907.5</v>
      </c>
    </row>
    <row r="1919" spans="1:22" x14ac:dyDescent="0.25">
      <c r="A1919" t="s">
        <v>533</v>
      </c>
      <c r="B1919" t="s">
        <v>534</v>
      </c>
      <c r="C1919">
        <v>278</v>
      </c>
      <c r="D1919">
        <v>99</v>
      </c>
      <c r="E1919">
        <v>99</v>
      </c>
      <c r="F1919" t="s">
        <v>535</v>
      </c>
      <c r="G1919" t="s">
        <v>535</v>
      </c>
      <c r="H1919">
        <f t="shared" si="32"/>
        <v>9</v>
      </c>
      <c r="M1919" s="1">
        <v>5.7500600814819301E-3</v>
      </c>
      <c r="N1919">
        <v>1864.76904296875</v>
      </c>
      <c r="O1919">
        <v>933.39179999999897</v>
      </c>
      <c r="P1919">
        <v>1864.76330566406</v>
      </c>
      <c r="Q1919">
        <v>933.388916015625</v>
      </c>
      <c r="R1919">
        <v>2</v>
      </c>
      <c r="S1919">
        <v>1</v>
      </c>
      <c r="T1919">
        <v>10</v>
      </c>
      <c r="U1919">
        <v>49.284849999999899</v>
      </c>
      <c r="V1919">
        <v>54172.94</v>
      </c>
    </row>
    <row r="1920" spans="1:22" x14ac:dyDescent="0.25">
      <c r="A1920" t="s">
        <v>533</v>
      </c>
      <c r="B1920" t="s">
        <v>534</v>
      </c>
      <c r="C1920">
        <v>92</v>
      </c>
      <c r="D1920">
        <v>98.9</v>
      </c>
      <c r="E1920">
        <v>98.85</v>
      </c>
      <c r="F1920" t="s">
        <v>3899</v>
      </c>
      <c r="G1920" t="s">
        <v>3899</v>
      </c>
      <c r="H1920">
        <f t="shared" si="32"/>
        <v>9</v>
      </c>
      <c r="M1920" s="1">
        <v>1.3739800080657E-2</v>
      </c>
      <c r="N1920">
        <v>2036.82543945313</v>
      </c>
      <c r="O1920">
        <v>1019.42</v>
      </c>
      <c r="P1920">
        <v>2036.81164550781</v>
      </c>
      <c r="Q1920">
        <v>1019.4130859375</v>
      </c>
      <c r="R1920">
        <v>2</v>
      </c>
      <c r="S1920">
        <v>1</v>
      </c>
      <c r="T1920">
        <v>9</v>
      </c>
      <c r="U1920">
        <v>49.350700000000003</v>
      </c>
      <c r="V1920">
        <v>59594.78</v>
      </c>
    </row>
    <row r="1921" spans="1:22" x14ac:dyDescent="0.25">
      <c r="A1921" t="s">
        <v>533</v>
      </c>
      <c r="B1921" t="s">
        <v>534</v>
      </c>
      <c r="C1921">
        <v>92</v>
      </c>
      <c r="D1921">
        <v>99</v>
      </c>
      <c r="E1921">
        <v>99</v>
      </c>
      <c r="F1921" t="s">
        <v>3899</v>
      </c>
      <c r="G1921" t="s">
        <v>3899</v>
      </c>
      <c r="H1921">
        <f t="shared" si="32"/>
        <v>9</v>
      </c>
      <c r="L1921" t="s">
        <v>47</v>
      </c>
      <c r="M1921">
        <v>5.5529999999999998E-3</v>
      </c>
      <c r="N1921">
        <v>1027.55065917969</v>
      </c>
      <c r="O1921">
        <v>514.7826</v>
      </c>
      <c r="P1921">
        <v>1027.54504394531</v>
      </c>
      <c r="Q1921">
        <v>514.77984619140602</v>
      </c>
      <c r="R1921">
        <v>2</v>
      </c>
      <c r="S1921">
        <v>1</v>
      </c>
      <c r="T1921">
        <v>11</v>
      </c>
      <c r="U1921">
        <v>55.484029999999898</v>
      </c>
      <c r="V1921">
        <v>252252.2</v>
      </c>
    </row>
    <row r="1922" spans="1:22" x14ac:dyDescent="0.25">
      <c r="A1922" t="s">
        <v>4527</v>
      </c>
      <c r="B1922" t="s">
        <v>4528</v>
      </c>
      <c r="C1922">
        <v>96</v>
      </c>
      <c r="D1922">
        <v>99</v>
      </c>
      <c r="E1922">
        <v>99</v>
      </c>
      <c r="F1922" t="s">
        <v>4529</v>
      </c>
      <c r="G1922" t="s">
        <v>4529</v>
      </c>
      <c r="H1922">
        <f t="shared" si="32"/>
        <v>9</v>
      </c>
      <c r="M1922" s="1">
        <v>1.29568995907903E-3</v>
      </c>
      <c r="N1922">
        <v>1567.78552246094</v>
      </c>
      <c r="O1922">
        <v>784.9</v>
      </c>
      <c r="P1922">
        <v>1567.7841796875</v>
      </c>
      <c r="Q1922">
        <v>784.89935302734295</v>
      </c>
      <c r="R1922">
        <v>2</v>
      </c>
      <c r="S1922">
        <v>1</v>
      </c>
      <c r="T1922">
        <v>9</v>
      </c>
      <c r="U1922">
        <v>25.83745</v>
      </c>
      <c r="V1922">
        <v>187731.20000000001</v>
      </c>
    </row>
    <row r="1923" spans="1:22" x14ac:dyDescent="0.25">
      <c r="A1923" t="s">
        <v>4296</v>
      </c>
      <c r="B1923" t="s">
        <v>4297</v>
      </c>
      <c r="C1923">
        <v>158</v>
      </c>
      <c r="D1923">
        <v>99</v>
      </c>
      <c r="E1923">
        <v>99</v>
      </c>
      <c r="F1923" t="s">
        <v>4298</v>
      </c>
      <c r="G1923" t="s">
        <v>4298</v>
      </c>
      <c r="H1923">
        <f t="shared" ref="H1923:H1986" si="33">LEN(G1923)</f>
        <v>22</v>
      </c>
      <c r="M1923">
        <v>6.2969999999999996E-3</v>
      </c>
      <c r="N1923">
        <v>1901.99096679688</v>
      </c>
      <c r="O1923">
        <v>635.00429999999903</v>
      </c>
      <c r="P1923">
        <v>1901.98474121094</v>
      </c>
      <c r="Q1923">
        <v>635.002197265625</v>
      </c>
      <c r="R1923">
        <v>3</v>
      </c>
      <c r="S1923">
        <v>1</v>
      </c>
      <c r="T1923">
        <v>9</v>
      </c>
      <c r="U1923">
        <v>38.367800000000003</v>
      </c>
      <c r="V1923">
        <v>212384.7</v>
      </c>
    </row>
    <row r="1924" spans="1:22" x14ac:dyDescent="0.25">
      <c r="A1924" t="s">
        <v>4296</v>
      </c>
      <c r="B1924" t="s">
        <v>4297</v>
      </c>
      <c r="C1924">
        <v>159</v>
      </c>
      <c r="D1924">
        <v>99</v>
      </c>
      <c r="E1924">
        <v>99</v>
      </c>
      <c r="F1924" t="s">
        <v>4299</v>
      </c>
      <c r="G1924" t="s">
        <v>4299</v>
      </c>
      <c r="H1924">
        <f t="shared" si="33"/>
        <v>18</v>
      </c>
      <c r="M1924" s="1">
        <v>5.7084700092673302E-3</v>
      </c>
      <c r="N1924">
        <v>1964.06762695313</v>
      </c>
      <c r="O1924">
        <v>655.69650000000001</v>
      </c>
      <c r="P1924">
        <v>1964.06188964844</v>
      </c>
      <c r="Q1924">
        <v>655.694580078125</v>
      </c>
      <c r="R1924">
        <v>3</v>
      </c>
      <c r="S1924">
        <v>3</v>
      </c>
      <c r="T1924">
        <v>10</v>
      </c>
      <c r="U1924">
        <v>42.190649999999899</v>
      </c>
      <c r="V1924">
        <v>89763.61</v>
      </c>
    </row>
    <row r="1925" spans="1:22" x14ac:dyDescent="0.25">
      <c r="A1925" t="s">
        <v>4296</v>
      </c>
      <c r="B1925" t="s">
        <v>4297</v>
      </c>
      <c r="C1925">
        <v>159</v>
      </c>
      <c r="D1925">
        <v>99</v>
      </c>
      <c r="E1925">
        <v>99</v>
      </c>
      <c r="F1925" t="s">
        <v>4300</v>
      </c>
      <c r="G1925" t="s">
        <v>4300</v>
      </c>
      <c r="H1925">
        <f t="shared" si="33"/>
        <v>21</v>
      </c>
      <c r="M1925" s="1">
        <v>8.9118201285600593E-3</v>
      </c>
      <c r="N1925">
        <v>1750.91906738281</v>
      </c>
      <c r="O1925">
        <v>876.46680000000003</v>
      </c>
      <c r="P1925">
        <v>1750.91015625</v>
      </c>
      <c r="Q1925">
        <v>876.46234130859295</v>
      </c>
      <c r="R1925">
        <v>2</v>
      </c>
      <c r="S1925">
        <v>1</v>
      </c>
      <c r="T1925">
        <v>9</v>
      </c>
      <c r="U1925">
        <v>55.61103</v>
      </c>
      <c r="V1925">
        <v>47468.71</v>
      </c>
    </row>
    <row r="1926" spans="1:22" x14ac:dyDescent="0.25">
      <c r="A1926" t="s">
        <v>4296</v>
      </c>
      <c r="B1926" t="s">
        <v>4297</v>
      </c>
      <c r="C1926">
        <v>158</v>
      </c>
      <c r="D1926">
        <v>99</v>
      </c>
      <c r="E1926">
        <v>99</v>
      </c>
      <c r="F1926" t="s">
        <v>4301</v>
      </c>
      <c r="G1926" t="s">
        <v>4301</v>
      </c>
      <c r="H1926">
        <f t="shared" si="33"/>
        <v>19</v>
      </c>
      <c r="M1926" s="1">
        <v>-1.1731600388884501E-3</v>
      </c>
      <c r="N1926">
        <v>1873.75122070313</v>
      </c>
      <c r="O1926">
        <v>937.88289999999904</v>
      </c>
      <c r="P1926">
        <v>1873.75231933594</v>
      </c>
      <c r="Q1926">
        <v>937.88348388671795</v>
      </c>
      <c r="R1926">
        <v>2</v>
      </c>
      <c r="S1926">
        <v>1</v>
      </c>
      <c r="T1926">
        <v>12</v>
      </c>
      <c r="U1926">
        <v>40.450200000000002</v>
      </c>
      <c r="V1926">
        <v>195401.5</v>
      </c>
    </row>
    <row r="1927" spans="1:22" x14ac:dyDescent="0.25">
      <c r="A1927" t="s">
        <v>4296</v>
      </c>
      <c r="B1927" t="s">
        <v>4297</v>
      </c>
      <c r="C1927">
        <v>471</v>
      </c>
      <c r="D1927">
        <v>99</v>
      </c>
      <c r="E1927">
        <v>99</v>
      </c>
      <c r="F1927" t="s">
        <v>4302</v>
      </c>
      <c r="G1927" t="s">
        <v>4302</v>
      </c>
      <c r="H1927">
        <f t="shared" si="33"/>
        <v>14</v>
      </c>
      <c r="M1927">
        <v>-3.1000000000000001E-5</v>
      </c>
      <c r="N1927">
        <v>1875.787109375</v>
      </c>
      <c r="O1927">
        <v>938.9008</v>
      </c>
      <c r="P1927">
        <v>1875.787109375</v>
      </c>
      <c r="Q1927">
        <v>938.90081787109295</v>
      </c>
      <c r="R1927">
        <v>2</v>
      </c>
      <c r="S1927">
        <v>1</v>
      </c>
      <c r="T1927">
        <v>8</v>
      </c>
      <c r="U1927">
        <v>25.508150000000001</v>
      </c>
      <c r="V1927">
        <v>170946.6</v>
      </c>
    </row>
    <row r="1928" spans="1:22" x14ac:dyDescent="0.25">
      <c r="A1928" t="s">
        <v>4296</v>
      </c>
      <c r="B1928" t="s">
        <v>4297</v>
      </c>
      <c r="C1928">
        <v>472</v>
      </c>
      <c r="D1928">
        <v>98.5</v>
      </c>
      <c r="E1928">
        <v>98.52</v>
      </c>
      <c r="F1928" t="s">
        <v>4303</v>
      </c>
      <c r="G1928" t="s">
        <v>4303</v>
      </c>
      <c r="H1928">
        <f t="shared" si="33"/>
        <v>13</v>
      </c>
      <c r="M1928" s="1">
        <v>5.6182299740612403E-3</v>
      </c>
      <c r="N1928">
        <v>1443.78771972656</v>
      </c>
      <c r="O1928">
        <v>722.90110000000004</v>
      </c>
      <c r="P1928">
        <v>1443.78210449219</v>
      </c>
      <c r="Q1928">
        <v>722.89831542968705</v>
      </c>
      <c r="R1928">
        <v>2</v>
      </c>
      <c r="S1928">
        <v>1</v>
      </c>
      <c r="T1928">
        <v>12</v>
      </c>
      <c r="U1928">
        <v>55.424799999999898</v>
      </c>
      <c r="V1928">
        <v>291743.40000000002</v>
      </c>
    </row>
    <row r="1929" spans="1:22" x14ac:dyDescent="0.25">
      <c r="A1929" t="s">
        <v>4296</v>
      </c>
      <c r="B1929" t="s">
        <v>4297</v>
      </c>
      <c r="C1929">
        <v>472</v>
      </c>
      <c r="D1929">
        <v>99</v>
      </c>
      <c r="E1929">
        <v>99</v>
      </c>
      <c r="F1929" t="s">
        <v>4304</v>
      </c>
      <c r="G1929" t="s">
        <v>4304</v>
      </c>
      <c r="H1929">
        <f t="shared" si="33"/>
        <v>14</v>
      </c>
      <c r="M1929" s="1">
        <v>-1.2032300001010301E-3</v>
      </c>
      <c r="N1929">
        <v>1746.96166992188</v>
      </c>
      <c r="O1929">
        <v>583.32780000000002</v>
      </c>
      <c r="P1929">
        <v>1746.962890625</v>
      </c>
      <c r="Q1929">
        <v>583.32824707031205</v>
      </c>
      <c r="R1929">
        <v>3</v>
      </c>
      <c r="S1929">
        <v>1</v>
      </c>
      <c r="T1929">
        <v>10</v>
      </c>
      <c r="U1929">
        <v>41.798850000000002</v>
      </c>
      <c r="V1929">
        <v>213920.3</v>
      </c>
    </row>
    <row r="1930" spans="1:22" x14ac:dyDescent="0.25">
      <c r="A1930" t="s">
        <v>363</v>
      </c>
      <c r="B1930" t="s">
        <v>364</v>
      </c>
      <c r="C1930">
        <v>148</v>
      </c>
      <c r="D1930">
        <v>99</v>
      </c>
      <c r="E1930">
        <v>99</v>
      </c>
      <c r="F1930" t="s">
        <v>3928</v>
      </c>
      <c r="G1930" t="s">
        <v>3928</v>
      </c>
      <c r="H1930">
        <f t="shared" si="33"/>
        <v>14</v>
      </c>
      <c r="M1930" s="1">
        <v>1.75352999940515E-3</v>
      </c>
      <c r="N1930">
        <v>992.56726074218705</v>
      </c>
      <c r="O1930">
        <v>497.29090000000002</v>
      </c>
      <c r="P1930">
        <v>992.56549072265602</v>
      </c>
      <c r="Q1930">
        <v>497.29000854492102</v>
      </c>
      <c r="R1930">
        <v>2</v>
      </c>
      <c r="S1930">
        <v>1</v>
      </c>
      <c r="T1930">
        <v>15</v>
      </c>
      <c r="U1930">
        <v>25.53537</v>
      </c>
      <c r="V1930">
        <v>1047405</v>
      </c>
    </row>
    <row r="1931" spans="1:22" x14ac:dyDescent="0.25">
      <c r="A1931" t="s">
        <v>4382</v>
      </c>
      <c r="B1931" t="s">
        <v>4383</v>
      </c>
      <c r="C1931">
        <v>44</v>
      </c>
      <c r="D1931">
        <v>99</v>
      </c>
      <c r="E1931">
        <v>99</v>
      </c>
      <c r="F1931" t="s">
        <v>4384</v>
      </c>
      <c r="G1931" t="s">
        <v>4384</v>
      </c>
      <c r="H1931">
        <f t="shared" si="33"/>
        <v>17</v>
      </c>
      <c r="M1931" s="1">
        <v>8.3063897909596497E-4</v>
      </c>
      <c r="N1931">
        <v>985.62927246093705</v>
      </c>
      <c r="O1931">
        <v>493.82190000000003</v>
      </c>
      <c r="P1931">
        <v>985.62841796875</v>
      </c>
      <c r="Q1931">
        <v>493.82147216796801</v>
      </c>
      <c r="R1931">
        <v>2</v>
      </c>
      <c r="S1931">
        <v>1</v>
      </c>
      <c r="T1931">
        <v>11</v>
      </c>
      <c r="U1931">
        <v>31.21388</v>
      </c>
      <c r="V1931">
        <v>617980.5</v>
      </c>
    </row>
    <row r="1932" spans="1:22" x14ac:dyDescent="0.25">
      <c r="A1932" t="s">
        <v>4097</v>
      </c>
      <c r="B1932" t="s">
        <v>4098</v>
      </c>
      <c r="C1932">
        <v>559</v>
      </c>
      <c r="D1932">
        <v>99</v>
      </c>
      <c r="E1932">
        <v>99</v>
      </c>
      <c r="F1932" t="s">
        <v>4099</v>
      </c>
      <c r="G1932" t="s">
        <v>4099</v>
      </c>
      <c r="H1932">
        <f t="shared" si="33"/>
        <v>15</v>
      </c>
      <c r="M1932" s="1">
        <v>4.03688009828329E-3</v>
      </c>
      <c r="N1932">
        <v>960.56848144531205</v>
      </c>
      <c r="O1932">
        <v>481.29149999999902</v>
      </c>
      <c r="P1932">
        <v>960.56439208984295</v>
      </c>
      <c r="Q1932">
        <v>481.28948974609301</v>
      </c>
      <c r="R1932">
        <v>2</v>
      </c>
      <c r="S1932">
        <v>1</v>
      </c>
      <c r="T1932">
        <v>9</v>
      </c>
      <c r="U1932">
        <v>41.8123</v>
      </c>
      <c r="V1932">
        <v>120261.7</v>
      </c>
    </row>
    <row r="1933" spans="1:22" x14ac:dyDescent="0.25">
      <c r="A1933" t="s">
        <v>4097</v>
      </c>
      <c r="B1933" t="s">
        <v>4098</v>
      </c>
      <c r="C1933">
        <v>561</v>
      </c>
      <c r="D1933">
        <v>98.9</v>
      </c>
      <c r="E1933">
        <v>98.9</v>
      </c>
      <c r="F1933" t="s">
        <v>4100</v>
      </c>
      <c r="G1933" t="s">
        <v>4100</v>
      </c>
      <c r="H1933">
        <f t="shared" si="33"/>
        <v>13</v>
      </c>
      <c r="M1933">
        <v>-9.0499999999999999E-4</v>
      </c>
      <c r="N1933">
        <v>1356.65124511719</v>
      </c>
      <c r="O1933">
        <v>679.3329</v>
      </c>
      <c r="P1933">
        <v>1356.65209960938</v>
      </c>
      <c r="Q1933">
        <v>679.33331298828102</v>
      </c>
      <c r="R1933">
        <v>2</v>
      </c>
      <c r="S1933">
        <v>1</v>
      </c>
      <c r="T1933">
        <v>12</v>
      </c>
      <c r="U1933">
        <v>21.636880000000001</v>
      </c>
      <c r="V1933">
        <v>236660.6</v>
      </c>
    </row>
    <row r="1934" spans="1:22" x14ac:dyDescent="0.25">
      <c r="A1934" t="s">
        <v>4097</v>
      </c>
      <c r="B1934" t="s">
        <v>4098</v>
      </c>
      <c r="C1934">
        <v>559</v>
      </c>
      <c r="D1934">
        <v>99</v>
      </c>
      <c r="E1934">
        <v>99</v>
      </c>
      <c r="F1934" t="s">
        <v>4101</v>
      </c>
      <c r="G1934" t="s">
        <v>4101</v>
      </c>
      <c r="H1934">
        <f t="shared" si="33"/>
        <v>16</v>
      </c>
      <c r="M1934" s="1">
        <v>2.3217101115733298E-3</v>
      </c>
      <c r="N1934">
        <v>982.65625</v>
      </c>
      <c r="O1934">
        <v>492.33539999999903</v>
      </c>
      <c r="P1934">
        <v>982.65393066406205</v>
      </c>
      <c r="Q1934">
        <v>492.334228515625</v>
      </c>
      <c r="R1934">
        <v>2</v>
      </c>
      <c r="S1934">
        <v>4</v>
      </c>
      <c r="T1934">
        <v>12</v>
      </c>
      <c r="U1934">
        <v>49.900730000000003</v>
      </c>
      <c r="V1934">
        <v>1201139</v>
      </c>
    </row>
    <row r="1935" spans="1:22" x14ac:dyDescent="0.25">
      <c r="A1935" t="s">
        <v>4097</v>
      </c>
      <c r="B1935" t="s">
        <v>4098</v>
      </c>
      <c r="C1935">
        <v>559</v>
      </c>
      <c r="D1935">
        <v>99</v>
      </c>
      <c r="E1935">
        <v>99</v>
      </c>
      <c r="F1935" t="s">
        <v>4102</v>
      </c>
      <c r="G1935" t="s">
        <v>4102</v>
      </c>
      <c r="H1935">
        <f t="shared" si="33"/>
        <v>17</v>
      </c>
      <c r="M1935" s="1">
        <v>5.3635002113878701E-3</v>
      </c>
      <c r="N1935">
        <v>1786.92541503906</v>
      </c>
      <c r="O1935">
        <v>894.47</v>
      </c>
      <c r="P1935">
        <v>1786.92004394531</v>
      </c>
      <c r="Q1935">
        <v>894.46728515625</v>
      </c>
      <c r="R1935">
        <v>2</v>
      </c>
      <c r="S1935">
        <v>7</v>
      </c>
      <c r="T1935">
        <v>9</v>
      </c>
      <c r="U1935">
        <v>43.027830000000002</v>
      </c>
      <c r="V1935">
        <v>78853.73</v>
      </c>
    </row>
    <row r="1936" spans="1:22" x14ac:dyDescent="0.25">
      <c r="A1936" t="s">
        <v>66</v>
      </c>
      <c r="B1936" t="s">
        <v>67</v>
      </c>
      <c r="C1936">
        <v>60</v>
      </c>
      <c r="D1936">
        <v>99</v>
      </c>
      <c r="E1936">
        <v>99</v>
      </c>
      <c r="F1936" t="s">
        <v>68</v>
      </c>
      <c r="G1936" t="s">
        <v>68</v>
      </c>
      <c r="H1936">
        <f t="shared" si="33"/>
        <v>9</v>
      </c>
      <c r="M1936" s="1">
        <v>2.5157900527119602E-3</v>
      </c>
      <c r="N1936">
        <v>1837.95007324219</v>
      </c>
      <c r="O1936">
        <v>613.65729999999905</v>
      </c>
      <c r="P1936">
        <v>1837.94750976563</v>
      </c>
      <c r="Q1936">
        <v>613.65643310546795</v>
      </c>
      <c r="R1936">
        <v>3</v>
      </c>
      <c r="S1936">
        <v>1</v>
      </c>
      <c r="T1936">
        <v>11</v>
      </c>
      <c r="U1936">
        <v>37.126950000000001</v>
      </c>
      <c r="V1936">
        <v>190660.9</v>
      </c>
    </row>
    <row r="1937" spans="1:22" x14ac:dyDescent="0.25">
      <c r="A1937" t="s">
        <v>230</v>
      </c>
      <c r="B1937" t="s">
        <v>231</v>
      </c>
      <c r="C1937">
        <v>44</v>
      </c>
      <c r="D1937">
        <v>99</v>
      </c>
      <c r="E1937">
        <v>99</v>
      </c>
      <c r="F1937" t="s">
        <v>495</v>
      </c>
      <c r="G1937" t="s">
        <v>495</v>
      </c>
      <c r="H1937">
        <f t="shared" si="33"/>
        <v>12</v>
      </c>
      <c r="M1937" s="1">
        <v>3.8919099606573499E-3</v>
      </c>
      <c r="N1937">
        <v>1693.86743164063</v>
      </c>
      <c r="O1937">
        <v>847.94100000000003</v>
      </c>
      <c r="P1937">
        <v>1693.86352539063</v>
      </c>
      <c r="Q1937">
        <v>847.93902587890602</v>
      </c>
      <c r="R1937">
        <v>2</v>
      </c>
      <c r="S1937">
        <v>1</v>
      </c>
      <c r="T1937">
        <v>11</v>
      </c>
      <c r="U1937">
        <v>32.293030000000002</v>
      </c>
      <c r="V1937">
        <v>333217.90000000002</v>
      </c>
    </row>
    <row r="1938" spans="1:22" x14ac:dyDescent="0.25">
      <c r="A1938" t="s">
        <v>3224</v>
      </c>
      <c r="B1938" t="s">
        <v>3225</v>
      </c>
      <c r="C1938">
        <v>344</v>
      </c>
      <c r="D1938">
        <v>99</v>
      </c>
      <c r="E1938">
        <v>99</v>
      </c>
      <c r="F1938" t="s">
        <v>3226</v>
      </c>
      <c r="G1938" t="s">
        <v>3226</v>
      </c>
      <c r="H1938">
        <f t="shared" si="33"/>
        <v>9</v>
      </c>
      <c r="M1938">
        <v>1.5120000000000001E-3</v>
      </c>
      <c r="N1938">
        <v>1026.6201171875</v>
      </c>
      <c r="O1938">
        <v>514.31730000000005</v>
      </c>
      <c r="P1938">
        <v>1026.61853027344</v>
      </c>
      <c r="Q1938">
        <v>514.31658935546795</v>
      </c>
      <c r="R1938">
        <v>2</v>
      </c>
      <c r="S1938">
        <v>2</v>
      </c>
      <c r="T1938">
        <v>11</v>
      </c>
      <c r="U1938">
        <v>43.018749999999898</v>
      </c>
      <c r="V1938">
        <v>413551.6</v>
      </c>
    </row>
    <row r="1939" spans="1:22" x14ac:dyDescent="0.25">
      <c r="A1939" t="s">
        <v>4560</v>
      </c>
      <c r="B1939" t="s">
        <v>4561</v>
      </c>
      <c r="C1939">
        <v>139</v>
      </c>
      <c r="D1939">
        <v>98.2</v>
      </c>
      <c r="E1939">
        <v>98.21</v>
      </c>
      <c r="F1939" t="s">
        <v>4562</v>
      </c>
      <c r="G1939" t="s">
        <v>4562</v>
      </c>
      <c r="H1939">
        <f t="shared" si="33"/>
        <v>15</v>
      </c>
      <c r="M1939" s="1">
        <v>7.9511497169732891E-3</v>
      </c>
      <c r="N1939">
        <v>1513.82202148438</v>
      </c>
      <c r="O1939">
        <v>757.91830000000004</v>
      </c>
      <c r="P1939">
        <v>1513.81408691406</v>
      </c>
      <c r="Q1939">
        <v>757.914306640625</v>
      </c>
      <c r="R1939">
        <v>2</v>
      </c>
      <c r="S1939">
        <v>1</v>
      </c>
      <c r="T1939">
        <v>7</v>
      </c>
      <c r="U1939">
        <v>52.658880000000003</v>
      </c>
      <c r="V1939">
        <v>42776.01</v>
      </c>
    </row>
    <row r="1940" spans="1:22" x14ac:dyDescent="0.25">
      <c r="A1940" t="s">
        <v>4244</v>
      </c>
      <c r="B1940" t="s">
        <v>4245</v>
      </c>
      <c r="C1940">
        <v>164</v>
      </c>
      <c r="D1940">
        <v>99</v>
      </c>
      <c r="E1940">
        <v>99</v>
      </c>
      <c r="F1940" t="s">
        <v>4246</v>
      </c>
      <c r="G1940" t="s">
        <v>4246</v>
      </c>
      <c r="H1940">
        <f t="shared" si="33"/>
        <v>11</v>
      </c>
      <c r="M1940" s="1">
        <v>8.8150799274444493E-3</v>
      </c>
      <c r="N1940">
        <v>1642.86547851563</v>
      </c>
      <c r="O1940">
        <v>822.44</v>
      </c>
      <c r="P1940">
        <v>1642.85668945313</v>
      </c>
      <c r="Q1940">
        <v>822.43560791015602</v>
      </c>
      <c r="R1940">
        <v>2</v>
      </c>
      <c r="S1940">
        <v>1</v>
      </c>
      <c r="T1940">
        <v>10</v>
      </c>
      <c r="U1940">
        <v>52.371099999999899</v>
      </c>
      <c r="V1940">
        <v>60334.19</v>
      </c>
    </row>
    <row r="1941" spans="1:22" x14ac:dyDescent="0.25">
      <c r="A1941" t="s">
        <v>4244</v>
      </c>
      <c r="B1941" t="s">
        <v>4245</v>
      </c>
      <c r="C1941">
        <v>164</v>
      </c>
      <c r="D1941">
        <v>99</v>
      </c>
      <c r="E1941">
        <v>99</v>
      </c>
      <c r="F1941" t="s">
        <v>4247</v>
      </c>
      <c r="G1941" t="s">
        <v>4247</v>
      </c>
      <c r="H1941">
        <f t="shared" si="33"/>
        <v>13</v>
      </c>
      <c r="M1941" s="1">
        <v>5.4090801859274398E-4</v>
      </c>
      <c r="N1941">
        <v>1910.99682617188</v>
      </c>
      <c r="O1941">
        <v>956.50570000000005</v>
      </c>
      <c r="P1941">
        <v>1910.99621582031</v>
      </c>
      <c r="Q1941">
        <v>956.50543212890602</v>
      </c>
      <c r="R1941">
        <v>2</v>
      </c>
      <c r="S1941">
        <v>1</v>
      </c>
      <c r="T1941">
        <v>10</v>
      </c>
      <c r="U1941">
        <v>21.834869999999899</v>
      </c>
      <c r="V1941">
        <v>100068.1</v>
      </c>
    </row>
    <row r="1942" spans="1:22" x14ac:dyDescent="0.25">
      <c r="A1942" t="s">
        <v>3306</v>
      </c>
      <c r="B1942" t="s">
        <v>3307</v>
      </c>
      <c r="C1942">
        <v>861</v>
      </c>
      <c r="D1942">
        <v>99</v>
      </c>
      <c r="E1942">
        <v>99</v>
      </c>
      <c r="F1942" t="s">
        <v>3308</v>
      </c>
      <c r="G1942" t="s">
        <v>3308</v>
      </c>
      <c r="H1942">
        <f t="shared" si="33"/>
        <v>9</v>
      </c>
      <c r="M1942" s="1">
        <v>2.0319200120866199E-3</v>
      </c>
      <c r="N1942">
        <v>1530.84265136719</v>
      </c>
      <c r="O1942">
        <v>766.42859999999905</v>
      </c>
      <c r="P1942">
        <v>1530.84057617188</v>
      </c>
      <c r="Q1942">
        <v>766.42755126953102</v>
      </c>
      <c r="R1942">
        <v>2</v>
      </c>
      <c r="S1942">
        <v>1</v>
      </c>
      <c r="T1942">
        <v>9</v>
      </c>
      <c r="U1942">
        <v>30.34</v>
      </c>
      <c r="V1942">
        <v>136176.4</v>
      </c>
    </row>
    <row r="1943" spans="1:22" x14ac:dyDescent="0.25">
      <c r="A1943" t="s">
        <v>1722</v>
      </c>
      <c r="B1943" t="s">
        <v>1723</v>
      </c>
      <c r="C1943">
        <v>951</v>
      </c>
      <c r="D1943">
        <v>99</v>
      </c>
      <c r="E1943">
        <v>99</v>
      </c>
      <c r="F1943" t="s">
        <v>1724</v>
      </c>
      <c r="G1943" t="s">
        <v>1724</v>
      </c>
      <c r="H1943">
        <f t="shared" si="33"/>
        <v>15</v>
      </c>
      <c r="M1943" s="1">
        <v>4.13959007710218E-3</v>
      </c>
      <c r="N1943">
        <v>1786.9619140625</v>
      </c>
      <c r="O1943">
        <v>894.48820000000001</v>
      </c>
      <c r="P1943">
        <v>1786.95776367188</v>
      </c>
      <c r="Q1943">
        <v>894.48614501953102</v>
      </c>
      <c r="R1943">
        <v>2</v>
      </c>
      <c r="S1943">
        <v>1</v>
      </c>
      <c r="T1943">
        <v>11</v>
      </c>
      <c r="U1943">
        <v>51.611330000000002</v>
      </c>
      <c r="V1943">
        <v>68121.289999999906</v>
      </c>
    </row>
    <row r="1944" spans="1:22" x14ac:dyDescent="0.25">
      <c r="A1944" t="s">
        <v>1722</v>
      </c>
      <c r="B1944" t="s">
        <v>1723</v>
      </c>
      <c r="C1944">
        <v>951</v>
      </c>
      <c r="D1944">
        <v>99</v>
      </c>
      <c r="E1944">
        <v>99</v>
      </c>
      <c r="F1944" t="s">
        <v>1725</v>
      </c>
      <c r="G1944" t="s">
        <v>1725</v>
      </c>
      <c r="H1944">
        <f t="shared" si="33"/>
        <v>17</v>
      </c>
      <c r="M1944">
        <v>3.5360000000000001E-3</v>
      </c>
      <c r="N1944">
        <v>1079.6123046875</v>
      </c>
      <c r="O1944">
        <v>540.8134</v>
      </c>
      <c r="P1944">
        <v>1079.60876464844</v>
      </c>
      <c r="Q1944">
        <v>540.81164550781205</v>
      </c>
      <c r="R1944">
        <v>2</v>
      </c>
      <c r="S1944">
        <v>1</v>
      </c>
      <c r="T1944">
        <v>12</v>
      </c>
      <c r="U1944">
        <v>25.60857</v>
      </c>
      <c r="V1944">
        <v>2918770</v>
      </c>
    </row>
    <row r="1945" spans="1:22" x14ac:dyDescent="0.25">
      <c r="A1945" t="s">
        <v>1722</v>
      </c>
      <c r="B1945" t="s">
        <v>1723</v>
      </c>
      <c r="C1945">
        <v>951</v>
      </c>
      <c r="D1945">
        <v>99</v>
      </c>
      <c r="E1945">
        <v>99</v>
      </c>
      <c r="F1945" t="s">
        <v>1726</v>
      </c>
      <c r="G1945" t="s">
        <v>1726</v>
      </c>
      <c r="H1945">
        <f t="shared" si="33"/>
        <v>18</v>
      </c>
      <c r="M1945">
        <v>3.6749999999999999E-3</v>
      </c>
      <c r="N1945">
        <v>1172.67431640625</v>
      </c>
      <c r="O1945">
        <v>587.34439999999904</v>
      </c>
      <c r="P1945">
        <v>1172.67065429688</v>
      </c>
      <c r="Q1945">
        <v>587.34259033203102</v>
      </c>
      <c r="R1945">
        <v>2</v>
      </c>
      <c r="S1945">
        <v>1</v>
      </c>
      <c r="T1945">
        <v>12</v>
      </c>
      <c r="U1945">
        <v>55.518500000000003</v>
      </c>
      <c r="V1945">
        <v>986041.4</v>
      </c>
    </row>
    <row r="1946" spans="1:22" x14ac:dyDescent="0.25">
      <c r="A1946" t="s">
        <v>1722</v>
      </c>
      <c r="B1946" t="s">
        <v>1723</v>
      </c>
      <c r="C1946">
        <v>949</v>
      </c>
      <c r="D1946">
        <v>98.2</v>
      </c>
      <c r="E1946">
        <v>98.16</v>
      </c>
      <c r="F1946" t="s">
        <v>1727</v>
      </c>
      <c r="G1946" t="s">
        <v>1727</v>
      </c>
      <c r="H1946">
        <f t="shared" si="33"/>
        <v>17</v>
      </c>
      <c r="M1946">
        <v>2.892E-3</v>
      </c>
      <c r="N1946">
        <v>1143.64294433594</v>
      </c>
      <c r="O1946">
        <v>382.22160000000002</v>
      </c>
      <c r="P1946">
        <v>1143.64001464844</v>
      </c>
      <c r="Q1946">
        <v>382.22061157226602</v>
      </c>
      <c r="R1946">
        <v>3</v>
      </c>
      <c r="S1946">
        <v>4</v>
      </c>
      <c r="T1946">
        <v>9</v>
      </c>
      <c r="U1946">
        <v>26.3895699999999</v>
      </c>
      <c r="V1946">
        <v>523112.1</v>
      </c>
    </row>
    <row r="1947" spans="1:22" x14ac:dyDescent="0.25">
      <c r="A1947" t="s">
        <v>1722</v>
      </c>
      <c r="B1947" t="s">
        <v>1723</v>
      </c>
      <c r="C1947">
        <v>949</v>
      </c>
      <c r="D1947">
        <v>98.7</v>
      </c>
      <c r="E1947">
        <v>98.68</v>
      </c>
      <c r="F1947" t="s">
        <v>1728</v>
      </c>
      <c r="G1947" t="s">
        <v>1728</v>
      </c>
      <c r="H1947">
        <f t="shared" si="33"/>
        <v>18</v>
      </c>
      <c r="M1947">
        <v>3.1999999999999999E-5</v>
      </c>
      <c r="N1947">
        <v>2095.97436523438</v>
      </c>
      <c r="O1947">
        <v>699.66539999999895</v>
      </c>
      <c r="P1947">
        <v>2095.97436523438</v>
      </c>
      <c r="Q1947">
        <v>699.66540527343705</v>
      </c>
      <c r="R1947">
        <v>3</v>
      </c>
      <c r="S1947">
        <v>1</v>
      </c>
      <c r="T1947">
        <v>9</v>
      </c>
      <c r="U1947">
        <v>18.02553</v>
      </c>
      <c r="V1947">
        <v>36864.46</v>
      </c>
    </row>
    <row r="1948" spans="1:22" x14ac:dyDescent="0.25">
      <c r="A1948" t="s">
        <v>1722</v>
      </c>
      <c r="B1948" t="s">
        <v>1723</v>
      </c>
      <c r="C1948">
        <v>949</v>
      </c>
      <c r="D1948">
        <v>99</v>
      </c>
      <c r="E1948">
        <v>99</v>
      </c>
      <c r="F1948" t="s">
        <v>1729</v>
      </c>
      <c r="G1948" t="s">
        <v>1729</v>
      </c>
      <c r="H1948">
        <f t="shared" si="33"/>
        <v>19</v>
      </c>
      <c r="M1948" s="1">
        <v>-2.57669994607568E-3</v>
      </c>
      <c r="N1948">
        <v>1167.66333007813</v>
      </c>
      <c r="O1948">
        <v>584.83889999999894</v>
      </c>
      <c r="P1948">
        <v>1167.66589355469</v>
      </c>
      <c r="Q1948">
        <v>584.84020996093705</v>
      </c>
      <c r="R1948">
        <v>2</v>
      </c>
      <c r="S1948">
        <v>6</v>
      </c>
      <c r="T1948">
        <v>12</v>
      </c>
      <c r="U1948">
        <v>18.782450000000001</v>
      </c>
      <c r="V1948">
        <v>662493.19999999902</v>
      </c>
    </row>
    <row r="1949" spans="1:22" x14ac:dyDescent="0.25">
      <c r="A1949" t="s">
        <v>1722</v>
      </c>
      <c r="B1949" t="s">
        <v>1723</v>
      </c>
      <c r="C1949">
        <v>949</v>
      </c>
      <c r="D1949">
        <v>99</v>
      </c>
      <c r="E1949">
        <v>99</v>
      </c>
      <c r="F1949" t="s">
        <v>1730</v>
      </c>
      <c r="G1949" t="s">
        <v>1730</v>
      </c>
      <c r="H1949">
        <f t="shared" si="33"/>
        <v>20</v>
      </c>
      <c r="M1949" s="1">
        <v>2.0611099898815099E-3</v>
      </c>
      <c r="N1949">
        <v>1140.60607910156</v>
      </c>
      <c r="O1949">
        <v>571.31029999999896</v>
      </c>
      <c r="P1949">
        <v>1140.60400390625</v>
      </c>
      <c r="Q1949">
        <v>571.30926513671795</v>
      </c>
      <c r="R1949">
        <v>2</v>
      </c>
      <c r="S1949">
        <v>2</v>
      </c>
      <c r="T1949">
        <v>12</v>
      </c>
      <c r="U1949">
        <v>25.601880000000001</v>
      </c>
      <c r="V1949">
        <v>4670702</v>
      </c>
    </row>
    <row r="1950" spans="1:22" x14ac:dyDescent="0.25">
      <c r="A1950" t="s">
        <v>1722</v>
      </c>
      <c r="B1950" t="s">
        <v>1723</v>
      </c>
      <c r="C1950">
        <v>950</v>
      </c>
      <c r="D1950">
        <v>99</v>
      </c>
      <c r="E1950">
        <v>99</v>
      </c>
      <c r="F1950" t="s">
        <v>1731</v>
      </c>
      <c r="G1950" t="s">
        <v>1731</v>
      </c>
      <c r="H1950">
        <f t="shared" si="33"/>
        <v>16</v>
      </c>
      <c r="M1950" s="1">
        <v>-2.7286299155093702E-4</v>
      </c>
      <c r="N1950">
        <v>1179.60339355469</v>
      </c>
      <c r="O1950">
        <v>394.20839999999902</v>
      </c>
      <c r="P1950">
        <v>1179.60363769531</v>
      </c>
      <c r="Q1950">
        <v>394.20849609375</v>
      </c>
      <c r="R1950">
        <v>3</v>
      </c>
      <c r="S1950">
        <v>1</v>
      </c>
      <c r="T1950">
        <v>11</v>
      </c>
      <c r="U1950">
        <v>23.9106799999999</v>
      </c>
      <c r="V1950">
        <v>11401830</v>
      </c>
    </row>
    <row r="1951" spans="1:22" x14ac:dyDescent="0.25">
      <c r="A1951" t="s">
        <v>1722</v>
      </c>
      <c r="B1951" t="s">
        <v>1723</v>
      </c>
      <c r="C1951">
        <v>950</v>
      </c>
      <c r="D1951">
        <v>99</v>
      </c>
      <c r="E1951">
        <v>99</v>
      </c>
      <c r="F1951" t="s">
        <v>1732</v>
      </c>
      <c r="G1951" t="s">
        <v>1732</v>
      </c>
      <c r="H1951">
        <f t="shared" si="33"/>
        <v>17</v>
      </c>
      <c r="M1951" s="1">
        <v>3.4657900687307102E-3</v>
      </c>
      <c r="N1951">
        <v>1748.97546386719</v>
      </c>
      <c r="O1951">
        <v>583.9991</v>
      </c>
      <c r="P1951">
        <v>1748.97192382813</v>
      </c>
      <c r="Q1951">
        <v>583.99792480468705</v>
      </c>
      <c r="R1951">
        <v>3</v>
      </c>
      <c r="S1951">
        <v>1</v>
      </c>
      <c r="T1951">
        <v>11</v>
      </c>
      <c r="U1951">
        <v>38.534320000000001</v>
      </c>
      <c r="V1951">
        <v>297520.59999999899</v>
      </c>
    </row>
    <row r="1952" spans="1:22" x14ac:dyDescent="0.25">
      <c r="A1952" t="s">
        <v>1722</v>
      </c>
      <c r="B1952" t="s">
        <v>1723</v>
      </c>
      <c r="C1952">
        <v>950</v>
      </c>
      <c r="D1952">
        <v>99</v>
      </c>
      <c r="E1952">
        <v>99</v>
      </c>
      <c r="F1952" t="s">
        <v>1733</v>
      </c>
      <c r="G1952" t="s">
        <v>1733</v>
      </c>
      <c r="H1952">
        <f t="shared" si="33"/>
        <v>18</v>
      </c>
      <c r="M1952">
        <v>4.1869999999999997E-3</v>
      </c>
      <c r="N1952">
        <v>1988.99975585938</v>
      </c>
      <c r="O1952">
        <v>664.00720000000001</v>
      </c>
      <c r="P1952">
        <v>1988.99560546875</v>
      </c>
      <c r="Q1952">
        <v>664.00579833984295</v>
      </c>
      <c r="R1952">
        <v>3</v>
      </c>
      <c r="S1952">
        <v>1</v>
      </c>
      <c r="T1952">
        <v>11</v>
      </c>
      <c r="U1952">
        <v>32.240119999999898</v>
      </c>
      <c r="V1952">
        <v>602949.69999999902</v>
      </c>
    </row>
    <row r="1953" spans="1:22" x14ac:dyDescent="0.25">
      <c r="A1953" t="s">
        <v>1722</v>
      </c>
      <c r="B1953" t="s">
        <v>1723</v>
      </c>
      <c r="C1953">
        <v>170</v>
      </c>
      <c r="D1953">
        <v>99</v>
      </c>
      <c r="E1953">
        <v>99</v>
      </c>
      <c r="F1953" t="s">
        <v>1734</v>
      </c>
      <c r="G1953" t="s">
        <v>1734</v>
      </c>
      <c r="H1953">
        <f t="shared" si="33"/>
        <v>17</v>
      </c>
      <c r="M1953" s="1">
        <v>7.37148011103272E-3</v>
      </c>
      <c r="N1953">
        <v>1547.78063964844</v>
      </c>
      <c r="O1953">
        <v>774.89760000000001</v>
      </c>
      <c r="P1953">
        <v>1547.77319335938</v>
      </c>
      <c r="Q1953">
        <v>774.89392089843705</v>
      </c>
      <c r="R1953">
        <v>2</v>
      </c>
      <c r="S1953">
        <v>2</v>
      </c>
      <c r="T1953">
        <v>11</v>
      </c>
      <c r="U1953">
        <v>41.3544699999999</v>
      </c>
      <c r="V1953">
        <v>100684.7</v>
      </c>
    </row>
    <row r="1954" spans="1:22" x14ac:dyDescent="0.25">
      <c r="A1954" t="s">
        <v>1722</v>
      </c>
      <c r="B1954" t="s">
        <v>1723</v>
      </c>
      <c r="C1954">
        <v>951</v>
      </c>
      <c r="D1954">
        <v>99</v>
      </c>
      <c r="E1954">
        <v>99</v>
      </c>
      <c r="F1954" t="s">
        <v>1735</v>
      </c>
      <c r="G1954" t="s">
        <v>1735</v>
      </c>
      <c r="H1954">
        <f t="shared" si="33"/>
        <v>16</v>
      </c>
      <c r="M1954" s="1">
        <v>3.1419999431818702E-3</v>
      </c>
      <c r="N1954">
        <v>1005.58905029297</v>
      </c>
      <c r="O1954">
        <v>503.80180000000001</v>
      </c>
      <c r="P1954">
        <v>1005.58587646484</v>
      </c>
      <c r="Q1954">
        <v>503.80023193359301</v>
      </c>
      <c r="R1954">
        <v>2</v>
      </c>
      <c r="S1954">
        <v>2</v>
      </c>
      <c r="T1954">
        <v>12</v>
      </c>
      <c r="U1954">
        <v>30.610399999999899</v>
      </c>
      <c r="V1954">
        <v>1611959</v>
      </c>
    </row>
    <row r="1955" spans="1:22" x14ac:dyDescent="0.25">
      <c r="A1955" t="s">
        <v>1722</v>
      </c>
      <c r="B1955" t="s">
        <v>1723</v>
      </c>
      <c r="C1955">
        <v>948</v>
      </c>
      <c r="D1955">
        <v>98.3</v>
      </c>
      <c r="E1955">
        <v>98.33</v>
      </c>
      <c r="F1955" t="s">
        <v>1736</v>
      </c>
      <c r="G1955" t="s">
        <v>1736</v>
      </c>
      <c r="H1955">
        <f t="shared" si="33"/>
        <v>17</v>
      </c>
      <c r="M1955" s="1">
        <v>-2.47939000837504E-3</v>
      </c>
      <c r="N1955">
        <v>1057.65832519531</v>
      </c>
      <c r="O1955">
        <v>529.83640000000003</v>
      </c>
      <c r="P1955">
        <v>1057.66076660156</v>
      </c>
      <c r="Q1955">
        <v>529.837646484375</v>
      </c>
      <c r="R1955">
        <v>2</v>
      </c>
      <c r="S1955">
        <v>1</v>
      </c>
      <c r="T1955">
        <v>12</v>
      </c>
      <c r="U1955">
        <v>21.006799999999899</v>
      </c>
      <c r="V1955">
        <v>1009674</v>
      </c>
    </row>
    <row r="1956" spans="1:22" x14ac:dyDescent="0.25">
      <c r="A1956" t="s">
        <v>1722</v>
      </c>
      <c r="B1956" t="s">
        <v>1723</v>
      </c>
      <c r="C1956">
        <v>948</v>
      </c>
      <c r="D1956">
        <v>98.3</v>
      </c>
      <c r="E1956">
        <v>98.26</v>
      </c>
      <c r="F1956" t="s">
        <v>1737</v>
      </c>
      <c r="G1956" t="s">
        <v>1737</v>
      </c>
      <c r="H1956">
        <f t="shared" si="33"/>
        <v>21</v>
      </c>
      <c r="M1956" s="1">
        <v>1.8614700529724401E-3</v>
      </c>
      <c r="N1956">
        <v>1088.59973144531</v>
      </c>
      <c r="O1956">
        <v>545.30709999999897</v>
      </c>
      <c r="P1956">
        <v>1088.59790039063</v>
      </c>
      <c r="Q1956">
        <v>545.30621337890602</v>
      </c>
      <c r="R1956">
        <v>2</v>
      </c>
      <c r="S1956">
        <v>1</v>
      </c>
      <c r="T1956">
        <v>11</v>
      </c>
      <c r="U1956">
        <v>33.352379999999897</v>
      </c>
      <c r="V1956">
        <v>1242854</v>
      </c>
    </row>
    <row r="1957" spans="1:22" x14ac:dyDescent="0.25">
      <c r="A1957" t="s">
        <v>1722</v>
      </c>
      <c r="B1957" t="s">
        <v>1723</v>
      </c>
      <c r="C1957">
        <v>15</v>
      </c>
      <c r="D1957">
        <v>99</v>
      </c>
      <c r="E1957">
        <v>99</v>
      </c>
      <c r="F1957" t="s">
        <v>1738</v>
      </c>
      <c r="G1957" t="s">
        <v>1738</v>
      </c>
      <c r="H1957">
        <f t="shared" si="33"/>
        <v>14</v>
      </c>
      <c r="M1957">
        <v>2.4589999999999998E-3</v>
      </c>
      <c r="N1957">
        <v>1430.79064941406</v>
      </c>
      <c r="O1957">
        <v>716.40260000000001</v>
      </c>
      <c r="P1957">
        <v>1430.78820800781</v>
      </c>
      <c r="Q1957">
        <v>716.4013671875</v>
      </c>
      <c r="R1957">
        <v>2</v>
      </c>
      <c r="S1957">
        <v>1</v>
      </c>
      <c r="T1957">
        <v>9</v>
      </c>
      <c r="U1957">
        <v>36.780900000000003</v>
      </c>
      <c r="V1957">
        <v>125004.7</v>
      </c>
    </row>
    <row r="1958" spans="1:22" x14ac:dyDescent="0.25">
      <c r="A1958" t="s">
        <v>1722</v>
      </c>
      <c r="B1958" t="s">
        <v>1723</v>
      </c>
      <c r="C1958">
        <v>15</v>
      </c>
      <c r="D1958">
        <v>99</v>
      </c>
      <c r="E1958">
        <v>99</v>
      </c>
      <c r="F1958" t="s">
        <v>1739</v>
      </c>
      <c r="G1958" t="s">
        <v>1739</v>
      </c>
      <c r="H1958">
        <f t="shared" si="33"/>
        <v>15</v>
      </c>
      <c r="M1958" s="1">
        <v>7.7362600713968303E-3</v>
      </c>
      <c r="N1958">
        <v>1820.7890625</v>
      </c>
      <c r="O1958">
        <v>911.40179999999896</v>
      </c>
      <c r="P1958">
        <v>1820.78125</v>
      </c>
      <c r="Q1958">
        <v>911.39794921875</v>
      </c>
      <c r="R1958">
        <v>2</v>
      </c>
      <c r="S1958">
        <v>2</v>
      </c>
      <c r="T1958">
        <v>16</v>
      </c>
      <c r="U1958">
        <v>32.676850000000002</v>
      </c>
      <c r="V1958">
        <v>370381.1</v>
      </c>
    </row>
    <row r="1959" spans="1:22" x14ac:dyDescent="0.25">
      <c r="A1959" t="s">
        <v>1722</v>
      </c>
      <c r="B1959" t="s">
        <v>1723</v>
      </c>
      <c r="C1959">
        <v>950</v>
      </c>
      <c r="D1959">
        <v>99</v>
      </c>
      <c r="E1959">
        <v>99</v>
      </c>
      <c r="F1959" t="s">
        <v>1740</v>
      </c>
      <c r="G1959" t="s">
        <v>1740</v>
      </c>
      <c r="H1959">
        <f t="shared" si="33"/>
        <v>15</v>
      </c>
      <c r="M1959" s="1">
        <v>6.2463497743010504E-3</v>
      </c>
      <c r="N1959">
        <v>1834.80322265625</v>
      </c>
      <c r="O1959">
        <v>918.40890000000002</v>
      </c>
      <c r="P1959">
        <v>1834.79699707031</v>
      </c>
      <c r="Q1959">
        <v>918.40576171875</v>
      </c>
      <c r="R1959">
        <v>2</v>
      </c>
      <c r="S1959">
        <v>1</v>
      </c>
      <c r="T1959">
        <v>14</v>
      </c>
      <c r="U1959">
        <v>32.3529699999999</v>
      </c>
      <c r="V1959">
        <v>388150.1</v>
      </c>
    </row>
    <row r="1960" spans="1:22" x14ac:dyDescent="0.25">
      <c r="A1960" t="s">
        <v>1722</v>
      </c>
      <c r="B1960" t="s">
        <v>1723</v>
      </c>
      <c r="C1960">
        <v>950</v>
      </c>
      <c r="D1960">
        <v>99</v>
      </c>
      <c r="E1960">
        <v>99</v>
      </c>
      <c r="F1960" t="s">
        <v>1741</v>
      </c>
      <c r="G1960" t="s">
        <v>1741</v>
      </c>
      <c r="H1960">
        <f t="shared" si="33"/>
        <v>19</v>
      </c>
      <c r="M1960" s="1">
        <v>2.2869000677019401E-3</v>
      </c>
      <c r="N1960">
        <v>948.45104980468705</v>
      </c>
      <c r="O1960">
        <v>475.2328</v>
      </c>
      <c r="P1960">
        <v>948.44873046875</v>
      </c>
      <c r="Q1960">
        <v>475.23165893554602</v>
      </c>
      <c r="R1960">
        <v>2</v>
      </c>
      <c r="S1960">
        <v>1</v>
      </c>
      <c r="T1960">
        <v>9</v>
      </c>
      <c r="U1960">
        <v>24.0503199999999</v>
      </c>
      <c r="V1960">
        <v>472465.1</v>
      </c>
    </row>
    <row r="1961" spans="1:22" x14ac:dyDescent="0.25">
      <c r="A1961" t="s">
        <v>1722</v>
      </c>
      <c r="B1961" t="s">
        <v>1723</v>
      </c>
      <c r="C1961">
        <v>948</v>
      </c>
      <c r="D1961">
        <v>99</v>
      </c>
      <c r="E1961">
        <v>99</v>
      </c>
      <c r="F1961" t="s">
        <v>1737</v>
      </c>
      <c r="G1961" t="s">
        <v>1737</v>
      </c>
      <c r="H1961">
        <f t="shared" si="33"/>
        <v>21</v>
      </c>
      <c r="L1961" t="s">
        <v>77</v>
      </c>
      <c r="M1961" s="1">
        <v>1.21446000412107E-2</v>
      </c>
      <c r="N1961">
        <v>2312.10815429688</v>
      </c>
      <c r="O1961">
        <v>771.71</v>
      </c>
      <c r="P1961">
        <v>2312.09619140625</v>
      </c>
      <c r="Q1961">
        <v>771.70599365234295</v>
      </c>
      <c r="R1961">
        <v>3</v>
      </c>
      <c r="S1961">
        <v>1</v>
      </c>
      <c r="T1961">
        <v>9</v>
      </c>
      <c r="U1961">
        <v>37.779800000000002</v>
      </c>
      <c r="V1961">
        <v>280095.90000000002</v>
      </c>
    </row>
    <row r="1962" spans="1:22" x14ac:dyDescent="0.25">
      <c r="A1962" t="s">
        <v>1722</v>
      </c>
      <c r="B1962" t="s">
        <v>1723</v>
      </c>
      <c r="C1962">
        <v>954</v>
      </c>
      <c r="D1962">
        <v>99</v>
      </c>
      <c r="E1962">
        <v>99</v>
      </c>
      <c r="F1962" t="s">
        <v>1742</v>
      </c>
      <c r="G1962" t="s">
        <v>1742</v>
      </c>
      <c r="H1962">
        <f t="shared" si="33"/>
        <v>12</v>
      </c>
      <c r="L1962" t="s">
        <v>295</v>
      </c>
      <c r="M1962" s="1">
        <v>2.3181599099189E-3</v>
      </c>
      <c r="N1962">
        <v>1097.55627441406</v>
      </c>
      <c r="O1962">
        <v>549.78539999999896</v>
      </c>
      <c r="P1962">
        <v>1097.55395507813</v>
      </c>
      <c r="Q1962">
        <v>549.78424072265602</v>
      </c>
      <c r="R1962">
        <v>2</v>
      </c>
      <c r="S1962">
        <v>1</v>
      </c>
      <c r="T1962">
        <v>12</v>
      </c>
      <c r="U1962">
        <v>34.730420000000002</v>
      </c>
      <c r="V1962">
        <v>1046073</v>
      </c>
    </row>
    <row r="1963" spans="1:22" x14ac:dyDescent="0.25">
      <c r="A1963" t="s">
        <v>1722</v>
      </c>
      <c r="B1963" t="s">
        <v>1723</v>
      </c>
      <c r="C1963">
        <v>950</v>
      </c>
      <c r="D1963">
        <v>99</v>
      </c>
      <c r="E1963">
        <v>99</v>
      </c>
      <c r="F1963" t="s">
        <v>1733</v>
      </c>
      <c r="G1963" t="s">
        <v>1733</v>
      </c>
      <c r="H1963">
        <f t="shared" si="33"/>
        <v>18</v>
      </c>
      <c r="L1963" t="s">
        <v>104</v>
      </c>
      <c r="M1963" s="1">
        <v>-3.2407199032604599E-3</v>
      </c>
      <c r="N1963">
        <v>1903.93176269531</v>
      </c>
      <c r="O1963">
        <v>635.65120000000002</v>
      </c>
      <c r="P1963">
        <v>1903.93493652344</v>
      </c>
      <c r="Q1963">
        <v>635.65228271484295</v>
      </c>
      <c r="R1963">
        <v>3</v>
      </c>
      <c r="S1963">
        <v>1</v>
      </c>
      <c r="T1963">
        <v>11</v>
      </c>
      <c r="U1963">
        <v>21.898420000000002</v>
      </c>
      <c r="V1963">
        <v>227735.4</v>
      </c>
    </row>
    <row r="1964" spans="1:22" x14ac:dyDescent="0.25">
      <c r="A1964" t="s">
        <v>2725</v>
      </c>
      <c r="B1964" t="s">
        <v>2726</v>
      </c>
      <c r="C1964">
        <v>262</v>
      </c>
      <c r="D1964">
        <v>98.7</v>
      </c>
      <c r="E1964">
        <v>98.71</v>
      </c>
      <c r="F1964" t="s">
        <v>2727</v>
      </c>
      <c r="G1964" t="s">
        <v>2727</v>
      </c>
      <c r="H1964">
        <f t="shared" si="33"/>
        <v>9</v>
      </c>
      <c r="M1964" s="1">
        <v>3.5262000747025E-3</v>
      </c>
      <c r="N1964">
        <v>896.58428955078102</v>
      </c>
      <c r="O1964">
        <v>449.29939999999903</v>
      </c>
      <c r="P1964">
        <v>896.58074951171795</v>
      </c>
      <c r="Q1964">
        <v>449.29763793945301</v>
      </c>
      <c r="R1964">
        <v>2</v>
      </c>
      <c r="S1964">
        <v>2</v>
      </c>
      <c r="T1964">
        <v>12</v>
      </c>
      <c r="U1964">
        <v>44.52272</v>
      </c>
      <c r="V1964">
        <v>1744880</v>
      </c>
    </row>
    <row r="1965" spans="1:22" x14ac:dyDescent="0.25">
      <c r="A1965" t="s">
        <v>747</v>
      </c>
      <c r="B1965" t="s">
        <v>748</v>
      </c>
      <c r="C1965">
        <v>151</v>
      </c>
      <c r="D1965">
        <v>99</v>
      </c>
      <c r="E1965">
        <v>99</v>
      </c>
      <c r="F1965" t="s">
        <v>749</v>
      </c>
      <c r="G1965" t="s">
        <v>749</v>
      </c>
      <c r="H1965">
        <f t="shared" si="33"/>
        <v>9</v>
      </c>
      <c r="M1965" s="1">
        <v>5.5633899755775902E-3</v>
      </c>
      <c r="N1965">
        <v>1309.67224121094</v>
      </c>
      <c r="O1965">
        <v>655.84339999999895</v>
      </c>
      <c r="P1965">
        <v>1309.66662597656</v>
      </c>
      <c r="Q1965">
        <v>655.840576171875</v>
      </c>
      <c r="R1965">
        <v>2</v>
      </c>
      <c r="S1965">
        <v>1</v>
      </c>
      <c r="T1965">
        <v>10</v>
      </c>
      <c r="U1965">
        <v>44.61103</v>
      </c>
      <c r="V1965">
        <v>93579.48</v>
      </c>
    </row>
    <row r="1966" spans="1:22" x14ac:dyDescent="0.25">
      <c r="A1966" t="s">
        <v>980</v>
      </c>
      <c r="B1966" t="s">
        <v>981</v>
      </c>
      <c r="C1966">
        <v>414</v>
      </c>
      <c r="D1966">
        <v>97.7</v>
      </c>
      <c r="E1966">
        <v>97.69</v>
      </c>
      <c r="F1966" t="s">
        <v>982</v>
      </c>
      <c r="G1966" t="s">
        <v>982</v>
      </c>
      <c r="H1966">
        <f t="shared" si="33"/>
        <v>9</v>
      </c>
      <c r="M1966" s="1">
        <v>2.8466400690376802E-3</v>
      </c>
      <c r="N1966">
        <v>1429.74548339844</v>
      </c>
      <c r="O1966">
        <v>715.88</v>
      </c>
      <c r="P1966">
        <v>1429.74255371094</v>
      </c>
      <c r="Q1966">
        <v>715.87860107421795</v>
      </c>
      <c r="R1966">
        <v>2</v>
      </c>
      <c r="S1966">
        <v>2</v>
      </c>
      <c r="T1966">
        <v>10</v>
      </c>
      <c r="U1966">
        <v>20.09723</v>
      </c>
      <c r="V1966">
        <v>113163.8</v>
      </c>
    </row>
    <row r="1967" spans="1:22" x14ac:dyDescent="0.25">
      <c r="A1967" t="s">
        <v>983</v>
      </c>
      <c r="B1967" t="s">
        <v>984</v>
      </c>
      <c r="C1967">
        <v>326</v>
      </c>
      <c r="D1967">
        <v>97.8</v>
      </c>
      <c r="E1967">
        <v>97.82</v>
      </c>
      <c r="F1967" t="s">
        <v>985</v>
      </c>
      <c r="G1967" t="s">
        <v>985</v>
      </c>
      <c r="H1967">
        <f t="shared" si="33"/>
        <v>9</v>
      </c>
      <c r="M1967" s="1">
        <v>-2.4130300153046699E-3</v>
      </c>
      <c r="N1967">
        <v>1383.69702148438</v>
      </c>
      <c r="O1967">
        <v>692.85580000000004</v>
      </c>
      <c r="P1967">
        <v>1383.69946289063</v>
      </c>
      <c r="Q1967">
        <v>692.85699462890602</v>
      </c>
      <c r="R1967">
        <v>2</v>
      </c>
      <c r="S1967">
        <v>1</v>
      </c>
      <c r="T1967">
        <v>10</v>
      </c>
      <c r="U1967">
        <v>19.0723799999999</v>
      </c>
      <c r="V1967">
        <v>35862.699999999903</v>
      </c>
    </row>
    <row r="1968" spans="1:22" x14ac:dyDescent="0.25">
      <c r="A1968" t="s">
        <v>4278</v>
      </c>
      <c r="B1968" t="s">
        <v>4279</v>
      </c>
      <c r="C1968">
        <v>273</v>
      </c>
      <c r="D1968">
        <v>99</v>
      </c>
      <c r="E1968">
        <v>99</v>
      </c>
      <c r="F1968" t="s">
        <v>4280</v>
      </c>
      <c r="G1968" t="s">
        <v>4280</v>
      </c>
      <c r="H1968">
        <f t="shared" si="33"/>
        <v>13</v>
      </c>
      <c r="M1968" s="1">
        <v>-2.0200000144541199E-3</v>
      </c>
      <c r="N1968">
        <v>1014.60668945313</v>
      </c>
      <c r="O1968">
        <v>508.31060000000002</v>
      </c>
      <c r="P1968">
        <v>1014.60870361328</v>
      </c>
      <c r="Q1968">
        <v>508.31161499023301</v>
      </c>
      <c r="R1968">
        <v>2</v>
      </c>
      <c r="S1968">
        <v>2</v>
      </c>
      <c r="T1968">
        <v>15</v>
      </c>
      <c r="U1968">
        <v>23.572700000000001</v>
      </c>
      <c r="V1968">
        <v>944227.3</v>
      </c>
    </row>
    <row r="1969" spans="1:22" x14ac:dyDescent="0.25">
      <c r="A1969" t="s">
        <v>1769</v>
      </c>
      <c r="B1969" t="s">
        <v>1770</v>
      </c>
      <c r="C1969">
        <v>249</v>
      </c>
      <c r="D1969">
        <v>99</v>
      </c>
      <c r="E1969">
        <v>99</v>
      </c>
      <c r="F1969" t="s">
        <v>1771</v>
      </c>
      <c r="G1969" t="s">
        <v>1771</v>
      </c>
      <c r="H1969">
        <f t="shared" si="33"/>
        <v>16</v>
      </c>
      <c r="M1969" s="1">
        <v>4.3559800833463704E-3</v>
      </c>
      <c r="N1969">
        <v>1953.0615234375</v>
      </c>
      <c r="O1969">
        <v>652.02779999999905</v>
      </c>
      <c r="P1969">
        <v>1953.05712890625</v>
      </c>
      <c r="Q1969">
        <v>652.02630615234295</v>
      </c>
      <c r="R1969">
        <v>3</v>
      </c>
      <c r="S1969">
        <v>5</v>
      </c>
      <c r="T1969">
        <v>8</v>
      </c>
      <c r="U1969">
        <v>37.762929999999898</v>
      </c>
      <c r="V1969">
        <v>146537.60000000001</v>
      </c>
    </row>
    <row r="1970" spans="1:22" x14ac:dyDescent="0.25">
      <c r="A1970" t="s">
        <v>1769</v>
      </c>
      <c r="B1970" t="s">
        <v>1770</v>
      </c>
      <c r="C1970">
        <v>249</v>
      </c>
      <c r="D1970">
        <v>99</v>
      </c>
      <c r="E1970">
        <v>99</v>
      </c>
      <c r="F1970" t="s">
        <v>1772</v>
      </c>
      <c r="G1970" t="s">
        <v>1772</v>
      </c>
      <c r="H1970">
        <f t="shared" si="33"/>
        <v>17</v>
      </c>
      <c r="M1970" s="1">
        <v>1.0836300207302E-3</v>
      </c>
      <c r="N1970">
        <v>1850.91088867188</v>
      </c>
      <c r="O1970">
        <v>463.73500000000001</v>
      </c>
      <c r="P1970">
        <v>1850.90979003906</v>
      </c>
      <c r="Q1970">
        <v>463.73471069335801</v>
      </c>
      <c r="R1970">
        <v>4</v>
      </c>
      <c r="S1970">
        <v>1</v>
      </c>
      <c r="T1970">
        <v>9</v>
      </c>
      <c r="U1970">
        <v>28.740570000000002</v>
      </c>
      <c r="V1970">
        <v>98799.66</v>
      </c>
    </row>
    <row r="1971" spans="1:22" x14ac:dyDescent="0.25">
      <c r="A1971" t="s">
        <v>3286</v>
      </c>
      <c r="B1971" t="s">
        <v>3287</v>
      </c>
      <c r="C1971">
        <v>68</v>
      </c>
      <c r="D1971">
        <v>99</v>
      </c>
      <c r="E1971">
        <v>99</v>
      </c>
      <c r="F1971" t="s">
        <v>3288</v>
      </c>
      <c r="G1971" t="s">
        <v>3288</v>
      </c>
      <c r="H1971">
        <f t="shared" si="33"/>
        <v>16</v>
      </c>
      <c r="M1971" s="1">
        <v>-3.5644500167109002E-4</v>
      </c>
      <c r="N1971">
        <v>971.57604980468705</v>
      </c>
      <c r="O1971">
        <v>486.7953</v>
      </c>
      <c r="P1971">
        <v>971.57635498046795</v>
      </c>
      <c r="Q1971">
        <v>486.79547119140602</v>
      </c>
      <c r="R1971">
        <v>2</v>
      </c>
      <c r="S1971">
        <v>3</v>
      </c>
      <c r="T1971">
        <v>12</v>
      </c>
      <c r="U1971">
        <v>23.187670000000001</v>
      </c>
      <c r="V1971">
        <v>709272.8</v>
      </c>
    </row>
    <row r="1972" spans="1:22" x14ac:dyDescent="0.25">
      <c r="A1972" t="s">
        <v>3289</v>
      </c>
      <c r="B1972" t="s">
        <v>3290</v>
      </c>
      <c r="C1972">
        <v>391</v>
      </c>
      <c r="D1972">
        <v>98.4</v>
      </c>
      <c r="E1972">
        <v>98.41</v>
      </c>
      <c r="F1972" t="s">
        <v>3291</v>
      </c>
      <c r="G1972" t="s">
        <v>3291</v>
      </c>
      <c r="H1972">
        <f t="shared" si="33"/>
        <v>15</v>
      </c>
      <c r="M1972" s="1">
        <v>-9.05760971363633E-4</v>
      </c>
      <c r="N1972">
        <v>959.57550048828102</v>
      </c>
      <c r="O1972">
        <v>480.79500000000002</v>
      </c>
      <c r="P1972">
        <v>959.57635498046795</v>
      </c>
      <c r="Q1972">
        <v>480.79547119140602</v>
      </c>
      <c r="R1972">
        <v>2</v>
      </c>
      <c r="S1972">
        <v>1</v>
      </c>
      <c r="T1972">
        <v>13</v>
      </c>
      <c r="U1972">
        <v>19.63</v>
      </c>
      <c r="V1972">
        <v>319220</v>
      </c>
    </row>
    <row r="1973" spans="1:22" x14ac:dyDescent="0.25">
      <c r="A1973" t="s">
        <v>3289</v>
      </c>
      <c r="B1973" t="s">
        <v>3290</v>
      </c>
      <c r="C1973">
        <v>391</v>
      </c>
      <c r="D1973">
        <v>99</v>
      </c>
      <c r="E1973">
        <v>99</v>
      </c>
      <c r="F1973" t="s">
        <v>3292</v>
      </c>
      <c r="G1973" t="s">
        <v>3292</v>
      </c>
      <c r="H1973">
        <f t="shared" si="33"/>
        <v>16</v>
      </c>
      <c r="M1973">
        <v>9.5200000000000005E-4</v>
      </c>
      <c r="N1973">
        <v>968.60284423828102</v>
      </c>
      <c r="O1973">
        <v>485.30869999999902</v>
      </c>
      <c r="P1973">
        <v>968.60186767578102</v>
      </c>
      <c r="Q1973">
        <v>485.30819702148301</v>
      </c>
      <c r="R1973">
        <v>2</v>
      </c>
      <c r="S1973">
        <v>3</v>
      </c>
      <c r="T1973">
        <v>12</v>
      </c>
      <c r="U1973">
        <v>42.285629999999898</v>
      </c>
      <c r="V1973">
        <v>842172</v>
      </c>
    </row>
    <row r="1974" spans="1:22" x14ac:dyDescent="0.25">
      <c r="A1974" t="s">
        <v>3289</v>
      </c>
      <c r="B1974" t="s">
        <v>3290</v>
      </c>
      <c r="C1974">
        <v>242</v>
      </c>
      <c r="D1974">
        <v>99</v>
      </c>
      <c r="E1974">
        <v>99</v>
      </c>
      <c r="F1974" t="s">
        <v>3293</v>
      </c>
      <c r="G1974" t="s">
        <v>3293</v>
      </c>
      <c r="H1974">
        <f t="shared" si="33"/>
        <v>9</v>
      </c>
      <c r="M1974" s="1">
        <v>1.5994099667295801E-3</v>
      </c>
      <c r="N1974">
        <v>1747.99609375</v>
      </c>
      <c r="O1974">
        <v>875.00530000000003</v>
      </c>
      <c r="P1974">
        <v>1747.99450683594</v>
      </c>
      <c r="Q1974">
        <v>875.00451660156205</v>
      </c>
      <c r="R1974">
        <v>2</v>
      </c>
      <c r="S1974">
        <v>1</v>
      </c>
      <c r="T1974">
        <v>12</v>
      </c>
      <c r="U1974">
        <v>40.10577</v>
      </c>
      <c r="V1974">
        <v>115625.9</v>
      </c>
    </row>
    <row r="1975" spans="1:22" x14ac:dyDescent="0.25">
      <c r="A1975" t="s">
        <v>3289</v>
      </c>
      <c r="B1975" t="s">
        <v>3290</v>
      </c>
      <c r="C1975">
        <v>391</v>
      </c>
      <c r="D1975">
        <v>99</v>
      </c>
      <c r="E1975">
        <v>99</v>
      </c>
      <c r="F1975" t="s">
        <v>3292</v>
      </c>
      <c r="G1975" t="s">
        <v>3292</v>
      </c>
      <c r="H1975">
        <f t="shared" si="33"/>
        <v>16</v>
      </c>
      <c r="L1975" t="s">
        <v>116</v>
      </c>
      <c r="M1975" s="1">
        <v>6.7872800864279201E-3</v>
      </c>
      <c r="N1975">
        <v>1053.60729980469</v>
      </c>
      <c r="O1975">
        <v>527.81089999999904</v>
      </c>
      <c r="P1975">
        <v>1053.60046386719</v>
      </c>
      <c r="Q1975">
        <v>527.80749511718705</v>
      </c>
      <c r="R1975">
        <v>2</v>
      </c>
      <c r="S1975">
        <v>4</v>
      </c>
      <c r="T1975">
        <v>14</v>
      </c>
      <c r="U1975">
        <v>40.659750000000003</v>
      </c>
      <c r="V1975">
        <v>2378567</v>
      </c>
    </row>
    <row r="1976" spans="1:22" x14ac:dyDescent="0.25">
      <c r="A1976" t="s">
        <v>3956</v>
      </c>
      <c r="B1976" t="s">
        <v>3957</v>
      </c>
      <c r="C1976">
        <v>65</v>
      </c>
      <c r="D1976">
        <v>98.6</v>
      </c>
      <c r="E1976">
        <v>98.6</v>
      </c>
      <c r="F1976" t="s">
        <v>605</v>
      </c>
      <c r="G1976" t="s">
        <v>605</v>
      </c>
      <c r="H1976">
        <f t="shared" si="33"/>
        <v>15</v>
      </c>
      <c r="M1976" s="1">
        <v>5.4732098942622401E-4</v>
      </c>
      <c r="N1976">
        <v>1578.89868164063</v>
      </c>
      <c r="O1976">
        <v>790.45659999999896</v>
      </c>
      <c r="P1976">
        <v>1578.89807128906</v>
      </c>
      <c r="Q1976">
        <v>790.45635986328102</v>
      </c>
      <c r="R1976">
        <v>2</v>
      </c>
      <c r="S1976">
        <v>1</v>
      </c>
      <c r="T1976">
        <v>9</v>
      </c>
      <c r="U1976">
        <v>48.516370000000002</v>
      </c>
      <c r="V1976">
        <v>123241.60000000001</v>
      </c>
    </row>
    <row r="1977" spans="1:22" x14ac:dyDescent="0.25">
      <c r="A1977" t="s">
        <v>3956</v>
      </c>
      <c r="B1977" t="s">
        <v>3957</v>
      </c>
      <c r="C1977">
        <v>62</v>
      </c>
      <c r="D1977">
        <v>99</v>
      </c>
      <c r="E1977">
        <v>99</v>
      </c>
      <c r="F1977" t="s">
        <v>3958</v>
      </c>
      <c r="G1977" t="s">
        <v>3958</v>
      </c>
      <c r="H1977">
        <f t="shared" si="33"/>
        <v>18</v>
      </c>
      <c r="M1977">
        <v>1.8240000000000001E-3</v>
      </c>
      <c r="N1977">
        <v>2008.09716796875</v>
      </c>
      <c r="O1977">
        <v>670.37300000000005</v>
      </c>
      <c r="P1977">
        <v>2008.09533691406</v>
      </c>
      <c r="Q1977">
        <v>670.37237548828102</v>
      </c>
      <c r="R1977">
        <v>3</v>
      </c>
      <c r="S1977">
        <v>3</v>
      </c>
      <c r="T1977">
        <v>14</v>
      </c>
      <c r="U1977">
        <v>42.746850000000002</v>
      </c>
      <c r="V1977">
        <v>441677.2</v>
      </c>
    </row>
    <row r="1978" spans="1:22" x14ac:dyDescent="0.25">
      <c r="A1978" t="s">
        <v>3959</v>
      </c>
      <c r="B1978" t="s">
        <v>3960</v>
      </c>
      <c r="C1978">
        <v>392</v>
      </c>
      <c r="D1978">
        <v>99</v>
      </c>
      <c r="E1978">
        <v>99</v>
      </c>
      <c r="F1978" t="s">
        <v>3961</v>
      </c>
      <c r="G1978" t="s">
        <v>3961</v>
      </c>
      <c r="H1978">
        <f t="shared" si="33"/>
        <v>15</v>
      </c>
      <c r="M1978" s="1">
        <v>4.8548998311162004E-3</v>
      </c>
      <c r="N1978">
        <v>1847.90625</v>
      </c>
      <c r="O1978">
        <v>616.976</v>
      </c>
      <c r="P1978">
        <v>1847.9013671875</v>
      </c>
      <c r="Q1978">
        <v>616.974365234375</v>
      </c>
      <c r="R1978">
        <v>3</v>
      </c>
      <c r="S1978">
        <v>1</v>
      </c>
      <c r="T1978">
        <v>14</v>
      </c>
      <c r="U1978">
        <v>27.032830000000001</v>
      </c>
      <c r="V1978">
        <v>220662.8</v>
      </c>
    </row>
    <row r="1979" spans="1:22" x14ac:dyDescent="0.25">
      <c r="A1979" t="s">
        <v>3959</v>
      </c>
      <c r="B1979" t="s">
        <v>3960</v>
      </c>
      <c r="C1979">
        <v>392</v>
      </c>
      <c r="D1979">
        <v>97.9</v>
      </c>
      <c r="E1979">
        <v>97.91</v>
      </c>
      <c r="F1979" t="s">
        <v>3961</v>
      </c>
      <c r="G1979" t="s">
        <v>3961</v>
      </c>
      <c r="H1979">
        <f t="shared" si="33"/>
        <v>15</v>
      </c>
      <c r="L1979" t="s">
        <v>1408</v>
      </c>
      <c r="M1979" s="1">
        <v>4.7606300562620101E-2</v>
      </c>
      <c r="N1979">
        <v>2000.021484375</v>
      </c>
      <c r="O1979">
        <v>1001.018</v>
      </c>
      <c r="P1979">
        <v>1999.97387695313</v>
      </c>
      <c r="Q1979">
        <v>1000.99420166016</v>
      </c>
      <c r="R1979">
        <v>2</v>
      </c>
      <c r="S1979">
        <v>1</v>
      </c>
      <c r="T1979">
        <v>13</v>
      </c>
      <c r="U1979">
        <v>56.356369999999899</v>
      </c>
      <c r="V1979">
        <v>108306.6</v>
      </c>
    </row>
    <row r="1980" spans="1:22" x14ac:dyDescent="0.25">
      <c r="A1980" t="s">
        <v>3962</v>
      </c>
      <c r="B1980" t="s">
        <v>3963</v>
      </c>
      <c r="C1980">
        <v>336</v>
      </c>
      <c r="D1980">
        <v>99</v>
      </c>
      <c r="E1980">
        <v>99</v>
      </c>
      <c r="F1980" t="s">
        <v>3964</v>
      </c>
      <c r="G1980" t="s">
        <v>3964</v>
      </c>
      <c r="H1980">
        <f t="shared" si="33"/>
        <v>9</v>
      </c>
      <c r="M1980" s="1">
        <v>1.9307000562548499E-2</v>
      </c>
      <c r="N1980">
        <v>1724.96545410156</v>
      </c>
      <c r="O1980">
        <v>863.49</v>
      </c>
      <c r="P1980">
        <v>1724.94616699219</v>
      </c>
      <c r="Q1980">
        <v>863.48034667968705</v>
      </c>
      <c r="R1980">
        <v>2</v>
      </c>
      <c r="S1980">
        <v>1</v>
      </c>
      <c r="T1980">
        <v>9</v>
      </c>
      <c r="U1980">
        <v>56.741250000000001</v>
      </c>
      <c r="V1980">
        <v>74457.41</v>
      </c>
    </row>
    <row r="1981" spans="1:22" x14ac:dyDescent="0.25">
      <c r="A1981" t="s">
        <v>1329</v>
      </c>
      <c r="B1981" t="s">
        <v>1330</v>
      </c>
      <c r="C1981">
        <v>155</v>
      </c>
      <c r="D1981">
        <v>98.7</v>
      </c>
      <c r="E1981">
        <v>98.66</v>
      </c>
      <c r="F1981" t="s">
        <v>1331</v>
      </c>
      <c r="G1981" t="s">
        <v>1331</v>
      </c>
      <c r="H1981">
        <f t="shared" si="33"/>
        <v>10</v>
      </c>
      <c r="M1981">
        <v>8.0699999999999999E-4</v>
      </c>
      <c r="N1981">
        <v>1322.57470703125</v>
      </c>
      <c r="O1981">
        <v>662.29459999999904</v>
      </c>
      <c r="P1981">
        <v>1322.57385253906</v>
      </c>
      <c r="Q1981">
        <v>662.294189453125</v>
      </c>
      <c r="R1981">
        <v>2</v>
      </c>
      <c r="S1981">
        <v>1</v>
      </c>
      <c r="T1981">
        <v>14</v>
      </c>
      <c r="U1981">
        <v>25.014880000000002</v>
      </c>
      <c r="V1981">
        <v>453515.3</v>
      </c>
    </row>
    <row r="1982" spans="1:22" x14ac:dyDescent="0.25">
      <c r="A1982" t="s">
        <v>1329</v>
      </c>
      <c r="B1982" t="s">
        <v>1330</v>
      </c>
      <c r="C1982">
        <v>163</v>
      </c>
      <c r="D1982">
        <v>97</v>
      </c>
      <c r="E1982">
        <v>97.03</v>
      </c>
      <c r="F1982" t="s">
        <v>1332</v>
      </c>
      <c r="G1982" t="s">
        <v>1332</v>
      </c>
      <c r="H1982">
        <f t="shared" si="33"/>
        <v>16</v>
      </c>
      <c r="M1982" s="1">
        <v>8.6122397333383508E-3</v>
      </c>
      <c r="N1982">
        <v>1919.03649902344</v>
      </c>
      <c r="O1982">
        <v>480.76639999999901</v>
      </c>
      <c r="P1982">
        <v>1919.02783203125</v>
      </c>
      <c r="Q1982">
        <v>480.76422119140602</v>
      </c>
      <c r="R1982">
        <v>4</v>
      </c>
      <c r="S1982">
        <v>2</v>
      </c>
      <c r="T1982">
        <v>15</v>
      </c>
      <c r="U1982">
        <v>31.730419999999899</v>
      </c>
      <c r="V1982">
        <v>235534.2</v>
      </c>
    </row>
    <row r="1983" spans="1:22" x14ac:dyDescent="0.25">
      <c r="A1983" t="s">
        <v>1329</v>
      </c>
      <c r="B1983" t="s">
        <v>1330</v>
      </c>
      <c r="C1983">
        <v>240</v>
      </c>
      <c r="D1983">
        <v>98.8</v>
      </c>
      <c r="E1983">
        <v>98.76</v>
      </c>
      <c r="F1983" t="s">
        <v>402</v>
      </c>
      <c r="G1983" t="s">
        <v>402</v>
      </c>
      <c r="H1983">
        <f t="shared" si="33"/>
        <v>11</v>
      </c>
      <c r="M1983" s="1">
        <v>1.0053600184619401E-2</v>
      </c>
      <c r="N1983">
        <v>2075.13891601563</v>
      </c>
      <c r="O1983">
        <v>692.72029999999904</v>
      </c>
      <c r="P1983">
        <v>2075.12890625</v>
      </c>
      <c r="Q1983">
        <v>692.71691894531205</v>
      </c>
      <c r="R1983">
        <v>3</v>
      </c>
      <c r="S1983">
        <v>1</v>
      </c>
      <c r="T1983">
        <v>10</v>
      </c>
      <c r="U1983">
        <v>29.999870000000001</v>
      </c>
      <c r="V1983">
        <v>168256.7</v>
      </c>
    </row>
    <row r="1984" spans="1:22" x14ac:dyDescent="0.25">
      <c r="A1984" t="s">
        <v>1329</v>
      </c>
      <c r="B1984" t="s">
        <v>1330</v>
      </c>
      <c r="C1984">
        <v>163</v>
      </c>
      <c r="D1984">
        <v>99</v>
      </c>
      <c r="E1984">
        <v>99</v>
      </c>
      <c r="F1984" t="s">
        <v>1332</v>
      </c>
      <c r="G1984" t="s">
        <v>1332</v>
      </c>
      <c r="H1984">
        <f t="shared" si="33"/>
        <v>16</v>
      </c>
      <c r="L1984" t="s">
        <v>253</v>
      </c>
      <c r="M1984" s="1">
        <v>-2.59941007243468E-4</v>
      </c>
      <c r="N1984">
        <v>1541.70812988281</v>
      </c>
      <c r="O1984">
        <v>514.91</v>
      </c>
      <c r="P1984">
        <v>1541.70837402344</v>
      </c>
      <c r="Q1984">
        <v>514.91003417968705</v>
      </c>
      <c r="R1984">
        <v>3</v>
      </c>
      <c r="S1984">
        <v>1</v>
      </c>
      <c r="T1984">
        <v>11</v>
      </c>
      <c r="U1984">
        <v>18.763470000000002</v>
      </c>
      <c r="V1984">
        <v>31996.32</v>
      </c>
    </row>
    <row r="1985" spans="1:22" x14ac:dyDescent="0.25">
      <c r="A1985" t="s">
        <v>1329</v>
      </c>
      <c r="B1985" t="s">
        <v>1330</v>
      </c>
      <c r="C1985">
        <v>155</v>
      </c>
      <c r="D1985">
        <v>99</v>
      </c>
      <c r="E1985">
        <v>99</v>
      </c>
      <c r="F1985" t="s">
        <v>1331</v>
      </c>
      <c r="G1985" t="s">
        <v>1331</v>
      </c>
      <c r="H1985">
        <f t="shared" si="33"/>
        <v>10</v>
      </c>
      <c r="L1985" t="s">
        <v>563</v>
      </c>
      <c r="M1985" s="1">
        <v>3.30831995233893E-3</v>
      </c>
      <c r="N1985">
        <v>1125.60632324219</v>
      </c>
      <c r="O1985">
        <v>563.81039999999905</v>
      </c>
      <c r="P1985">
        <v>1125.60302734375</v>
      </c>
      <c r="Q1985">
        <v>563.80877685546795</v>
      </c>
      <c r="R1985">
        <v>2</v>
      </c>
      <c r="S1985">
        <v>1</v>
      </c>
      <c r="T1985">
        <v>12</v>
      </c>
      <c r="U1985">
        <v>34.182200000000002</v>
      </c>
      <c r="V1985">
        <v>2174264</v>
      </c>
    </row>
    <row r="1986" spans="1:22" x14ac:dyDescent="0.25">
      <c r="A1986" t="s">
        <v>4272</v>
      </c>
      <c r="B1986" t="s">
        <v>4273</v>
      </c>
      <c r="C1986">
        <v>282</v>
      </c>
      <c r="D1986">
        <v>99</v>
      </c>
      <c r="E1986">
        <v>99</v>
      </c>
      <c r="F1986" t="s">
        <v>4274</v>
      </c>
      <c r="G1986" t="s">
        <v>4274</v>
      </c>
      <c r="H1986">
        <f t="shared" si="33"/>
        <v>9</v>
      </c>
      <c r="M1986">
        <v>3.3194000000000001E-2</v>
      </c>
      <c r="N1986">
        <v>1612.76611328125</v>
      </c>
      <c r="O1986">
        <v>807.39030000000002</v>
      </c>
      <c r="P1986">
        <v>1612.73291015625</v>
      </c>
      <c r="Q1986">
        <v>807.37371826171795</v>
      </c>
      <c r="R1986">
        <v>2</v>
      </c>
      <c r="S1986">
        <v>1</v>
      </c>
      <c r="T1986">
        <v>14</v>
      </c>
      <c r="U1986">
        <v>41.267310000000002</v>
      </c>
      <c r="V1986">
        <v>537425.80000000005</v>
      </c>
    </row>
    <row r="1987" spans="1:22" x14ac:dyDescent="0.25">
      <c r="A1987" t="s">
        <v>3139</v>
      </c>
      <c r="B1987" t="s">
        <v>3140</v>
      </c>
      <c r="C1987">
        <v>123</v>
      </c>
      <c r="D1987">
        <v>99</v>
      </c>
      <c r="E1987">
        <v>99</v>
      </c>
      <c r="F1987" t="s">
        <v>3141</v>
      </c>
      <c r="G1987" t="s">
        <v>3141</v>
      </c>
      <c r="H1987">
        <f t="shared" ref="H1987:H2050" si="34">LEN(G1987)</f>
        <v>9</v>
      </c>
      <c r="M1987" s="1">
        <v>4.9100499600171904E-3</v>
      </c>
      <c r="N1987">
        <v>2067.95458984375</v>
      </c>
      <c r="O1987">
        <v>690.32550000000003</v>
      </c>
      <c r="P1987">
        <v>2067.94970703125</v>
      </c>
      <c r="Q1987">
        <v>690.32385253906205</v>
      </c>
      <c r="R1987">
        <v>3</v>
      </c>
      <c r="S1987">
        <v>1</v>
      </c>
      <c r="T1987">
        <v>11</v>
      </c>
      <c r="U1987">
        <v>29.484670000000001</v>
      </c>
      <c r="V1987">
        <v>324207.3</v>
      </c>
    </row>
    <row r="1988" spans="1:22" x14ac:dyDescent="0.25">
      <c r="A1988" t="s">
        <v>1717</v>
      </c>
      <c r="B1988" t="s">
        <v>1718</v>
      </c>
      <c r="C1988">
        <v>244</v>
      </c>
      <c r="D1988">
        <v>96.8</v>
      </c>
      <c r="E1988">
        <v>96.78</v>
      </c>
      <c r="F1988" t="s">
        <v>37</v>
      </c>
      <c r="G1988" t="s">
        <v>37</v>
      </c>
      <c r="H1988">
        <f t="shared" si="34"/>
        <v>9</v>
      </c>
      <c r="M1988" s="1">
        <v>3.3555799163877899E-3</v>
      </c>
      <c r="N1988">
        <v>2080.07348632813</v>
      </c>
      <c r="O1988">
        <v>694.36509999999896</v>
      </c>
      <c r="P1988">
        <v>2080.07006835938</v>
      </c>
      <c r="Q1988">
        <v>694.364013671875</v>
      </c>
      <c r="R1988">
        <v>3</v>
      </c>
      <c r="S1988">
        <v>1</v>
      </c>
      <c r="T1988">
        <v>12</v>
      </c>
      <c r="U1988">
        <v>31.88007</v>
      </c>
      <c r="V1988">
        <v>196937.5</v>
      </c>
    </row>
    <row r="1989" spans="1:22" x14ac:dyDescent="0.25">
      <c r="A1989" t="s">
        <v>744</v>
      </c>
      <c r="B1989" t="s">
        <v>745</v>
      </c>
      <c r="C1989">
        <v>304</v>
      </c>
      <c r="D1989">
        <v>97</v>
      </c>
      <c r="E1989">
        <v>97.03</v>
      </c>
      <c r="F1989" t="s">
        <v>746</v>
      </c>
      <c r="G1989" t="s">
        <v>746</v>
      </c>
      <c r="H1989">
        <f t="shared" si="34"/>
        <v>18</v>
      </c>
      <c r="M1989" s="1">
        <v>1.51669001206756E-2</v>
      </c>
      <c r="N1989">
        <v>2177.13818359375</v>
      </c>
      <c r="O1989">
        <v>726.72</v>
      </c>
      <c r="P1989">
        <v>2177.12280273438</v>
      </c>
      <c r="Q1989">
        <v>726.71490478515602</v>
      </c>
      <c r="R1989">
        <v>3</v>
      </c>
      <c r="S1989">
        <v>2</v>
      </c>
      <c r="T1989">
        <v>14</v>
      </c>
      <c r="U1989">
        <v>33.210619999999899</v>
      </c>
      <c r="V1989">
        <v>586534.5</v>
      </c>
    </row>
    <row r="1990" spans="1:22" x14ac:dyDescent="0.25">
      <c r="A1990" t="s">
        <v>2985</v>
      </c>
      <c r="B1990" t="s">
        <v>2986</v>
      </c>
      <c r="C1990">
        <v>95</v>
      </c>
      <c r="D1990">
        <v>97.6</v>
      </c>
      <c r="E1990">
        <v>97.56</v>
      </c>
      <c r="F1990" t="s">
        <v>2987</v>
      </c>
      <c r="G1990" t="s">
        <v>2987</v>
      </c>
      <c r="H1990">
        <f t="shared" si="34"/>
        <v>9</v>
      </c>
      <c r="M1990" s="1">
        <v>3.0970100779086299E-3</v>
      </c>
      <c r="N1990">
        <v>2264.15795898438</v>
      </c>
      <c r="O1990">
        <v>755.72659999999905</v>
      </c>
      <c r="P1990">
        <v>2264.15502929688</v>
      </c>
      <c r="Q1990">
        <v>755.7255859375</v>
      </c>
      <c r="R1990">
        <v>3</v>
      </c>
      <c r="S1990">
        <v>3</v>
      </c>
      <c r="T1990">
        <v>20</v>
      </c>
      <c r="U1990">
        <v>32.383519999999898</v>
      </c>
      <c r="V1990">
        <v>2139951</v>
      </c>
    </row>
    <row r="1991" spans="1:22" x14ac:dyDescent="0.25">
      <c r="A1991" t="s">
        <v>2985</v>
      </c>
      <c r="B1991" t="s">
        <v>2986</v>
      </c>
      <c r="C1991">
        <v>39</v>
      </c>
      <c r="D1991">
        <v>99</v>
      </c>
      <c r="E1991">
        <v>99</v>
      </c>
      <c r="F1991" t="s">
        <v>2988</v>
      </c>
      <c r="G1991" t="s">
        <v>2988</v>
      </c>
      <c r="H1991">
        <f t="shared" si="34"/>
        <v>19</v>
      </c>
      <c r="M1991">
        <v>9.9810000000000003E-3</v>
      </c>
      <c r="N1991">
        <v>1590.7890625</v>
      </c>
      <c r="O1991">
        <v>796.40179999999896</v>
      </c>
      <c r="P1991">
        <v>1590.77905273438</v>
      </c>
      <c r="Q1991">
        <v>796.39678955078102</v>
      </c>
      <c r="R1991">
        <v>2</v>
      </c>
      <c r="S1991">
        <v>1</v>
      </c>
      <c r="T1991">
        <v>10</v>
      </c>
      <c r="U1991">
        <v>31.131430000000002</v>
      </c>
      <c r="V1991">
        <v>145071.6</v>
      </c>
    </row>
    <row r="1992" spans="1:22" x14ac:dyDescent="0.25">
      <c r="A1992" t="s">
        <v>607</v>
      </c>
      <c r="B1992" t="s">
        <v>608</v>
      </c>
      <c r="C1992">
        <v>733</v>
      </c>
      <c r="D1992">
        <v>98.6</v>
      </c>
      <c r="E1992">
        <v>98.63</v>
      </c>
      <c r="F1992" t="s">
        <v>609</v>
      </c>
      <c r="G1992" t="s">
        <v>609</v>
      </c>
      <c r="H1992">
        <f t="shared" si="34"/>
        <v>9</v>
      </c>
      <c r="M1992" s="1">
        <v>3.5498500801622798E-3</v>
      </c>
      <c r="N1992">
        <v>1732.85681152344</v>
      </c>
      <c r="O1992">
        <v>578.62620000000004</v>
      </c>
      <c r="P1992">
        <v>1732.85327148438</v>
      </c>
      <c r="Q1992">
        <v>578.62506103515602</v>
      </c>
      <c r="R1992">
        <v>3</v>
      </c>
      <c r="S1992">
        <v>2</v>
      </c>
      <c r="T1992">
        <v>14</v>
      </c>
      <c r="U1992">
        <v>32.506250000000001</v>
      </c>
      <c r="V1992">
        <v>756967.4</v>
      </c>
    </row>
    <row r="1993" spans="1:22" x14ac:dyDescent="0.25">
      <c r="A1993" t="s">
        <v>3859</v>
      </c>
      <c r="B1993" t="s">
        <v>3860</v>
      </c>
      <c r="C1993">
        <v>233</v>
      </c>
      <c r="D1993">
        <v>99</v>
      </c>
      <c r="E1993">
        <v>99</v>
      </c>
      <c r="F1993" t="s">
        <v>3861</v>
      </c>
      <c r="G1993" t="s">
        <v>3861</v>
      </c>
      <c r="H1993">
        <f t="shared" si="34"/>
        <v>11</v>
      </c>
      <c r="M1993" s="1">
        <v>4.7794398851692703E-3</v>
      </c>
      <c r="N1993">
        <v>2245.13134765625</v>
      </c>
      <c r="O1993">
        <v>1123.5730000000001</v>
      </c>
      <c r="P1993">
        <v>2245.12670898438</v>
      </c>
      <c r="Q1993">
        <v>1123.57055664063</v>
      </c>
      <c r="R1993">
        <v>2</v>
      </c>
      <c r="S1993">
        <v>2</v>
      </c>
      <c r="T1993">
        <v>21</v>
      </c>
      <c r="U1993">
        <v>30.265699999999899</v>
      </c>
      <c r="V1993">
        <v>319871.7</v>
      </c>
    </row>
    <row r="1994" spans="1:22" x14ac:dyDescent="0.25">
      <c r="A1994" t="s">
        <v>2655</v>
      </c>
      <c r="B1994" t="s">
        <v>2656</v>
      </c>
      <c r="C1994">
        <v>491</v>
      </c>
      <c r="D1994">
        <v>96.9</v>
      </c>
      <c r="E1994">
        <v>96.93</v>
      </c>
      <c r="F1994" t="s">
        <v>2657</v>
      </c>
      <c r="G1994" t="s">
        <v>2657</v>
      </c>
      <c r="H1994">
        <f t="shared" si="34"/>
        <v>9</v>
      </c>
      <c r="M1994" s="1">
        <v>4.2975498363375603E-3</v>
      </c>
      <c r="N1994">
        <v>988.57489013671795</v>
      </c>
      <c r="O1994">
        <v>495.29469999999901</v>
      </c>
      <c r="P1994">
        <v>988.570556640625</v>
      </c>
      <c r="Q1994">
        <v>495.29257202148301</v>
      </c>
      <c r="R1994">
        <v>2</v>
      </c>
      <c r="S1994">
        <v>5</v>
      </c>
      <c r="T1994">
        <v>9</v>
      </c>
      <c r="U1994">
        <v>42.140500000000003</v>
      </c>
      <c r="V1994">
        <v>116247.8</v>
      </c>
    </row>
    <row r="1995" spans="1:22" x14ac:dyDescent="0.25">
      <c r="A1995" t="s">
        <v>1355</v>
      </c>
      <c r="B1995" t="s">
        <v>1356</v>
      </c>
      <c r="C1995">
        <v>175</v>
      </c>
      <c r="D1995">
        <v>98.7</v>
      </c>
      <c r="E1995">
        <v>98.66</v>
      </c>
      <c r="F1995" t="s">
        <v>1357</v>
      </c>
      <c r="G1995" t="s">
        <v>1357</v>
      </c>
      <c r="H1995">
        <f t="shared" si="34"/>
        <v>9</v>
      </c>
      <c r="M1995" s="1">
        <v>6.8604499101638803E-3</v>
      </c>
      <c r="N1995">
        <v>1254.66772460938</v>
      </c>
      <c r="O1995">
        <v>628.34109999999896</v>
      </c>
      <c r="P1995">
        <v>1254.66088867188</v>
      </c>
      <c r="Q1995">
        <v>628.33770751953102</v>
      </c>
      <c r="R1995">
        <v>2</v>
      </c>
      <c r="S1995">
        <v>1</v>
      </c>
      <c r="T1995">
        <v>12</v>
      </c>
      <c r="U1995">
        <v>37.574179999999899</v>
      </c>
      <c r="V1995">
        <v>217777.6</v>
      </c>
    </row>
    <row r="1996" spans="1:22" x14ac:dyDescent="0.25">
      <c r="A1996" t="s">
        <v>4136</v>
      </c>
      <c r="B1996" t="s">
        <v>4137</v>
      </c>
      <c r="C1996">
        <v>353</v>
      </c>
      <c r="D1996">
        <v>99</v>
      </c>
      <c r="E1996">
        <v>99</v>
      </c>
      <c r="F1996" t="s">
        <v>4138</v>
      </c>
      <c r="G1996" t="s">
        <v>4138</v>
      </c>
      <c r="H1996">
        <f t="shared" si="34"/>
        <v>16</v>
      </c>
      <c r="M1996" s="1">
        <v>4.6950499527156301E-3</v>
      </c>
      <c r="N1996">
        <v>1796.97192382813</v>
      </c>
      <c r="O1996">
        <v>599.99789999999905</v>
      </c>
      <c r="P1996">
        <v>1796.96728515625</v>
      </c>
      <c r="Q1996">
        <v>599.996337890625</v>
      </c>
      <c r="R1996">
        <v>3</v>
      </c>
      <c r="S1996">
        <v>4</v>
      </c>
      <c r="T1996">
        <v>14</v>
      </c>
      <c r="U1996">
        <v>28.956019999999899</v>
      </c>
      <c r="V1996">
        <v>427416.3</v>
      </c>
    </row>
    <row r="1997" spans="1:22" x14ac:dyDescent="0.25">
      <c r="A1997" t="s">
        <v>770</v>
      </c>
      <c r="B1997" t="s">
        <v>771</v>
      </c>
      <c r="C1997">
        <v>615</v>
      </c>
      <c r="D1997">
        <v>97.7</v>
      </c>
      <c r="E1997">
        <v>97.67</v>
      </c>
      <c r="F1997" t="s">
        <v>772</v>
      </c>
      <c r="G1997" t="s">
        <v>772</v>
      </c>
      <c r="H1997">
        <f t="shared" si="34"/>
        <v>9</v>
      </c>
      <c r="M1997" s="1">
        <v>3.3068300690501798E-3</v>
      </c>
      <c r="N1997">
        <v>970.620849609375</v>
      </c>
      <c r="O1997">
        <v>486.3177</v>
      </c>
      <c r="P1997">
        <v>970.61749267578102</v>
      </c>
      <c r="Q1997">
        <v>486.31604003906301</v>
      </c>
      <c r="R1997">
        <v>2</v>
      </c>
      <c r="S1997">
        <v>1</v>
      </c>
      <c r="T1997">
        <v>12</v>
      </c>
      <c r="U1997">
        <v>26.6807699999999</v>
      </c>
      <c r="V1997">
        <v>497756.2</v>
      </c>
    </row>
    <row r="1998" spans="1:22" x14ac:dyDescent="0.25">
      <c r="A1998" t="s">
        <v>646</v>
      </c>
      <c r="B1998" t="s">
        <v>647</v>
      </c>
      <c r="C1998">
        <v>677</v>
      </c>
      <c r="D1998">
        <v>99</v>
      </c>
      <c r="E1998">
        <v>99</v>
      </c>
      <c r="F1998" t="s">
        <v>648</v>
      </c>
      <c r="G1998" t="s">
        <v>648</v>
      </c>
      <c r="H1998">
        <f t="shared" si="34"/>
        <v>9</v>
      </c>
      <c r="M1998" s="1">
        <v>7.58520979434251E-3</v>
      </c>
      <c r="N1998">
        <v>1371.78381347656</v>
      </c>
      <c r="O1998">
        <v>686.89919999999904</v>
      </c>
      <c r="P1998">
        <v>1371.77624511719</v>
      </c>
      <c r="Q1998">
        <v>686.89538574218705</v>
      </c>
      <c r="R1998">
        <v>2</v>
      </c>
      <c r="S1998">
        <v>1</v>
      </c>
      <c r="T1998">
        <v>8</v>
      </c>
      <c r="U1998">
        <v>55.71125</v>
      </c>
      <c r="V1998">
        <v>82476.639999999898</v>
      </c>
    </row>
    <row r="1999" spans="1:22" x14ac:dyDescent="0.25">
      <c r="A1999" t="s">
        <v>113</v>
      </c>
      <c r="B1999" t="s">
        <v>114</v>
      </c>
      <c r="C1999">
        <v>604</v>
      </c>
      <c r="D1999">
        <v>99</v>
      </c>
      <c r="E1999">
        <v>99</v>
      </c>
      <c r="F1999" t="s">
        <v>172</v>
      </c>
      <c r="G1999" t="s">
        <v>172</v>
      </c>
      <c r="H1999">
        <f t="shared" si="34"/>
        <v>9</v>
      </c>
      <c r="M1999" s="1">
        <v>2.1460300777107399E-3</v>
      </c>
      <c r="N1999">
        <v>1311.57531738281</v>
      </c>
      <c r="O1999">
        <v>656.79489999999896</v>
      </c>
      <c r="P1999">
        <v>1311.57312011719</v>
      </c>
      <c r="Q1999">
        <v>656.79382324218705</v>
      </c>
      <c r="R1999">
        <v>2</v>
      </c>
      <c r="S1999">
        <v>1</v>
      </c>
      <c r="T1999">
        <v>8</v>
      </c>
      <c r="U1999">
        <v>26.0965799999999</v>
      </c>
      <c r="V1999">
        <v>152602.9</v>
      </c>
    </row>
    <row r="2000" spans="1:22" x14ac:dyDescent="0.25">
      <c r="A2000" t="s">
        <v>113</v>
      </c>
      <c r="B2000" t="s">
        <v>114</v>
      </c>
      <c r="C2000">
        <v>922</v>
      </c>
      <c r="D2000">
        <v>99</v>
      </c>
      <c r="E2000">
        <v>99</v>
      </c>
      <c r="F2000" t="s">
        <v>115</v>
      </c>
      <c r="G2000" t="s">
        <v>115</v>
      </c>
      <c r="H2000">
        <f t="shared" si="34"/>
        <v>9</v>
      </c>
      <c r="M2000">
        <v>3.6419999999999998E-3</v>
      </c>
      <c r="N2000">
        <v>1635.8544921875</v>
      </c>
      <c r="O2000">
        <v>818.93449999999905</v>
      </c>
      <c r="P2000">
        <v>1635.85083007813</v>
      </c>
      <c r="Q2000">
        <v>818.93267822265602</v>
      </c>
      <c r="R2000">
        <v>2</v>
      </c>
      <c r="S2000">
        <v>2</v>
      </c>
      <c r="T2000">
        <v>13</v>
      </c>
      <c r="U2000">
        <v>48.25788</v>
      </c>
      <c r="V2000">
        <v>202940.5</v>
      </c>
    </row>
    <row r="2001" spans="1:22" x14ac:dyDescent="0.25">
      <c r="A2001" t="s">
        <v>113</v>
      </c>
      <c r="B2001" t="s">
        <v>114</v>
      </c>
      <c r="C2001">
        <v>922</v>
      </c>
      <c r="D2001">
        <v>98.8</v>
      </c>
      <c r="E2001">
        <v>98.81</v>
      </c>
      <c r="F2001" t="s">
        <v>115</v>
      </c>
      <c r="G2001" t="s">
        <v>115</v>
      </c>
      <c r="H2001">
        <f t="shared" si="34"/>
        <v>9</v>
      </c>
      <c r="L2001" t="s">
        <v>116</v>
      </c>
      <c r="M2001" s="1">
        <v>1.8493699608370701E-3</v>
      </c>
      <c r="N2001">
        <v>1786.75207519531</v>
      </c>
      <c r="O2001">
        <v>894.38329999999905</v>
      </c>
      <c r="P2001">
        <v>1786.75024414063</v>
      </c>
      <c r="Q2001">
        <v>894.38238525390602</v>
      </c>
      <c r="R2001">
        <v>2</v>
      </c>
      <c r="S2001">
        <v>1</v>
      </c>
      <c r="T2001">
        <v>11</v>
      </c>
      <c r="U2001">
        <v>39.113329999999898</v>
      </c>
      <c r="V2001">
        <v>151463.799999999</v>
      </c>
    </row>
    <row r="2002" spans="1:22" x14ac:dyDescent="0.25">
      <c r="A2002" t="s">
        <v>1078</v>
      </c>
      <c r="B2002" t="s">
        <v>1079</v>
      </c>
      <c r="C2002">
        <v>86</v>
      </c>
      <c r="D2002">
        <v>99</v>
      </c>
      <c r="E2002">
        <v>99</v>
      </c>
      <c r="F2002" t="s">
        <v>1080</v>
      </c>
      <c r="G2002" t="s">
        <v>1080</v>
      </c>
      <c r="H2002">
        <f t="shared" si="34"/>
        <v>9</v>
      </c>
      <c r="M2002" s="1">
        <v>5.9142499230802103E-3</v>
      </c>
      <c r="N2002">
        <v>1096.681640625</v>
      </c>
      <c r="O2002">
        <v>549.34810000000004</v>
      </c>
      <c r="P2002">
        <v>1096.67565917969</v>
      </c>
      <c r="Q2002">
        <v>549.34515380859295</v>
      </c>
      <c r="R2002">
        <v>2</v>
      </c>
      <c r="S2002">
        <v>1</v>
      </c>
      <c r="T2002">
        <v>12</v>
      </c>
      <c r="U2002">
        <v>39.345030000000001</v>
      </c>
      <c r="V2002">
        <v>1520939</v>
      </c>
    </row>
    <row r="2003" spans="1:22" x14ac:dyDescent="0.25">
      <c r="A2003" t="s">
        <v>4516</v>
      </c>
      <c r="B2003" t="s">
        <v>4517</v>
      </c>
      <c r="C2003">
        <v>220</v>
      </c>
      <c r="D2003">
        <v>99</v>
      </c>
      <c r="E2003">
        <v>99</v>
      </c>
      <c r="F2003" t="s">
        <v>4518</v>
      </c>
      <c r="G2003" t="s">
        <v>4518</v>
      </c>
      <c r="H2003">
        <f t="shared" si="34"/>
        <v>9</v>
      </c>
      <c r="M2003" s="1">
        <v>4.74401982501149E-3</v>
      </c>
      <c r="N2003">
        <v>2015.07824707031</v>
      </c>
      <c r="O2003">
        <v>672.7</v>
      </c>
      <c r="P2003">
        <v>2015.07348632813</v>
      </c>
      <c r="Q2003">
        <v>672.69842529296795</v>
      </c>
      <c r="R2003">
        <v>3</v>
      </c>
      <c r="S2003">
        <v>3</v>
      </c>
      <c r="T2003">
        <v>10</v>
      </c>
      <c r="U2003">
        <v>18.268370000000001</v>
      </c>
      <c r="V2003">
        <v>41733.160000000003</v>
      </c>
    </row>
    <row r="2004" spans="1:22" x14ac:dyDescent="0.25">
      <c r="A2004" t="s">
        <v>3929</v>
      </c>
      <c r="B2004" t="s">
        <v>3930</v>
      </c>
      <c r="C2004">
        <v>148</v>
      </c>
      <c r="D2004">
        <v>99</v>
      </c>
      <c r="E2004">
        <v>99</v>
      </c>
      <c r="F2004" t="s">
        <v>454</v>
      </c>
      <c r="G2004" t="s">
        <v>454</v>
      </c>
      <c r="H2004">
        <f t="shared" si="34"/>
        <v>9</v>
      </c>
      <c r="M2004">
        <v>2.5040000000000001E-3</v>
      </c>
      <c r="N2004">
        <v>953.6298828125</v>
      </c>
      <c r="O2004">
        <v>477.82220000000001</v>
      </c>
      <c r="P2004">
        <v>953.62738037109295</v>
      </c>
      <c r="Q2004">
        <v>477.82095336914102</v>
      </c>
      <c r="R2004">
        <v>2</v>
      </c>
      <c r="S2004">
        <v>1</v>
      </c>
      <c r="T2004">
        <v>11</v>
      </c>
      <c r="U2004">
        <v>25.54242</v>
      </c>
      <c r="V2004">
        <v>367735.4</v>
      </c>
    </row>
    <row r="2005" spans="1:22" x14ac:dyDescent="0.25">
      <c r="A2005" t="s">
        <v>3689</v>
      </c>
      <c r="B2005" t="s">
        <v>3690</v>
      </c>
      <c r="C2005">
        <v>88</v>
      </c>
      <c r="D2005">
        <v>99</v>
      </c>
      <c r="E2005">
        <v>99</v>
      </c>
      <c r="F2005" t="s">
        <v>3691</v>
      </c>
      <c r="G2005" t="s">
        <v>3691</v>
      </c>
      <c r="H2005">
        <f t="shared" si="34"/>
        <v>9</v>
      </c>
      <c r="M2005" s="1">
        <v>1.01685002446175E-2</v>
      </c>
      <c r="N2005">
        <v>1906.94482421875</v>
      </c>
      <c r="O2005">
        <v>954.47969999999896</v>
      </c>
      <c r="P2005">
        <v>1906.9345703125</v>
      </c>
      <c r="Q2005">
        <v>954.474609375</v>
      </c>
      <c r="R2005">
        <v>2</v>
      </c>
      <c r="S2005">
        <v>1</v>
      </c>
      <c r="T2005">
        <v>12</v>
      </c>
      <c r="U2005">
        <v>51.5904799999999</v>
      </c>
      <c r="V2005">
        <v>155404.4</v>
      </c>
    </row>
    <row r="2006" spans="1:22" x14ac:dyDescent="0.25">
      <c r="A2006" t="s">
        <v>2287</v>
      </c>
      <c r="B2006" t="s">
        <v>2288</v>
      </c>
      <c r="C2006">
        <v>412</v>
      </c>
      <c r="D2006">
        <v>99</v>
      </c>
      <c r="E2006">
        <v>99</v>
      </c>
      <c r="F2006" t="s">
        <v>2289</v>
      </c>
      <c r="G2006" t="s">
        <v>2289</v>
      </c>
      <c r="H2006">
        <f t="shared" si="34"/>
        <v>17</v>
      </c>
      <c r="L2006" t="s">
        <v>2290</v>
      </c>
      <c r="M2006" s="1">
        <v>6.6731600090861303E-3</v>
      </c>
      <c r="N2006">
        <v>1377.669921875</v>
      </c>
      <c r="O2006">
        <v>689.84220000000005</v>
      </c>
      <c r="P2006">
        <v>1377.66320800781</v>
      </c>
      <c r="Q2006">
        <v>689.8388671875</v>
      </c>
      <c r="R2006">
        <v>2</v>
      </c>
      <c r="S2006">
        <v>1</v>
      </c>
      <c r="T2006">
        <v>13</v>
      </c>
      <c r="U2006">
        <v>52.5765999999999</v>
      </c>
      <c r="V2006">
        <v>700523.1</v>
      </c>
    </row>
    <row r="2007" spans="1:22" x14ac:dyDescent="0.25">
      <c r="A2007" t="s">
        <v>4549</v>
      </c>
      <c r="B2007" t="s">
        <v>4550</v>
      </c>
      <c r="C2007">
        <v>410</v>
      </c>
      <c r="D2007">
        <v>99</v>
      </c>
      <c r="E2007">
        <v>99</v>
      </c>
      <c r="F2007" t="s">
        <v>4551</v>
      </c>
      <c r="G2007" t="s">
        <v>4551</v>
      </c>
      <c r="H2007">
        <f t="shared" si="34"/>
        <v>9</v>
      </c>
      <c r="M2007" s="1">
        <v>5.3171501494944104E-3</v>
      </c>
      <c r="N2007">
        <v>1109.5810546875</v>
      </c>
      <c r="O2007">
        <v>555.79780000000005</v>
      </c>
      <c r="P2007">
        <v>1109.57568359375</v>
      </c>
      <c r="Q2007">
        <v>555.79510498046795</v>
      </c>
      <c r="R2007">
        <v>2</v>
      </c>
      <c r="S2007">
        <v>5</v>
      </c>
      <c r="T2007">
        <v>10</v>
      </c>
      <c r="U2007">
        <v>37.067700000000002</v>
      </c>
      <c r="V2007">
        <v>11708960</v>
      </c>
    </row>
    <row r="2008" spans="1:22" x14ac:dyDescent="0.25">
      <c r="A2008" t="s">
        <v>3347</v>
      </c>
      <c r="B2008" t="s">
        <v>3348</v>
      </c>
      <c r="C2008">
        <v>175</v>
      </c>
      <c r="D2008">
        <v>99</v>
      </c>
      <c r="E2008">
        <v>99</v>
      </c>
      <c r="F2008" t="s">
        <v>3349</v>
      </c>
      <c r="G2008" t="s">
        <v>3349</v>
      </c>
      <c r="H2008">
        <f t="shared" si="34"/>
        <v>9</v>
      </c>
      <c r="M2008" s="1">
        <v>8.2041202113032306E-3</v>
      </c>
      <c r="N2008">
        <v>1359.748046875</v>
      </c>
      <c r="O2008">
        <v>680.88130000000001</v>
      </c>
      <c r="P2008">
        <v>1359.73986816406</v>
      </c>
      <c r="Q2008">
        <v>680.877197265625</v>
      </c>
      <c r="R2008">
        <v>2</v>
      </c>
      <c r="S2008">
        <v>1</v>
      </c>
      <c r="T2008">
        <v>9</v>
      </c>
      <c r="U2008">
        <v>51.921970000000002</v>
      </c>
      <c r="V2008">
        <v>61956.86</v>
      </c>
    </row>
    <row r="2009" spans="1:22" x14ac:dyDescent="0.25">
      <c r="A2009" t="s">
        <v>2411</v>
      </c>
      <c r="B2009" t="s">
        <v>2412</v>
      </c>
      <c r="C2009">
        <v>272</v>
      </c>
      <c r="D2009">
        <v>99</v>
      </c>
      <c r="E2009">
        <v>99</v>
      </c>
      <c r="F2009" t="s">
        <v>2413</v>
      </c>
      <c r="G2009" t="s">
        <v>2413</v>
      </c>
      <c r="H2009">
        <f t="shared" si="34"/>
        <v>9</v>
      </c>
      <c r="M2009">
        <v>-3.2039999999999998E-3</v>
      </c>
      <c r="N2009">
        <v>1614.95373535156</v>
      </c>
      <c r="O2009">
        <v>539.3252</v>
      </c>
      <c r="P2009">
        <v>1614.95690917969</v>
      </c>
      <c r="Q2009">
        <v>539.32623291015602</v>
      </c>
      <c r="R2009">
        <v>3</v>
      </c>
      <c r="S2009">
        <v>2</v>
      </c>
      <c r="T2009">
        <v>11</v>
      </c>
      <c r="U2009">
        <v>18.1877999999999</v>
      </c>
      <c r="V2009">
        <v>133331.799999999</v>
      </c>
    </row>
    <row r="2010" spans="1:22" x14ac:dyDescent="0.25">
      <c r="A2010" t="s">
        <v>3359</v>
      </c>
      <c r="B2010" t="s">
        <v>3360</v>
      </c>
      <c r="C2010">
        <v>811</v>
      </c>
      <c r="D2010">
        <v>98.4</v>
      </c>
      <c r="E2010">
        <v>98.35</v>
      </c>
      <c r="F2010" t="s">
        <v>512</v>
      </c>
      <c r="G2010" t="s">
        <v>512</v>
      </c>
      <c r="H2010">
        <f t="shared" si="34"/>
        <v>9</v>
      </c>
      <c r="M2010" s="1">
        <v>-4.4495998881757303E-3</v>
      </c>
      <c r="N2010">
        <v>1693.02062988281</v>
      </c>
      <c r="O2010">
        <v>565.34749999999894</v>
      </c>
      <c r="P2010">
        <v>1693.02502441406</v>
      </c>
      <c r="Q2010">
        <v>565.34893798828102</v>
      </c>
      <c r="R2010">
        <v>3</v>
      </c>
      <c r="S2010">
        <v>2</v>
      </c>
      <c r="T2010">
        <v>12</v>
      </c>
      <c r="U2010">
        <v>18.14808</v>
      </c>
      <c r="V2010">
        <v>421726.4</v>
      </c>
    </row>
    <row r="2011" spans="1:22" x14ac:dyDescent="0.25">
      <c r="A2011" t="s">
        <v>289</v>
      </c>
      <c r="B2011" t="s">
        <v>290</v>
      </c>
      <c r="C2011">
        <v>240</v>
      </c>
      <c r="D2011">
        <v>97.5</v>
      </c>
      <c r="E2011">
        <v>97.46</v>
      </c>
      <c r="F2011" t="s">
        <v>2083</v>
      </c>
      <c r="G2011" t="s">
        <v>2083</v>
      </c>
      <c r="H2011">
        <f t="shared" si="34"/>
        <v>9</v>
      </c>
      <c r="M2011" s="1">
        <v>-3.14428005367516E-3</v>
      </c>
      <c r="N2011">
        <v>1714.03210449219</v>
      </c>
      <c r="O2011">
        <v>572.35130000000004</v>
      </c>
      <c r="P2011">
        <v>1714.03527832031</v>
      </c>
      <c r="Q2011">
        <v>572.35235595703102</v>
      </c>
      <c r="R2011">
        <v>3</v>
      </c>
      <c r="S2011">
        <v>2</v>
      </c>
      <c r="T2011">
        <v>11</v>
      </c>
      <c r="U2011">
        <v>18.465330000000002</v>
      </c>
      <c r="V2011">
        <v>369675</v>
      </c>
    </row>
    <row r="2012" spans="1:22" x14ac:dyDescent="0.25">
      <c r="A2012" t="s">
        <v>3695</v>
      </c>
      <c r="B2012" t="s">
        <v>3696</v>
      </c>
      <c r="C2012">
        <v>934</v>
      </c>
      <c r="D2012">
        <v>97.7</v>
      </c>
      <c r="E2012">
        <v>97.67</v>
      </c>
      <c r="F2012" t="s">
        <v>3697</v>
      </c>
      <c r="G2012" t="s">
        <v>3697</v>
      </c>
      <c r="H2012">
        <f t="shared" si="34"/>
        <v>9</v>
      </c>
      <c r="M2012" s="1">
        <v>9.6087902784347395E-3</v>
      </c>
      <c r="N2012">
        <v>1482.84301757813</v>
      </c>
      <c r="O2012">
        <v>742.42880000000002</v>
      </c>
      <c r="P2012">
        <v>1482.83337402344</v>
      </c>
      <c r="Q2012">
        <v>742.42395019531205</v>
      </c>
      <c r="R2012">
        <v>2</v>
      </c>
      <c r="S2012">
        <v>2</v>
      </c>
      <c r="T2012">
        <v>10</v>
      </c>
      <c r="U2012">
        <v>46.968719999999898</v>
      </c>
      <c r="V2012">
        <v>117777.9</v>
      </c>
    </row>
    <row r="2013" spans="1:22" x14ac:dyDescent="0.25">
      <c r="A2013" t="s">
        <v>1439</v>
      </c>
      <c r="B2013" t="s">
        <v>1440</v>
      </c>
      <c r="C2013">
        <v>63</v>
      </c>
      <c r="D2013">
        <v>99</v>
      </c>
      <c r="E2013">
        <v>99</v>
      </c>
      <c r="F2013" t="s">
        <v>1441</v>
      </c>
      <c r="G2013" t="s">
        <v>1441</v>
      </c>
      <c r="H2013">
        <f t="shared" si="34"/>
        <v>16</v>
      </c>
      <c r="M2013" s="1">
        <v>-2.1954400464892401E-2</v>
      </c>
      <c r="N2013">
        <v>1155.54150390625</v>
      </c>
      <c r="O2013">
        <v>578.77800000000002</v>
      </c>
      <c r="P2013">
        <v>1155.5634765625</v>
      </c>
      <c r="Q2013">
        <v>578.78900146484295</v>
      </c>
      <c r="R2013">
        <v>2</v>
      </c>
      <c r="S2013">
        <v>3</v>
      </c>
      <c r="T2013">
        <v>12</v>
      </c>
      <c r="U2013">
        <v>44.419170000000001</v>
      </c>
      <c r="V2013">
        <v>13898150</v>
      </c>
    </row>
    <row r="2014" spans="1:22" x14ac:dyDescent="0.25">
      <c r="A2014" t="s">
        <v>1439</v>
      </c>
      <c r="B2014" t="s">
        <v>1440</v>
      </c>
      <c r="C2014">
        <v>64</v>
      </c>
      <c r="D2014">
        <v>99</v>
      </c>
      <c r="E2014">
        <v>99</v>
      </c>
      <c r="F2014" t="s">
        <v>1442</v>
      </c>
      <c r="G2014" t="s">
        <v>1442</v>
      </c>
      <c r="H2014">
        <f t="shared" si="34"/>
        <v>15</v>
      </c>
      <c r="L2014" t="s">
        <v>1443</v>
      </c>
      <c r="M2014" s="1">
        <v>4.0032998658716601E-3</v>
      </c>
      <c r="N2014">
        <v>1046.59130859375</v>
      </c>
      <c r="O2014">
        <v>524.30290000000002</v>
      </c>
      <c r="P2014">
        <v>1046.58728027344</v>
      </c>
      <c r="Q2014">
        <v>524.30090332031205</v>
      </c>
      <c r="R2014">
        <v>2</v>
      </c>
      <c r="S2014">
        <v>6</v>
      </c>
      <c r="T2014">
        <v>13</v>
      </c>
      <c r="U2014">
        <v>40.837069999999898</v>
      </c>
      <c r="V2014">
        <v>42830600</v>
      </c>
    </row>
    <row r="2015" spans="1:22" x14ac:dyDescent="0.25">
      <c r="A2015" t="s">
        <v>4652</v>
      </c>
      <c r="B2015" t="s">
        <v>4653</v>
      </c>
      <c r="C2015">
        <v>131</v>
      </c>
      <c r="D2015">
        <v>99</v>
      </c>
      <c r="E2015">
        <v>99</v>
      </c>
      <c r="F2015" t="s">
        <v>4654</v>
      </c>
      <c r="G2015" t="s">
        <v>4654</v>
      </c>
      <c r="H2015">
        <f t="shared" si="34"/>
        <v>9</v>
      </c>
      <c r="M2015" s="1">
        <v>3.9912299253046504E-3</v>
      </c>
      <c r="N2015">
        <v>1448.75512695313</v>
      </c>
      <c r="O2015">
        <v>725.38480000000004</v>
      </c>
      <c r="P2015">
        <v>1448.75109863281</v>
      </c>
      <c r="Q2015">
        <v>725.3828125</v>
      </c>
      <c r="R2015">
        <v>2</v>
      </c>
      <c r="S2015">
        <v>1</v>
      </c>
      <c r="T2015">
        <v>11</v>
      </c>
      <c r="U2015">
        <v>37.74615</v>
      </c>
      <c r="V2015">
        <v>554618.4</v>
      </c>
    </row>
    <row r="2016" spans="1:22" x14ac:dyDescent="0.25">
      <c r="A2016" t="s">
        <v>4191</v>
      </c>
      <c r="B2016" t="s">
        <v>4192</v>
      </c>
      <c r="C2016">
        <v>51</v>
      </c>
      <c r="D2016">
        <v>99</v>
      </c>
      <c r="E2016">
        <v>99</v>
      </c>
      <c r="F2016" t="s">
        <v>4193</v>
      </c>
      <c r="G2016" t="s">
        <v>4193</v>
      </c>
      <c r="H2016">
        <f t="shared" si="34"/>
        <v>16</v>
      </c>
      <c r="M2016" s="1">
        <v>3.88655997812748E-3</v>
      </c>
      <c r="N2016">
        <v>1787.92456054688</v>
      </c>
      <c r="O2016">
        <v>596.98209999999904</v>
      </c>
      <c r="P2016">
        <v>1787.92065429688</v>
      </c>
      <c r="Q2016">
        <v>596.98083496093705</v>
      </c>
      <c r="R2016">
        <v>3</v>
      </c>
      <c r="S2016">
        <v>1</v>
      </c>
      <c r="T2016">
        <v>13</v>
      </c>
      <c r="U2016">
        <v>38.527920000000002</v>
      </c>
      <c r="V2016">
        <v>386940.6</v>
      </c>
    </row>
    <row r="2017" spans="1:22" x14ac:dyDescent="0.25">
      <c r="A2017" t="s">
        <v>2483</v>
      </c>
      <c r="B2017" t="s">
        <v>2484</v>
      </c>
      <c r="C2017">
        <v>12</v>
      </c>
      <c r="D2017">
        <v>99</v>
      </c>
      <c r="E2017">
        <v>99</v>
      </c>
      <c r="F2017" t="s">
        <v>199</v>
      </c>
      <c r="G2017" t="s">
        <v>199</v>
      </c>
      <c r="H2017">
        <f t="shared" si="34"/>
        <v>16</v>
      </c>
      <c r="M2017" s="1">
        <v>7.9184398055076495E-3</v>
      </c>
      <c r="N2017">
        <v>1851.00817871094</v>
      </c>
      <c r="O2017">
        <v>618.01</v>
      </c>
      <c r="P2017">
        <v>1851.00024414063</v>
      </c>
      <c r="Q2017">
        <v>618.00738525390602</v>
      </c>
      <c r="R2017">
        <v>3</v>
      </c>
      <c r="S2017">
        <v>1</v>
      </c>
      <c r="T2017">
        <v>15</v>
      </c>
      <c r="U2017">
        <v>35.708779999999898</v>
      </c>
      <c r="V2017">
        <v>307393.2</v>
      </c>
    </row>
    <row r="2018" spans="1:22" x14ac:dyDescent="0.25">
      <c r="A2018" t="s">
        <v>2373</v>
      </c>
      <c r="B2018" t="s">
        <v>2374</v>
      </c>
      <c r="C2018">
        <v>33</v>
      </c>
      <c r="D2018">
        <v>99</v>
      </c>
      <c r="E2018">
        <v>99</v>
      </c>
      <c r="F2018" t="s">
        <v>2375</v>
      </c>
      <c r="G2018" t="s">
        <v>2375</v>
      </c>
      <c r="H2018">
        <f t="shared" si="34"/>
        <v>16</v>
      </c>
      <c r="M2018" s="1">
        <v>6.7297398345544902E-4</v>
      </c>
      <c r="N2018">
        <v>1866.77624511719</v>
      </c>
      <c r="O2018">
        <v>934.3954</v>
      </c>
      <c r="P2018">
        <v>1866.77551269531</v>
      </c>
      <c r="Q2018">
        <v>934.39501953125</v>
      </c>
      <c r="R2018">
        <v>2</v>
      </c>
      <c r="S2018">
        <v>1</v>
      </c>
      <c r="T2018">
        <v>10</v>
      </c>
      <c r="U2018">
        <v>48.630499999999898</v>
      </c>
      <c r="V2018">
        <v>167280.1</v>
      </c>
    </row>
    <row r="2019" spans="1:22" x14ac:dyDescent="0.25">
      <c r="A2019" t="s">
        <v>2373</v>
      </c>
      <c r="B2019" t="s">
        <v>2374</v>
      </c>
      <c r="C2019">
        <v>31</v>
      </c>
      <c r="D2019">
        <v>99</v>
      </c>
      <c r="E2019">
        <v>99</v>
      </c>
      <c r="F2019" t="s">
        <v>2376</v>
      </c>
      <c r="G2019" t="s">
        <v>2376</v>
      </c>
      <c r="H2019">
        <f t="shared" si="34"/>
        <v>18</v>
      </c>
      <c r="M2019">
        <v>8.7399999999999999E-4</v>
      </c>
      <c r="N2019">
        <v>1700.97351074219</v>
      </c>
      <c r="O2019">
        <v>851.49400000000003</v>
      </c>
      <c r="P2019">
        <v>1700.97265625</v>
      </c>
      <c r="Q2019">
        <v>851.49359130859295</v>
      </c>
      <c r="R2019">
        <v>2</v>
      </c>
      <c r="S2019">
        <v>2</v>
      </c>
      <c r="T2019">
        <v>16</v>
      </c>
      <c r="U2019">
        <v>26.34348</v>
      </c>
      <c r="V2019">
        <v>491573.2</v>
      </c>
    </row>
    <row r="2020" spans="1:22" x14ac:dyDescent="0.25">
      <c r="A2020" t="s">
        <v>2373</v>
      </c>
      <c r="B2020" t="s">
        <v>2374</v>
      </c>
      <c r="C2020">
        <v>32</v>
      </c>
      <c r="D2020">
        <v>99</v>
      </c>
      <c r="E2020">
        <v>99</v>
      </c>
      <c r="F2020" t="s">
        <v>2377</v>
      </c>
      <c r="G2020" t="s">
        <v>2377</v>
      </c>
      <c r="H2020">
        <f t="shared" si="34"/>
        <v>17</v>
      </c>
      <c r="M2020" s="1">
        <v>2.3733300622552499E-3</v>
      </c>
      <c r="N2020">
        <v>1574.81506347656</v>
      </c>
      <c r="O2020">
        <v>788.41480000000001</v>
      </c>
      <c r="P2020">
        <v>1574.81262207031</v>
      </c>
      <c r="Q2020">
        <v>788.41363525390602</v>
      </c>
      <c r="R2020">
        <v>2</v>
      </c>
      <c r="S2020">
        <v>1</v>
      </c>
      <c r="T2020">
        <v>9</v>
      </c>
      <c r="U2020">
        <v>42.678829999999898</v>
      </c>
      <c r="V2020">
        <v>36946.85</v>
      </c>
    </row>
    <row r="2021" spans="1:22" x14ac:dyDescent="0.25">
      <c r="A2021" t="s">
        <v>2373</v>
      </c>
      <c r="B2021" t="s">
        <v>2374</v>
      </c>
      <c r="C2021">
        <v>34</v>
      </c>
      <c r="D2021">
        <v>99</v>
      </c>
      <c r="E2021">
        <v>99</v>
      </c>
      <c r="F2021" t="s">
        <v>2378</v>
      </c>
      <c r="G2021" t="s">
        <v>2378</v>
      </c>
      <c r="H2021">
        <f t="shared" si="34"/>
        <v>15</v>
      </c>
      <c r="M2021" s="1">
        <v>5.3690900094807001E-3</v>
      </c>
      <c r="N2021">
        <v>1901.05773925781</v>
      </c>
      <c r="O2021">
        <v>476.27170000000001</v>
      </c>
      <c r="P2021">
        <v>1901.05236816406</v>
      </c>
      <c r="Q2021">
        <v>476.27035522460801</v>
      </c>
      <c r="R2021">
        <v>4</v>
      </c>
      <c r="S2021">
        <v>1</v>
      </c>
      <c r="T2021">
        <v>12</v>
      </c>
      <c r="U2021">
        <v>35.763979999999897</v>
      </c>
      <c r="V2021">
        <v>246624.5</v>
      </c>
    </row>
    <row r="2022" spans="1:22" x14ac:dyDescent="0.25">
      <c r="A2022" t="s">
        <v>2520</v>
      </c>
      <c r="B2022" t="s">
        <v>2521</v>
      </c>
      <c r="C2022">
        <v>64</v>
      </c>
      <c r="D2022">
        <v>99</v>
      </c>
      <c r="E2022">
        <v>99</v>
      </c>
      <c r="F2022" t="s">
        <v>2522</v>
      </c>
      <c r="G2022" t="s">
        <v>2522</v>
      </c>
      <c r="H2022">
        <f t="shared" si="34"/>
        <v>17</v>
      </c>
      <c r="M2022" s="1">
        <v>-2.60525988414884E-3</v>
      </c>
      <c r="N2022">
        <v>2053.1181640625</v>
      </c>
      <c r="O2022">
        <v>685.38</v>
      </c>
      <c r="P2022">
        <v>2053.12084960938</v>
      </c>
      <c r="Q2022">
        <v>685.380859375</v>
      </c>
      <c r="R2022">
        <v>3</v>
      </c>
      <c r="S2022">
        <v>1</v>
      </c>
      <c r="T2022">
        <v>13</v>
      </c>
      <c r="U2022">
        <v>48.593029999999899</v>
      </c>
      <c r="V2022">
        <v>138359.5</v>
      </c>
    </row>
    <row r="2023" spans="1:22" x14ac:dyDescent="0.25">
      <c r="A2023" t="s">
        <v>3280</v>
      </c>
      <c r="B2023" t="s">
        <v>3281</v>
      </c>
      <c r="C2023">
        <v>69</v>
      </c>
      <c r="D2023">
        <v>99</v>
      </c>
      <c r="E2023">
        <v>99</v>
      </c>
      <c r="F2023" t="s">
        <v>3282</v>
      </c>
      <c r="G2023" t="s">
        <v>3282</v>
      </c>
      <c r="H2023">
        <f t="shared" si="34"/>
        <v>10</v>
      </c>
      <c r="M2023" s="1">
        <v>8.1649199128150905E-3</v>
      </c>
      <c r="N2023">
        <v>1445.79602050781</v>
      </c>
      <c r="O2023">
        <v>723.90530000000001</v>
      </c>
      <c r="P2023">
        <v>1445.78784179688</v>
      </c>
      <c r="Q2023">
        <v>723.90118408203102</v>
      </c>
      <c r="R2023">
        <v>2</v>
      </c>
      <c r="S2023">
        <v>1</v>
      </c>
      <c r="T2023">
        <v>10</v>
      </c>
      <c r="U2023">
        <v>36.598379999999899</v>
      </c>
      <c r="V2023">
        <v>122543.4</v>
      </c>
    </row>
    <row r="2024" spans="1:22" x14ac:dyDescent="0.25">
      <c r="A2024" t="s">
        <v>4238</v>
      </c>
      <c r="B2024" t="s">
        <v>4239</v>
      </c>
      <c r="C2024">
        <v>132</v>
      </c>
      <c r="D2024">
        <v>98.5</v>
      </c>
      <c r="E2024">
        <v>98.54</v>
      </c>
      <c r="F2024" t="s">
        <v>4240</v>
      </c>
      <c r="G2024" t="s">
        <v>4240</v>
      </c>
      <c r="H2024">
        <f t="shared" si="34"/>
        <v>9</v>
      </c>
      <c r="M2024">
        <v>3.0230000000000001E-3</v>
      </c>
      <c r="N2024">
        <v>1458.81127929688</v>
      </c>
      <c r="O2024">
        <v>730.41290000000004</v>
      </c>
      <c r="P2024">
        <v>1458.80822753906</v>
      </c>
      <c r="Q2024">
        <v>730.411376953125</v>
      </c>
      <c r="R2024">
        <v>2</v>
      </c>
      <c r="S2024">
        <v>1</v>
      </c>
      <c r="T2024">
        <v>10</v>
      </c>
      <c r="U2024">
        <v>38.746870000000001</v>
      </c>
      <c r="V2024">
        <v>236523.5</v>
      </c>
    </row>
    <row r="2025" spans="1:22" x14ac:dyDescent="0.25">
      <c r="A2025" t="s">
        <v>595</v>
      </c>
      <c r="B2025" t="s">
        <v>596</v>
      </c>
      <c r="C2025">
        <v>35</v>
      </c>
      <c r="D2025">
        <v>98</v>
      </c>
      <c r="E2025">
        <v>98.01</v>
      </c>
      <c r="F2025" t="s">
        <v>597</v>
      </c>
      <c r="G2025" t="s">
        <v>597</v>
      </c>
      <c r="H2025">
        <f t="shared" si="34"/>
        <v>9</v>
      </c>
      <c r="M2025" s="1">
        <v>3.48345004022121E-3</v>
      </c>
      <c r="N2025">
        <v>1918.06323242188</v>
      </c>
      <c r="O2025">
        <v>640.36170000000004</v>
      </c>
      <c r="P2025">
        <v>1918.05981445313</v>
      </c>
      <c r="Q2025">
        <v>640.36053466796795</v>
      </c>
      <c r="R2025">
        <v>3</v>
      </c>
      <c r="S2025">
        <v>1</v>
      </c>
      <c r="T2025">
        <v>11</v>
      </c>
      <c r="U2025">
        <v>36.325719999999897</v>
      </c>
      <c r="V2025">
        <v>151172.5</v>
      </c>
    </row>
    <row r="2026" spans="1:22" x14ac:dyDescent="0.25">
      <c r="A2026" t="s">
        <v>53</v>
      </c>
      <c r="B2026" t="s">
        <v>54</v>
      </c>
      <c r="C2026">
        <v>449</v>
      </c>
      <c r="D2026">
        <v>98.5</v>
      </c>
      <c r="E2026">
        <v>98.46</v>
      </c>
      <c r="F2026" t="s">
        <v>1746</v>
      </c>
      <c r="G2026" t="s">
        <v>1746</v>
      </c>
      <c r="H2026">
        <f t="shared" si="34"/>
        <v>10</v>
      </c>
      <c r="M2026" s="1">
        <v>5.0574098713696003E-3</v>
      </c>
      <c r="N2026">
        <v>1008.61309814453</v>
      </c>
      <c r="O2026">
        <v>505.31380000000001</v>
      </c>
      <c r="P2026">
        <v>1008.60803222656</v>
      </c>
      <c r="Q2026">
        <v>505.311279296875</v>
      </c>
      <c r="R2026">
        <v>2</v>
      </c>
      <c r="S2026">
        <v>3</v>
      </c>
      <c r="T2026">
        <v>11</v>
      </c>
      <c r="U2026">
        <v>37.834780000000002</v>
      </c>
      <c r="V2026">
        <v>2950623</v>
      </c>
    </row>
    <row r="2027" spans="1:22" x14ac:dyDescent="0.25">
      <c r="A2027" t="s">
        <v>53</v>
      </c>
      <c r="B2027" t="s">
        <v>54</v>
      </c>
      <c r="C2027">
        <v>717</v>
      </c>
      <c r="D2027">
        <v>99</v>
      </c>
      <c r="E2027">
        <v>98.99</v>
      </c>
      <c r="F2027" t="s">
        <v>294</v>
      </c>
      <c r="G2027" t="s">
        <v>294</v>
      </c>
      <c r="H2027">
        <f t="shared" si="34"/>
        <v>9</v>
      </c>
      <c r="L2027" t="s">
        <v>295</v>
      </c>
      <c r="M2027" s="1">
        <v>7.4652098119258803E-3</v>
      </c>
      <c r="N2027">
        <v>1829.95324707031</v>
      </c>
      <c r="O2027">
        <v>610.99170000000004</v>
      </c>
      <c r="P2027">
        <v>1829.94580078125</v>
      </c>
      <c r="Q2027">
        <v>610.98919677734295</v>
      </c>
      <c r="R2027">
        <v>3</v>
      </c>
      <c r="S2027">
        <v>1</v>
      </c>
      <c r="T2027">
        <v>17</v>
      </c>
      <c r="U2027">
        <v>31.072130000000001</v>
      </c>
      <c r="V2027">
        <v>356459.7</v>
      </c>
    </row>
    <row r="2028" spans="1:22" x14ac:dyDescent="0.25">
      <c r="A2028" t="s">
        <v>279</v>
      </c>
      <c r="B2028" t="s">
        <v>280</v>
      </c>
      <c r="C2028">
        <v>879</v>
      </c>
      <c r="D2028">
        <v>99</v>
      </c>
      <c r="E2028">
        <v>99</v>
      </c>
      <c r="F2028" t="s">
        <v>281</v>
      </c>
      <c r="G2028" t="s">
        <v>281</v>
      </c>
      <c r="H2028">
        <f t="shared" si="34"/>
        <v>8</v>
      </c>
      <c r="M2028" s="1">
        <v>-1.75256002694367E-3</v>
      </c>
      <c r="N2028">
        <v>2046.18603515625</v>
      </c>
      <c r="O2028">
        <v>683.0693</v>
      </c>
      <c r="P2028">
        <v>2046.18774414063</v>
      </c>
      <c r="Q2028">
        <v>683.06988525390602</v>
      </c>
      <c r="R2028">
        <v>3</v>
      </c>
      <c r="S2028">
        <v>1</v>
      </c>
      <c r="T2028">
        <v>14</v>
      </c>
      <c r="U2028">
        <v>35.357419999999898</v>
      </c>
      <c r="V2028">
        <v>387111.2</v>
      </c>
    </row>
    <row r="2029" spans="1:22" x14ac:dyDescent="0.25">
      <c r="A2029" t="s">
        <v>1039</v>
      </c>
      <c r="B2029" t="s">
        <v>1040</v>
      </c>
      <c r="C2029">
        <v>31</v>
      </c>
      <c r="D2029">
        <v>99</v>
      </c>
      <c r="E2029">
        <v>99</v>
      </c>
      <c r="F2029" t="s">
        <v>1041</v>
      </c>
      <c r="G2029" t="s">
        <v>1041</v>
      </c>
      <c r="H2029">
        <f t="shared" si="34"/>
        <v>9</v>
      </c>
      <c r="M2029" s="1">
        <v>5.6382599286735101E-3</v>
      </c>
      <c r="N2029">
        <v>1099.68103027344</v>
      </c>
      <c r="O2029">
        <v>550.84780000000001</v>
      </c>
      <c r="P2029">
        <v>1099.67541503906</v>
      </c>
      <c r="Q2029">
        <v>550.844970703125</v>
      </c>
      <c r="R2029">
        <v>2</v>
      </c>
      <c r="S2029">
        <v>1</v>
      </c>
      <c r="T2029">
        <v>11</v>
      </c>
      <c r="U2029">
        <v>49.728920000000002</v>
      </c>
      <c r="V2029">
        <v>921895.9</v>
      </c>
    </row>
    <row r="2030" spans="1:22" x14ac:dyDescent="0.25">
      <c r="A2030" t="s">
        <v>2646</v>
      </c>
      <c r="B2030" t="s">
        <v>2647</v>
      </c>
      <c r="C2030">
        <v>145</v>
      </c>
      <c r="D2030">
        <v>99</v>
      </c>
      <c r="E2030">
        <v>99</v>
      </c>
      <c r="F2030" t="s">
        <v>2648</v>
      </c>
      <c r="G2030" t="s">
        <v>2648</v>
      </c>
      <c r="H2030">
        <f t="shared" si="34"/>
        <v>9</v>
      </c>
      <c r="M2030" s="1">
        <v>6.9872601889073701E-3</v>
      </c>
      <c r="N2030">
        <v>1029.56372070313</v>
      </c>
      <c r="O2030">
        <v>515.78909999999905</v>
      </c>
      <c r="P2030">
        <v>1029.55676269531</v>
      </c>
      <c r="Q2030">
        <v>515.78564453125</v>
      </c>
      <c r="R2030">
        <v>2</v>
      </c>
      <c r="S2030">
        <v>1</v>
      </c>
      <c r="T2030">
        <v>10</v>
      </c>
      <c r="U2030">
        <v>22.9214699999999</v>
      </c>
      <c r="V2030">
        <v>138350.299999999</v>
      </c>
    </row>
    <row r="2031" spans="1:22" x14ac:dyDescent="0.25">
      <c r="A2031" t="s">
        <v>359</v>
      </c>
      <c r="B2031" t="s">
        <v>360</v>
      </c>
      <c r="C2031">
        <v>915</v>
      </c>
      <c r="D2031">
        <v>99</v>
      </c>
      <c r="E2031">
        <v>99</v>
      </c>
      <c r="F2031" t="s">
        <v>361</v>
      </c>
      <c r="G2031" t="s">
        <v>361</v>
      </c>
      <c r="H2031">
        <f t="shared" si="34"/>
        <v>9</v>
      </c>
      <c r="M2031">
        <v>4.6999999999999997E-5</v>
      </c>
      <c r="N2031">
        <v>1146.61865234375</v>
      </c>
      <c r="O2031">
        <v>574.31659999999897</v>
      </c>
      <c r="P2031">
        <v>1146.61853027344</v>
      </c>
      <c r="Q2031">
        <v>574.31658935546795</v>
      </c>
      <c r="R2031">
        <v>2</v>
      </c>
      <c r="S2031">
        <v>2</v>
      </c>
      <c r="T2031">
        <v>12</v>
      </c>
      <c r="U2031">
        <v>31.947780000000002</v>
      </c>
      <c r="V2031">
        <v>2826057</v>
      </c>
    </row>
    <row r="2032" spans="1:22" x14ac:dyDescent="0.25">
      <c r="A2032" t="s">
        <v>4513</v>
      </c>
      <c r="B2032" t="s">
        <v>4514</v>
      </c>
      <c r="C2032">
        <v>75</v>
      </c>
      <c r="D2032">
        <v>99</v>
      </c>
      <c r="E2032">
        <v>99</v>
      </c>
      <c r="F2032" t="s">
        <v>4515</v>
      </c>
      <c r="G2032" t="s">
        <v>4515</v>
      </c>
      <c r="H2032">
        <f t="shared" si="34"/>
        <v>9</v>
      </c>
      <c r="M2032" s="1">
        <v>2.3313199635595101E-3</v>
      </c>
      <c r="N2032">
        <v>1433.75378417969</v>
      </c>
      <c r="O2032">
        <v>478.92520000000002</v>
      </c>
      <c r="P2032">
        <v>1433.75146484375</v>
      </c>
      <c r="Q2032">
        <v>478.92443847656301</v>
      </c>
      <c r="R2032">
        <v>3</v>
      </c>
      <c r="S2032">
        <v>1</v>
      </c>
      <c r="T2032">
        <v>12</v>
      </c>
      <c r="U2032">
        <v>35.08267</v>
      </c>
      <c r="V2032">
        <v>361098.8</v>
      </c>
    </row>
    <row r="2033" spans="1:22" x14ac:dyDescent="0.25">
      <c r="A2033" t="s">
        <v>3651</v>
      </c>
      <c r="B2033" t="s">
        <v>3652</v>
      </c>
      <c r="C2033">
        <v>104</v>
      </c>
      <c r="D2033">
        <v>99</v>
      </c>
      <c r="E2033">
        <v>99</v>
      </c>
      <c r="F2033" t="s">
        <v>3653</v>
      </c>
      <c r="G2033" t="s">
        <v>3653</v>
      </c>
      <c r="H2033">
        <f t="shared" si="34"/>
        <v>9</v>
      </c>
      <c r="M2033" s="1">
        <v>-2.2679499816149399E-3</v>
      </c>
      <c r="N2033">
        <v>1087.55004882813</v>
      </c>
      <c r="O2033">
        <v>544.78229999999905</v>
      </c>
      <c r="P2033">
        <v>1087.55224609375</v>
      </c>
      <c r="Q2033">
        <v>544.783447265625</v>
      </c>
      <c r="R2033">
        <v>2</v>
      </c>
      <c r="S2033">
        <v>2</v>
      </c>
      <c r="T2033">
        <v>11</v>
      </c>
      <c r="U2033">
        <v>19.545280000000002</v>
      </c>
      <c r="V2033">
        <v>877046.4</v>
      </c>
    </row>
    <row r="2034" spans="1:22" x14ac:dyDescent="0.25">
      <c r="A2034" t="s">
        <v>3532</v>
      </c>
      <c r="B2034" t="s">
        <v>3533</v>
      </c>
      <c r="C2034">
        <v>172</v>
      </c>
      <c r="D2034">
        <v>97</v>
      </c>
      <c r="E2034">
        <v>97.01</v>
      </c>
      <c r="F2034" t="s">
        <v>3534</v>
      </c>
      <c r="G2034" t="s">
        <v>3534</v>
      </c>
      <c r="H2034">
        <f t="shared" si="34"/>
        <v>9</v>
      </c>
      <c r="M2034" s="1">
        <v>1.51442002970724E-3</v>
      </c>
      <c r="N2034">
        <v>1154.70520019531</v>
      </c>
      <c r="O2034">
        <v>385.90899999999903</v>
      </c>
      <c r="P2034">
        <v>1154.70361328125</v>
      </c>
      <c r="Q2034">
        <v>385.90847778320301</v>
      </c>
      <c r="R2034">
        <v>3</v>
      </c>
      <c r="S2034">
        <v>1</v>
      </c>
      <c r="T2034">
        <v>10</v>
      </c>
      <c r="U2034">
        <v>20.76418</v>
      </c>
      <c r="V2034">
        <v>328569</v>
      </c>
    </row>
    <row r="2035" spans="1:22" x14ac:dyDescent="0.25">
      <c r="A2035" t="s">
        <v>905</v>
      </c>
      <c r="B2035" t="s">
        <v>906</v>
      </c>
      <c r="C2035">
        <v>315</v>
      </c>
      <c r="D2035">
        <v>99</v>
      </c>
      <c r="E2035">
        <v>99</v>
      </c>
      <c r="F2035" t="s">
        <v>907</v>
      </c>
      <c r="G2035" t="s">
        <v>907</v>
      </c>
      <c r="H2035">
        <f t="shared" si="34"/>
        <v>16</v>
      </c>
      <c r="M2035">
        <v>-2.1129999999999999E-3</v>
      </c>
      <c r="N2035">
        <v>1165.62951660156</v>
      </c>
      <c r="O2035">
        <v>583.822</v>
      </c>
      <c r="P2035">
        <v>1165.63159179688</v>
      </c>
      <c r="Q2035">
        <v>583.82305908203102</v>
      </c>
      <c r="R2035">
        <v>2</v>
      </c>
      <c r="S2035">
        <v>1</v>
      </c>
      <c r="T2035">
        <v>11</v>
      </c>
      <c r="U2035">
        <v>18.147870000000001</v>
      </c>
      <c r="V2035">
        <v>1294260</v>
      </c>
    </row>
    <row r="2036" spans="1:22" x14ac:dyDescent="0.25">
      <c r="A2036" t="s">
        <v>638</v>
      </c>
      <c r="B2036" t="s">
        <v>639</v>
      </c>
      <c r="C2036">
        <v>825</v>
      </c>
      <c r="D2036">
        <v>99</v>
      </c>
      <c r="E2036">
        <v>99</v>
      </c>
      <c r="F2036" t="s">
        <v>640</v>
      </c>
      <c r="G2036" t="s">
        <v>640</v>
      </c>
      <c r="H2036">
        <f t="shared" si="34"/>
        <v>9</v>
      </c>
      <c r="M2036" s="1">
        <v>8.3064398495480299E-4</v>
      </c>
      <c r="N2036">
        <v>1125.69909667969</v>
      </c>
      <c r="O2036">
        <v>376.24029999999902</v>
      </c>
      <c r="P2036">
        <v>1125.6982421875</v>
      </c>
      <c r="Q2036">
        <v>376.24002075195301</v>
      </c>
      <c r="R2036">
        <v>3</v>
      </c>
      <c r="S2036">
        <v>2</v>
      </c>
      <c r="T2036">
        <v>11</v>
      </c>
      <c r="U2036">
        <v>24.700420000000001</v>
      </c>
      <c r="V2036">
        <v>1666927</v>
      </c>
    </row>
    <row r="2037" spans="1:22" x14ac:dyDescent="0.25">
      <c r="A2037" t="s">
        <v>638</v>
      </c>
      <c r="B2037" t="s">
        <v>639</v>
      </c>
      <c r="C2037">
        <v>825</v>
      </c>
      <c r="D2037">
        <v>99</v>
      </c>
      <c r="E2037">
        <v>99</v>
      </c>
      <c r="F2037" t="s">
        <v>640</v>
      </c>
      <c r="G2037" t="s">
        <v>640</v>
      </c>
      <c r="H2037">
        <f t="shared" si="34"/>
        <v>9</v>
      </c>
      <c r="L2037" t="s">
        <v>47</v>
      </c>
      <c r="M2037" s="1">
        <v>5.6043597869574902E-3</v>
      </c>
      <c r="N2037">
        <v>1212.57189941406</v>
      </c>
      <c r="O2037">
        <v>607.29319999999905</v>
      </c>
      <c r="P2037">
        <v>1212.56628417969</v>
      </c>
      <c r="Q2037">
        <v>607.29040527343705</v>
      </c>
      <c r="R2037">
        <v>2</v>
      </c>
      <c r="S2037">
        <v>1</v>
      </c>
      <c r="T2037">
        <v>16</v>
      </c>
      <c r="U2037">
        <v>56.020470000000003</v>
      </c>
      <c r="V2037">
        <v>711673.7</v>
      </c>
    </row>
    <row r="2038" spans="1:22" x14ac:dyDescent="0.25">
      <c r="A2038" t="s">
        <v>3008</v>
      </c>
      <c r="B2038" t="s">
        <v>3009</v>
      </c>
      <c r="C2038">
        <v>222</v>
      </c>
      <c r="D2038">
        <v>99</v>
      </c>
      <c r="E2038">
        <v>99</v>
      </c>
      <c r="F2038" t="s">
        <v>3010</v>
      </c>
      <c r="G2038" t="s">
        <v>3010</v>
      </c>
      <c r="H2038">
        <f t="shared" si="34"/>
        <v>17</v>
      </c>
      <c r="M2038" s="1">
        <v>-5.14696992468088E-4</v>
      </c>
      <c r="N2038">
        <v>2982.68603515625</v>
      </c>
      <c r="O2038">
        <v>597.54449999999895</v>
      </c>
      <c r="P2038">
        <v>2982.6865234375</v>
      </c>
      <c r="Q2038">
        <v>597.54461669921795</v>
      </c>
      <c r="R2038">
        <v>5</v>
      </c>
      <c r="S2038">
        <v>2</v>
      </c>
      <c r="T2038">
        <v>17</v>
      </c>
      <c r="U2038">
        <v>40.851799999999898</v>
      </c>
      <c r="V2038">
        <v>2921160</v>
      </c>
    </row>
    <row r="2039" spans="1:22" x14ac:dyDescent="0.25">
      <c r="A2039" t="s">
        <v>1879</v>
      </c>
      <c r="B2039" t="s">
        <v>1880</v>
      </c>
      <c r="C2039">
        <v>26</v>
      </c>
      <c r="D2039">
        <v>98.7</v>
      </c>
      <c r="E2039">
        <v>98.66</v>
      </c>
      <c r="F2039" t="s">
        <v>1881</v>
      </c>
      <c r="G2039" t="s">
        <v>1881</v>
      </c>
      <c r="H2039">
        <f t="shared" si="34"/>
        <v>16</v>
      </c>
      <c r="M2039" s="1">
        <v>6.8392098182812301E-4</v>
      </c>
      <c r="N2039">
        <v>1185.64477539063</v>
      </c>
      <c r="O2039">
        <v>396.22219999999902</v>
      </c>
      <c r="P2039">
        <v>1185.64404296875</v>
      </c>
      <c r="Q2039">
        <v>396.22198486328102</v>
      </c>
      <c r="R2039">
        <v>3</v>
      </c>
      <c r="S2039">
        <v>1</v>
      </c>
      <c r="T2039">
        <v>11</v>
      </c>
      <c r="U2039">
        <v>36.09807</v>
      </c>
      <c r="V2039">
        <v>173823.1</v>
      </c>
    </row>
    <row r="2040" spans="1:22" x14ac:dyDescent="0.25">
      <c r="A2040" t="s">
        <v>3844</v>
      </c>
      <c r="B2040" t="s">
        <v>3845</v>
      </c>
      <c r="C2040">
        <v>327</v>
      </c>
      <c r="D2040">
        <v>98.5</v>
      </c>
      <c r="E2040">
        <v>98.48</v>
      </c>
      <c r="F2040" t="s">
        <v>3846</v>
      </c>
      <c r="G2040" t="s">
        <v>3846</v>
      </c>
      <c r="H2040">
        <f t="shared" si="34"/>
        <v>9</v>
      </c>
      <c r="M2040" s="1">
        <v>7.9364102566614704E-4</v>
      </c>
      <c r="N2040">
        <v>1228.64196777344</v>
      </c>
      <c r="O2040">
        <v>410.55459999999903</v>
      </c>
      <c r="P2040">
        <v>1228.64111328125</v>
      </c>
      <c r="Q2040">
        <v>410.55432128906301</v>
      </c>
      <c r="R2040">
        <v>3</v>
      </c>
      <c r="S2040">
        <v>1</v>
      </c>
      <c r="T2040">
        <v>10</v>
      </c>
      <c r="U2040">
        <v>26.19603</v>
      </c>
      <c r="V2040">
        <v>138168.299999999</v>
      </c>
    </row>
    <row r="2041" spans="1:22" x14ac:dyDescent="0.25">
      <c r="A2041" t="s">
        <v>649</v>
      </c>
      <c r="B2041" t="s">
        <v>650</v>
      </c>
      <c r="C2041">
        <v>548</v>
      </c>
      <c r="D2041">
        <v>97.6</v>
      </c>
      <c r="E2041">
        <v>97.56</v>
      </c>
      <c r="F2041" t="s">
        <v>651</v>
      </c>
      <c r="G2041" t="s">
        <v>651</v>
      </c>
      <c r="H2041">
        <f t="shared" si="34"/>
        <v>15</v>
      </c>
      <c r="M2041" s="1">
        <v>2.20206007361412E-3</v>
      </c>
      <c r="N2041">
        <v>1148.68005371094</v>
      </c>
      <c r="O2041">
        <v>575.34730000000002</v>
      </c>
      <c r="P2041">
        <v>1148.67785644531</v>
      </c>
      <c r="Q2041">
        <v>575.34619140625</v>
      </c>
      <c r="R2041">
        <v>2</v>
      </c>
      <c r="S2041">
        <v>1</v>
      </c>
      <c r="T2041">
        <v>10</v>
      </c>
      <c r="U2041">
        <v>25.096730000000001</v>
      </c>
      <c r="V2041">
        <v>105806100</v>
      </c>
    </row>
    <row r="2042" spans="1:22" x14ac:dyDescent="0.25">
      <c r="A2042" t="s">
        <v>1009</v>
      </c>
      <c r="B2042" t="s">
        <v>1010</v>
      </c>
      <c r="C2042">
        <v>745</v>
      </c>
      <c r="D2042">
        <v>97.6</v>
      </c>
      <c r="E2042">
        <v>97.57</v>
      </c>
      <c r="F2042" t="s">
        <v>1011</v>
      </c>
      <c r="G2042" t="s">
        <v>1011</v>
      </c>
      <c r="H2042">
        <f t="shared" si="34"/>
        <v>9</v>
      </c>
      <c r="M2042">
        <v>3.0920000000000001E-3</v>
      </c>
      <c r="N2042">
        <v>987.55328369140602</v>
      </c>
      <c r="O2042">
        <v>494.78390000000002</v>
      </c>
      <c r="P2042">
        <v>987.55017089843705</v>
      </c>
      <c r="Q2042">
        <v>494.78234863281301</v>
      </c>
      <c r="R2042">
        <v>2</v>
      </c>
      <c r="S2042">
        <v>13</v>
      </c>
      <c r="T2042">
        <v>10</v>
      </c>
      <c r="U2042">
        <v>32.290030000000002</v>
      </c>
      <c r="V2042">
        <v>496038400</v>
      </c>
    </row>
    <row r="2043" spans="1:22" x14ac:dyDescent="0.25">
      <c r="A2043" t="s">
        <v>2762</v>
      </c>
      <c r="B2043" t="s">
        <v>2763</v>
      </c>
      <c r="C2043">
        <v>264</v>
      </c>
      <c r="D2043">
        <v>97.2</v>
      </c>
      <c r="E2043">
        <v>97.24</v>
      </c>
      <c r="F2043" t="s">
        <v>2764</v>
      </c>
      <c r="G2043" t="s">
        <v>2764</v>
      </c>
      <c r="H2043">
        <f t="shared" si="34"/>
        <v>9</v>
      </c>
      <c r="M2043" s="1">
        <v>-5.7823602110147502E-3</v>
      </c>
      <c r="N2043">
        <v>1046.66552734375</v>
      </c>
      <c r="O2043">
        <v>524.34</v>
      </c>
      <c r="P2043">
        <v>1046.67126464844</v>
      </c>
      <c r="Q2043">
        <v>524.34289550781205</v>
      </c>
      <c r="R2043">
        <v>2</v>
      </c>
      <c r="S2043">
        <v>1</v>
      </c>
      <c r="T2043">
        <v>11</v>
      </c>
      <c r="U2043">
        <v>18.512429999999899</v>
      </c>
      <c r="V2043">
        <v>1461444</v>
      </c>
    </row>
    <row r="2044" spans="1:22" x14ac:dyDescent="0.25">
      <c r="A2044" t="s">
        <v>4507</v>
      </c>
      <c r="B2044" t="s">
        <v>4508</v>
      </c>
      <c r="C2044">
        <v>107</v>
      </c>
      <c r="D2044">
        <v>98.5</v>
      </c>
      <c r="E2044">
        <v>98.48</v>
      </c>
      <c r="F2044" t="s">
        <v>4509</v>
      </c>
      <c r="G2044" t="s">
        <v>4509</v>
      </c>
      <c r="H2044">
        <f t="shared" si="34"/>
        <v>9</v>
      </c>
      <c r="M2044" s="1">
        <v>6.0033099725842502E-3</v>
      </c>
      <c r="N2044">
        <v>1088.64025878906</v>
      </c>
      <c r="O2044">
        <v>545.32740000000001</v>
      </c>
      <c r="P2044">
        <v>1088.63427734375</v>
      </c>
      <c r="Q2044">
        <v>545.32440185546795</v>
      </c>
      <c r="R2044">
        <v>2</v>
      </c>
      <c r="S2044">
        <v>4</v>
      </c>
      <c r="T2044">
        <v>11</v>
      </c>
      <c r="U2044">
        <v>24.42953</v>
      </c>
      <c r="V2044">
        <v>3232343</v>
      </c>
    </row>
    <row r="2045" spans="1:22" x14ac:dyDescent="0.25">
      <c r="A2045" t="s">
        <v>78</v>
      </c>
      <c r="B2045" t="s">
        <v>79</v>
      </c>
      <c r="C2045">
        <v>10</v>
      </c>
      <c r="D2045">
        <v>99</v>
      </c>
      <c r="E2045">
        <v>99</v>
      </c>
      <c r="F2045" t="s">
        <v>80</v>
      </c>
      <c r="G2045" t="s">
        <v>80</v>
      </c>
      <c r="H2045">
        <f t="shared" si="34"/>
        <v>9</v>
      </c>
      <c r="M2045" s="1">
        <v>6.97683019097894E-4</v>
      </c>
      <c r="N2045">
        <v>1095.58325195313</v>
      </c>
      <c r="O2045">
        <v>548.7989</v>
      </c>
      <c r="P2045">
        <v>1095.58251953125</v>
      </c>
      <c r="Q2045">
        <v>548.79852294921795</v>
      </c>
      <c r="R2045">
        <v>2</v>
      </c>
      <c r="S2045">
        <v>1</v>
      </c>
      <c r="T2045">
        <v>13</v>
      </c>
      <c r="U2045">
        <v>25.689530000000001</v>
      </c>
      <c r="V2045">
        <v>1546872</v>
      </c>
    </row>
    <row r="2046" spans="1:22" x14ac:dyDescent="0.25">
      <c r="A2046" t="s">
        <v>78</v>
      </c>
      <c r="B2046" t="s">
        <v>79</v>
      </c>
      <c r="C2046">
        <v>10</v>
      </c>
      <c r="D2046">
        <v>97.4</v>
      </c>
      <c r="E2046">
        <v>97.36</v>
      </c>
      <c r="F2046" t="s">
        <v>3807</v>
      </c>
      <c r="G2046" t="s">
        <v>3807</v>
      </c>
      <c r="H2046">
        <f t="shared" si="34"/>
        <v>10</v>
      </c>
      <c r="M2046" s="1">
        <v>3.1390900257974902E-3</v>
      </c>
      <c r="N2046">
        <v>1047.58569335938</v>
      </c>
      <c r="O2046">
        <v>524.80010000000004</v>
      </c>
      <c r="P2046">
        <v>1047.58251953125</v>
      </c>
      <c r="Q2046">
        <v>524.79852294921795</v>
      </c>
      <c r="R2046">
        <v>2</v>
      </c>
      <c r="S2046">
        <v>1</v>
      </c>
      <c r="T2046">
        <v>11</v>
      </c>
      <c r="U2046">
        <v>23.88045</v>
      </c>
      <c r="V2046">
        <v>32206200</v>
      </c>
    </row>
    <row r="2047" spans="1:22" x14ac:dyDescent="0.25">
      <c r="A2047" t="s">
        <v>3599</v>
      </c>
      <c r="B2047" t="s">
        <v>3600</v>
      </c>
      <c r="C2047">
        <v>393</v>
      </c>
      <c r="D2047">
        <v>97.3</v>
      </c>
      <c r="E2047">
        <v>97.31</v>
      </c>
      <c r="F2047" t="s">
        <v>3601</v>
      </c>
      <c r="G2047" t="s">
        <v>3601</v>
      </c>
      <c r="H2047">
        <f t="shared" si="34"/>
        <v>9</v>
      </c>
      <c r="M2047" s="1">
        <v>3.8965200074017E-3</v>
      </c>
      <c r="N2047">
        <v>1241.59423828125</v>
      </c>
      <c r="O2047">
        <v>621.80439999999896</v>
      </c>
      <c r="P2047">
        <v>1241.59033203125</v>
      </c>
      <c r="Q2047">
        <v>621.80242919921795</v>
      </c>
      <c r="R2047">
        <v>2</v>
      </c>
      <c r="S2047">
        <v>1</v>
      </c>
      <c r="T2047">
        <v>10</v>
      </c>
      <c r="U2047">
        <v>49.78642</v>
      </c>
      <c r="V2047">
        <v>203984</v>
      </c>
    </row>
    <row r="2048" spans="1:22" x14ac:dyDescent="0.25">
      <c r="A2048" t="s">
        <v>4163</v>
      </c>
      <c r="B2048" t="s">
        <v>4164</v>
      </c>
      <c r="C2048">
        <v>2</v>
      </c>
      <c r="D2048">
        <v>98.8</v>
      </c>
      <c r="E2048">
        <v>98.83</v>
      </c>
      <c r="F2048" t="s">
        <v>4165</v>
      </c>
      <c r="G2048" t="s">
        <v>4165</v>
      </c>
      <c r="H2048">
        <f t="shared" si="34"/>
        <v>17</v>
      </c>
      <c r="L2048" t="s">
        <v>227</v>
      </c>
      <c r="M2048" s="1">
        <v>3.35894990712403E-4</v>
      </c>
      <c r="N2048">
        <v>1238.55712890625</v>
      </c>
      <c r="O2048">
        <v>620.28579999999897</v>
      </c>
      <c r="P2048">
        <v>1238.55676269531</v>
      </c>
      <c r="Q2048">
        <v>620.28564453125</v>
      </c>
      <c r="R2048">
        <v>2</v>
      </c>
      <c r="S2048">
        <v>1</v>
      </c>
      <c r="T2048">
        <v>9</v>
      </c>
      <c r="U2048">
        <v>54.9330199999999</v>
      </c>
      <c r="V2048">
        <v>89908.89</v>
      </c>
    </row>
    <row r="2049" spans="1:22" x14ac:dyDescent="0.25">
      <c r="A2049" t="s">
        <v>3712</v>
      </c>
      <c r="B2049" t="s">
        <v>3713</v>
      </c>
      <c r="C2049">
        <v>115</v>
      </c>
      <c r="D2049">
        <v>99</v>
      </c>
      <c r="E2049">
        <v>99</v>
      </c>
      <c r="F2049" t="s">
        <v>3714</v>
      </c>
      <c r="G2049" t="s">
        <v>3714</v>
      </c>
      <c r="H2049">
        <f t="shared" si="34"/>
        <v>16</v>
      </c>
      <c r="M2049" s="1">
        <v>3.0827301088720499E-3</v>
      </c>
      <c r="N2049">
        <v>1054.53662109375</v>
      </c>
      <c r="O2049">
        <v>528.27560000000005</v>
      </c>
      <c r="P2049">
        <v>1054.53356933594</v>
      </c>
      <c r="Q2049">
        <v>528.27404785156205</v>
      </c>
      <c r="R2049">
        <v>2</v>
      </c>
      <c r="S2049">
        <v>2</v>
      </c>
      <c r="T2049">
        <v>9</v>
      </c>
      <c r="U2049">
        <v>46.5059299999999</v>
      </c>
      <c r="V2049">
        <v>75576.990000000005</v>
      </c>
    </row>
    <row r="2050" spans="1:22" x14ac:dyDescent="0.25">
      <c r="A2050" t="s">
        <v>3712</v>
      </c>
      <c r="B2050" t="s">
        <v>3713</v>
      </c>
      <c r="C2050">
        <v>137</v>
      </c>
      <c r="D2050">
        <v>99</v>
      </c>
      <c r="E2050">
        <v>99</v>
      </c>
      <c r="F2050" t="s">
        <v>3715</v>
      </c>
      <c r="G2050" t="s">
        <v>3715</v>
      </c>
      <c r="H2050">
        <f t="shared" si="34"/>
        <v>16</v>
      </c>
      <c r="M2050" s="1">
        <v>-2.9744599014520602E-3</v>
      </c>
      <c r="N2050">
        <v>1058.64184570313</v>
      </c>
      <c r="O2050">
        <v>530.32820000000004</v>
      </c>
      <c r="P2050">
        <v>1058.64477539063</v>
      </c>
      <c r="Q2050">
        <v>530.32965087890602</v>
      </c>
      <c r="R2050">
        <v>2</v>
      </c>
      <c r="S2050">
        <v>2</v>
      </c>
      <c r="T2050">
        <v>13</v>
      </c>
      <c r="U2050">
        <v>19.813030000000001</v>
      </c>
      <c r="V2050">
        <v>1248849</v>
      </c>
    </row>
    <row r="2051" spans="1:22" x14ac:dyDescent="0.25">
      <c r="A2051" t="s">
        <v>4058</v>
      </c>
      <c r="B2051" t="s">
        <v>4059</v>
      </c>
      <c r="C2051">
        <v>51</v>
      </c>
      <c r="D2051">
        <v>99</v>
      </c>
      <c r="E2051">
        <v>98.96</v>
      </c>
      <c r="F2051" t="s">
        <v>4060</v>
      </c>
      <c r="G2051" t="s">
        <v>4060</v>
      </c>
      <c r="H2051">
        <f t="shared" ref="H2051:H2114" si="35">LEN(G2051)</f>
        <v>9</v>
      </c>
      <c r="M2051" s="1">
        <v>3.6583000328391699E-3</v>
      </c>
      <c r="N2051">
        <v>1057.54809570313</v>
      </c>
      <c r="O2051">
        <v>529.78129999999896</v>
      </c>
      <c r="P2051">
        <v>1057.54443359375</v>
      </c>
      <c r="Q2051">
        <v>529.77947998046795</v>
      </c>
      <c r="R2051">
        <v>2</v>
      </c>
      <c r="S2051">
        <v>1</v>
      </c>
      <c r="T2051">
        <v>8</v>
      </c>
      <c r="U2051">
        <v>41.368000000000002</v>
      </c>
      <c r="V2051">
        <v>70568.7</v>
      </c>
    </row>
    <row r="2052" spans="1:22" x14ac:dyDescent="0.25">
      <c r="A2052" t="s">
        <v>4563</v>
      </c>
      <c r="B2052" t="s">
        <v>4564</v>
      </c>
      <c r="C2052">
        <v>68</v>
      </c>
      <c r="D2052">
        <v>98.5</v>
      </c>
      <c r="E2052">
        <v>98.5</v>
      </c>
      <c r="F2052" t="s">
        <v>4565</v>
      </c>
      <c r="G2052" t="s">
        <v>4565</v>
      </c>
      <c r="H2052">
        <f t="shared" si="35"/>
        <v>8</v>
      </c>
      <c r="M2052" s="1">
        <v>-2.3048100993037202E-3</v>
      </c>
      <c r="N2052">
        <v>1313.69165039063</v>
      </c>
      <c r="O2052">
        <v>657.85310000000004</v>
      </c>
      <c r="P2052">
        <v>1313.69396972656</v>
      </c>
      <c r="Q2052">
        <v>657.854248046875</v>
      </c>
      <c r="R2052">
        <v>2</v>
      </c>
      <c r="S2052">
        <v>2</v>
      </c>
      <c r="T2052">
        <v>12</v>
      </c>
      <c r="U2052">
        <v>18.359369999999899</v>
      </c>
      <c r="V2052">
        <v>152672.5</v>
      </c>
    </row>
    <row r="2053" spans="1:22" x14ac:dyDescent="0.25">
      <c r="A2053" t="s">
        <v>1271</v>
      </c>
      <c r="B2053" t="s">
        <v>1272</v>
      </c>
      <c r="C2053">
        <v>329</v>
      </c>
      <c r="D2053">
        <v>98.4</v>
      </c>
      <c r="E2053">
        <v>98.41</v>
      </c>
      <c r="F2053" t="s">
        <v>1273</v>
      </c>
      <c r="G2053" t="s">
        <v>1273</v>
      </c>
      <c r="H2053">
        <f t="shared" si="35"/>
        <v>16</v>
      </c>
      <c r="M2053" s="1">
        <v>-5.1974802045151602E-4</v>
      </c>
      <c r="N2053">
        <v>1400.72546386719</v>
      </c>
      <c r="O2053">
        <v>701.37</v>
      </c>
      <c r="P2053">
        <v>1400.72595214844</v>
      </c>
      <c r="Q2053">
        <v>701.37023925781205</v>
      </c>
      <c r="R2053">
        <v>2</v>
      </c>
      <c r="S2053">
        <v>1</v>
      </c>
      <c r="T2053">
        <v>13</v>
      </c>
      <c r="U2053">
        <v>18.42163</v>
      </c>
      <c r="V2053">
        <v>79896.600000000006</v>
      </c>
    </row>
    <row r="2054" spans="1:22" x14ac:dyDescent="0.25">
      <c r="A2054" t="s">
        <v>4477</v>
      </c>
      <c r="B2054" t="s">
        <v>4478</v>
      </c>
      <c r="C2054">
        <v>363</v>
      </c>
      <c r="D2054">
        <v>99</v>
      </c>
      <c r="E2054">
        <v>99</v>
      </c>
      <c r="F2054" t="s">
        <v>4479</v>
      </c>
      <c r="G2054" t="s">
        <v>4479</v>
      </c>
      <c r="H2054">
        <f t="shared" si="35"/>
        <v>21</v>
      </c>
      <c r="M2054" s="1">
        <v>3.4085800871253001E-3</v>
      </c>
      <c r="N2054">
        <v>1069.54382324219</v>
      </c>
      <c r="O2054">
        <v>535.77919999999904</v>
      </c>
      <c r="P2054">
        <v>1069.54040527344</v>
      </c>
      <c r="Q2054">
        <v>535.77746582031205</v>
      </c>
      <c r="R2054">
        <v>2</v>
      </c>
      <c r="S2054">
        <v>1</v>
      </c>
      <c r="T2054">
        <v>10</v>
      </c>
      <c r="U2054">
        <v>24.26125</v>
      </c>
      <c r="V2054">
        <v>808956.7</v>
      </c>
    </row>
    <row r="2055" spans="1:22" x14ac:dyDescent="0.25">
      <c r="A2055" t="s">
        <v>3080</v>
      </c>
      <c r="B2055" t="s">
        <v>3081</v>
      </c>
      <c r="C2055">
        <v>528</v>
      </c>
      <c r="D2055">
        <v>99</v>
      </c>
      <c r="E2055">
        <v>99</v>
      </c>
      <c r="F2055" t="s">
        <v>3082</v>
      </c>
      <c r="G2055" t="s">
        <v>3082</v>
      </c>
      <c r="H2055">
        <f t="shared" si="35"/>
        <v>9</v>
      </c>
      <c r="M2055" s="1">
        <v>1.40995001420379E-2</v>
      </c>
      <c r="N2055">
        <v>1930.17565917969</v>
      </c>
      <c r="O2055">
        <v>966.0951</v>
      </c>
      <c r="P2055">
        <v>1930.16149902344</v>
      </c>
      <c r="Q2055">
        <v>966.08801269531205</v>
      </c>
      <c r="R2055">
        <v>2</v>
      </c>
      <c r="S2055">
        <v>4</v>
      </c>
      <c r="T2055">
        <v>12</v>
      </c>
      <c r="U2055">
        <v>55.487450000000003</v>
      </c>
      <c r="V2055">
        <v>95433.02</v>
      </c>
    </row>
    <row r="2056" spans="1:22" x14ac:dyDescent="0.25">
      <c r="A2056" t="s">
        <v>3080</v>
      </c>
      <c r="B2056" t="s">
        <v>3081</v>
      </c>
      <c r="C2056">
        <v>528</v>
      </c>
      <c r="D2056">
        <v>98.3</v>
      </c>
      <c r="E2056">
        <v>98.32</v>
      </c>
      <c r="F2056" t="s">
        <v>3082</v>
      </c>
      <c r="G2056" t="s">
        <v>3082</v>
      </c>
      <c r="H2056">
        <f t="shared" si="35"/>
        <v>9</v>
      </c>
      <c r="L2056" t="s">
        <v>1071</v>
      </c>
      <c r="M2056" s="1">
        <v>1.01797003298998E-2</v>
      </c>
      <c r="N2056">
        <v>1894.92370605469</v>
      </c>
      <c r="O2056">
        <v>948.46910000000003</v>
      </c>
      <c r="P2056">
        <v>1894.91345214844</v>
      </c>
      <c r="Q2056">
        <v>948.46405029296795</v>
      </c>
      <c r="R2056">
        <v>2</v>
      </c>
      <c r="S2056">
        <v>1</v>
      </c>
      <c r="T2056">
        <v>10</v>
      </c>
      <c r="U2056">
        <v>46.383020000000002</v>
      </c>
      <c r="V2056">
        <v>40496.71</v>
      </c>
    </row>
    <row r="2057" spans="1:22" x14ac:dyDescent="0.25">
      <c r="A2057" t="s">
        <v>1823</v>
      </c>
      <c r="B2057" t="s">
        <v>1824</v>
      </c>
      <c r="C2057">
        <v>21</v>
      </c>
      <c r="D2057">
        <v>99</v>
      </c>
      <c r="E2057">
        <v>99</v>
      </c>
      <c r="F2057" t="s">
        <v>1825</v>
      </c>
      <c r="G2057" t="s">
        <v>1825</v>
      </c>
      <c r="H2057">
        <f t="shared" si="35"/>
        <v>16</v>
      </c>
      <c r="M2057" s="1">
        <v>3.0948799103498398E-3</v>
      </c>
      <c r="N2057">
        <v>1809.98022460938</v>
      </c>
      <c r="O2057">
        <v>905.99739999999895</v>
      </c>
      <c r="P2057">
        <v>1809.97705078125</v>
      </c>
      <c r="Q2057">
        <v>905.995849609375</v>
      </c>
      <c r="R2057">
        <v>2</v>
      </c>
      <c r="S2057">
        <v>2</v>
      </c>
      <c r="T2057">
        <v>8</v>
      </c>
      <c r="U2057">
        <v>28.340879999999899</v>
      </c>
      <c r="V2057">
        <v>104797.7</v>
      </c>
    </row>
    <row r="2058" spans="1:22" x14ac:dyDescent="0.25">
      <c r="A2058" t="s">
        <v>1823</v>
      </c>
      <c r="B2058" t="s">
        <v>1824</v>
      </c>
      <c r="C2058">
        <v>22</v>
      </c>
      <c r="D2058">
        <v>99</v>
      </c>
      <c r="E2058">
        <v>99</v>
      </c>
      <c r="F2058" t="s">
        <v>1826</v>
      </c>
      <c r="G2058" t="s">
        <v>1826</v>
      </c>
      <c r="H2058">
        <f t="shared" si="35"/>
        <v>15</v>
      </c>
      <c r="M2058" s="1">
        <v>7.3520098812878002E-3</v>
      </c>
      <c r="N2058">
        <v>1619.81164550781</v>
      </c>
      <c r="O2058">
        <v>810.91309999999896</v>
      </c>
      <c r="P2058">
        <v>1619.80432128906</v>
      </c>
      <c r="Q2058">
        <v>810.909423828125</v>
      </c>
      <c r="R2058">
        <v>2</v>
      </c>
      <c r="S2058">
        <v>1</v>
      </c>
      <c r="T2058">
        <v>10</v>
      </c>
      <c r="U2058">
        <v>45.195700000000002</v>
      </c>
      <c r="V2058">
        <v>129512.6</v>
      </c>
    </row>
    <row r="2059" spans="1:22" x14ac:dyDescent="0.25">
      <c r="A2059" t="s">
        <v>1823</v>
      </c>
      <c r="B2059" t="s">
        <v>1824</v>
      </c>
      <c r="C2059">
        <v>24</v>
      </c>
      <c r="D2059">
        <v>99</v>
      </c>
      <c r="E2059">
        <v>99</v>
      </c>
      <c r="F2059" t="s">
        <v>1827</v>
      </c>
      <c r="G2059" t="s">
        <v>1827</v>
      </c>
      <c r="H2059">
        <f t="shared" si="35"/>
        <v>13</v>
      </c>
      <c r="M2059">
        <v>4.5459999999999997E-3</v>
      </c>
      <c r="N2059">
        <v>1110.69592285156</v>
      </c>
      <c r="O2059">
        <v>556.35519999999894</v>
      </c>
      <c r="P2059">
        <v>1110.69140625</v>
      </c>
      <c r="Q2059">
        <v>556.35296630859295</v>
      </c>
      <c r="R2059">
        <v>2</v>
      </c>
      <c r="S2059">
        <v>1</v>
      </c>
      <c r="T2059">
        <v>8</v>
      </c>
      <c r="U2059">
        <v>39.1268999999999</v>
      </c>
      <c r="V2059">
        <v>75512.95</v>
      </c>
    </row>
    <row r="2060" spans="1:22" x14ac:dyDescent="0.25">
      <c r="A2060" t="s">
        <v>1823</v>
      </c>
      <c r="B2060" t="s">
        <v>1824</v>
      </c>
      <c r="C2060">
        <v>21</v>
      </c>
      <c r="D2060">
        <v>99</v>
      </c>
      <c r="E2060">
        <v>99</v>
      </c>
      <c r="F2060" t="s">
        <v>1825</v>
      </c>
      <c r="G2060" t="s">
        <v>1825</v>
      </c>
      <c r="H2060">
        <f t="shared" si="35"/>
        <v>16</v>
      </c>
      <c r="L2060" t="s">
        <v>52</v>
      </c>
      <c r="M2060" s="1">
        <v>1.42125003039837E-2</v>
      </c>
      <c r="N2060">
        <v>2113.07739257813</v>
      </c>
      <c r="O2060">
        <v>1057.546</v>
      </c>
      <c r="P2060">
        <v>2113.06323242188</v>
      </c>
      <c r="Q2060">
        <v>1057.53894042969</v>
      </c>
      <c r="R2060">
        <v>2</v>
      </c>
      <c r="S2060">
        <v>1</v>
      </c>
      <c r="T2060">
        <v>15</v>
      </c>
      <c r="U2060">
        <v>55.089199999999899</v>
      </c>
      <c r="V2060">
        <v>124441.2</v>
      </c>
    </row>
    <row r="2061" spans="1:22" x14ac:dyDescent="0.25">
      <c r="A2061" t="s">
        <v>2014</v>
      </c>
      <c r="B2061" t="s">
        <v>2015</v>
      </c>
      <c r="C2061">
        <v>503</v>
      </c>
      <c r="D2061">
        <v>99</v>
      </c>
      <c r="E2061">
        <v>99</v>
      </c>
      <c r="F2061" t="s">
        <v>2016</v>
      </c>
      <c r="G2061" t="s">
        <v>2016</v>
      </c>
      <c r="H2061">
        <f t="shared" si="35"/>
        <v>16</v>
      </c>
      <c r="M2061" s="1">
        <v>3.07864998467266E-3</v>
      </c>
      <c r="N2061">
        <v>1384.71704101563</v>
      </c>
      <c r="O2061">
        <v>693.36580000000004</v>
      </c>
      <c r="P2061">
        <v>1384.71398925781</v>
      </c>
      <c r="Q2061">
        <v>693.3642578125</v>
      </c>
      <c r="R2061">
        <v>2</v>
      </c>
      <c r="S2061">
        <v>1</v>
      </c>
      <c r="T2061">
        <v>7</v>
      </c>
      <c r="U2061">
        <v>47.773020000000002</v>
      </c>
      <c r="V2061">
        <v>72391.520000000004</v>
      </c>
    </row>
    <row r="2062" spans="1:22" x14ac:dyDescent="0.25">
      <c r="A2062" t="s">
        <v>1711</v>
      </c>
      <c r="B2062" t="s">
        <v>1712</v>
      </c>
      <c r="C2062">
        <v>302</v>
      </c>
      <c r="D2062">
        <v>99</v>
      </c>
      <c r="E2062">
        <v>99</v>
      </c>
      <c r="F2062" t="s">
        <v>226</v>
      </c>
      <c r="G2062" t="s">
        <v>226</v>
      </c>
      <c r="H2062">
        <f t="shared" si="35"/>
        <v>9</v>
      </c>
      <c r="M2062" s="1">
        <v>1.04912999086082E-3</v>
      </c>
      <c r="N2062">
        <v>1008.52508544922</v>
      </c>
      <c r="O2062">
        <v>505.26979999999901</v>
      </c>
      <c r="P2062">
        <v>1008.52398681641</v>
      </c>
      <c r="Q2062">
        <v>505.269287109375</v>
      </c>
      <c r="R2062">
        <v>2</v>
      </c>
      <c r="S2062">
        <v>1</v>
      </c>
      <c r="T2062">
        <v>8</v>
      </c>
      <c r="U2062">
        <v>26.43845</v>
      </c>
      <c r="V2062">
        <v>120690.6</v>
      </c>
    </row>
    <row r="2063" spans="1:22" x14ac:dyDescent="0.25">
      <c r="A2063" t="s">
        <v>2385</v>
      </c>
      <c r="B2063" t="s">
        <v>2386</v>
      </c>
      <c r="C2063">
        <v>130</v>
      </c>
      <c r="D2063">
        <v>99</v>
      </c>
      <c r="E2063">
        <v>99</v>
      </c>
      <c r="F2063" t="s">
        <v>2387</v>
      </c>
      <c r="G2063" t="s">
        <v>2387</v>
      </c>
      <c r="H2063">
        <f t="shared" si="35"/>
        <v>19</v>
      </c>
      <c r="M2063" s="1">
        <v>-1.27373996656388E-3</v>
      </c>
      <c r="N2063">
        <v>1018.62750244141</v>
      </c>
      <c r="O2063">
        <v>510.32100000000003</v>
      </c>
      <c r="P2063">
        <v>1018.62872314453</v>
      </c>
      <c r="Q2063">
        <v>510.32165527343801</v>
      </c>
      <c r="R2063">
        <v>2</v>
      </c>
      <c r="S2063">
        <v>1</v>
      </c>
      <c r="T2063">
        <v>10</v>
      </c>
      <c r="U2063">
        <v>21.19858</v>
      </c>
      <c r="V2063">
        <v>504229.6</v>
      </c>
    </row>
    <row r="2064" spans="1:22" x14ac:dyDescent="0.25">
      <c r="A2064" t="s">
        <v>3721</v>
      </c>
      <c r="B2064" t="s">
        <v>3722</v>
      </c>
      <c r="C2064">
        <v>34</v>
      </c>
      <c r="D2064">
        <v>99</v>
      </c>
      <c r="E2064">
        <v>99</v>
      </c>
      <c r="F2064" t="s">
        <v>3723</v>
      </c>
      <c r="G2064" t="s">
        <v>3723</v>
      </c>
      <c r="H2064">
        <f t="shared" si="35"/>
        <v>16</v>
      </c>
      <c r="M2064" s="1">
        <v>-2.4655500892549801E-3</v>
      </c>
      <c r="N2064">
        <v>1181.64672851563</v>
      </c>
      <c r="O2064">
        <v>591.8306</v>
      </c>
      <c r="P2064">
        <v>1181.64916992188</v>
      </c>
      <c r="Q2064">
        <v>591.83184814453102</v>
      </c>
      <c r="R2064">
        <v>2</v>
      </c>
      <c r="S2064">
        <v>1</v>
      </c>
      <c r="T2064">
        <v>11</v>
      </c>
      <c r="U2064">
        <v>21.587969999999899</v>
      </c>
      <c r="V2064">
        <v>444205.3</v>
      </c>
    </row>
    <row r="2065" spans="1:22" x14ac:dyDescent="0.25">
      <c r="A2065" t="s">
        <v>3721</v>
      </c>
      <c r="B2065" t="s">
        <v>3722</v>
      </c>
      <c r="C2065">
        <v>36</v>
      </c>
      <c r="D2065">
        <v>99</v>
      </c>
      <c r="E2065">
        <v>99</v>
      </c>
      <c r="F2065" t="s">
        <v>3724</v>
      </c>
      <c r="G2065" t="s">
        <v>3724</v>
      </c>
      <c r="H2065">
        <f t="shared" si="35"/>
        <v>13</v>
      </c>
      <c r="M2065" s="1">
        <v>8.2784695550799405E-3</v>
      </c>
      <c r="N2065">
        <v>1993.09802246094</v>
      </c>
      <c r="O2065">
        <v>665.37329999999895</v>
      </c>
      <c r="P2065">
        <v>1993.08972167969</v>
      </c>
      <c r="Q2065">
        <v>665.37054443359295</v>
      </c>
      <c r="R2065">
        <v>3</v>
      </c>
      <c r="S2065">
        <v>1</v>
      </c>
      <c r="T2065">
        <v>10</v>
      </c>
      <c r="U2065">
        <v>34.1233</v>
      </c>
      <c r="V2065">
        <v>320838.09999999899</v>
      </c>
    </row>
    <row r="2066" spans="1:22" x14ac:dyDescent="0.25">
      <c r="A2066" t="s">
        <v>3721</v>
      </c>
      <c r="B2066" t="s">
        <v>3722</v>
      </c>
      <c r="C2066">
        <v>36</v>
      </c>
      <c r="D2066">
        <v>99</v>
      </c>
      <c r="E2066">
        <v>99</v>
      </c>
      <c r="F2066" t="s">
        <v>3725</v>
      </c>
      <c r="G2066" t="s">
        <v>3725</v>
      </c>
      <c r="H2066">
        <f t="shared" si="35"/>
        <v>14</v>
      </c>
      <c r="M2066">
        <v>1.4791E-2</v>
      </c>
      <c r="N2066">
        <v>2276.04541015625</v>
      </c>
      <c r="O2066">
        <v>1139.03</v>
      </c>
      <c r="P2066">
        <v>2276.03076171875</v>
      </c>
      <c r="Q2066">
        <v>1139.02258300781</v>
      </c>
      <c r="R2066">
        <v>2</v>
      </c>
      <c r="S2066">
        <v>1</v>
      </c>
      <c r="T2066">
        <v>16</v>
      </c>
      <c r="U2066">
        <v>55.053570000000001</v>
      </c>
      <c r="V2066">
        <v>52397.14</v>
      </c>
    </row>
    <row r="2067" spans="1:22" x14ac:dyDescent="0.25">
      <c r="A2067" t="s">
        <v>4451</v>
      </c>
      <c r="B2067" t="s">
        <v>4452</v>
      </c>
      <c r="C2067">
        <v>14</v>
      </c>
      <c r="D2067">
        <v>99</v>
      </c>
      <c r="E2067">
        <v>99</v>
      </c>
      <c r="F2067" t="s">
        <v>4453</v>
      </c>
      <c r="G2067" t="s">
        <v>4453</v>
      </c>
      <c r="H2067">
        <f t="shared" si="35"/>
        <v>16</v>
      </c>
      <c r="M2067" s="1">
        <v>3.7338200490921701E-3</v>
      </c>
      <c r="N2067">
        <v>1238.64453125</v>
      </c>
      <c r="O2067">
        <v>620.32950000000005</v>
      </c>
      <c r="P2067">
        <v>1238.64074707031</v>
      </c>
      <c r="Q2067">
        <v>620.32763671875</v>
      </c>
      <c r="R2067">
        <v>2</v>
      </c>
      <c r="S2067">
        <v>1</v>
      </c>
      <c r="T2067">
        <v>10</v>
      </c>
      <c r="U2067">
        <v>37.967550000000003</v>
      </c>
      <c r="V2067">
        <v>186581.9</v>
      </c>
    </row>
    <row r="2068" spans="1:22" x14ac:dyDescent="0.25">
      <c r="A2068" t="s">
        <v>4122</v>
      </c>
      <c r="B2068" t="s">
        <v>4123</v>
      </c>
      <c r="C2068">
        <v>525</v>
      </c>
      <c r="D2068">
        <v>99</v>
      </c>
      <c r="E2068">
        <v>99</v>
      </c>
      <c r="F2068" t="s">
        <v>4124</v>
      </c>
      <c r="G2068" t="s">
        <v>4124</v>
      </c>
      <c r="H2068">
        <f t="shared" si="35"/>
        <v>9</v>
      </c>
      <c r="M2068" s="1">
        <v>9.3780001625418594E-3</v>
      </c>
      <c r="N2068">
        <v>1694.88342285156</v>
      </c>
      <c r="O2068">
        <v>848.44899999999905</v>
      </c>
      <c r="P2068">
        <v>1694.8740234375</v>
      </c>
      <c r="Q2068">
        <v>848.44427490234295</v>
      </c>
      <c r="R2068">
        <v>2</v>
      </c>
      <c r="S2068">
        <v>1</v>
      </c>
      <c r="T2068">
        <v>12</v>
      </c>
      <c r="U2068">
        <v>34.863500000000002</v>
      </c>
      <c r="V2068">
        <v>168110.2</v>
      </c>
    </row>
    <row r="2069" spans="1:22" x14ac:dyDescent="0.25">
      <c r="A2069" t="s">
        <v>3882</v>
      </c>
      <c r="B2069" t="s">
        <v>3883</v>
      </c>
      <c r="C2069">
        <v>1409</v>
      </c>
      <c r="D2069">
        <v>99</v>
      </c>
      <c r="E2069">
        <v>99</v>
      </c>
      <c r="F2069" t="s">
        <v>3884</v>
      </c>
      <c r="G2069" t="s">
        <v>3884</v>
      </c>
      <c r="H2069">
        <f t="shared" si="35"/>
        <v>16</v>
      </c>
      <c r="M2069" s="1">
        <v>5.8798899408429904E-4</v>
      </c>
      <c r="N2069">
        <v>1272.61450195313</v>
      </c>
      <c r="O2069">
        <v>637.31449999999904</v>
      </c>
      <c r="P2069">
        <v>1272.61389160156</v>
      </c>
      <c r="Q2069">
        <v>637.314208984375</v>
      </c>
      <c r="R2069">
        <v>2</v>
      </c>
      <c r="S2069">
        <v>1</v>
      </c>
      <c r="T2069">
        <v>10</v>
      </c>
      <c r="U2069">
        <v>31.080179999999899</v>
      </c>
      <c r="V2069">
        <v>546213.5</v>
      </c>
    </row>
    <row r="2070" spans="1:22" x14ac:dyDescent="0.25">
      <c r="A2070" t="s">
        <v>4388</v>
      </c>
      <c r="B2070" t="s">
        <v>4389</v>
      </c>
      <c r="C2070">
        <v>406</v>
      </c>
      <c r="D2070">
        <v>97.2</v>
      </c>
      <c r="E2070">
        <v>97.16</v>
      </c>
      <c r="F2070" t="s">
        <v>4390</v>
      </c>
      <c r="G2070" t="s">
        <v>4390</v>
      </c>
      <c r="H2070">
        <f t="shared" si="35"/>
        <v>9</v>
      </c>
      <c r="M2070" s="1">
        <v>1.76706002093852E-3</v>
      </c>
      <c r="N2070">
        <v>1114.62268066406</v>
      </c>
      <c r="O2070">
        <v>558.31859999999904</v>
      </c>
      <c r="P2070">
        <v>1114.62084960938</v>
      </c>
      <c r="Q2070">
        <v>558.31774902343705</v>
      </c>
      <c r="R2070">
        <v>2</v>
      </c>
      <c r="S2070">
        <v>1</v>
      </c>
      <c r="T2070">
        <v>13</v>
      </c>
      <c r="U2070">
        <v>21.99887</v>
      </c>
      <c r="V2070">
        <v>1183573</v>
      </c>
    </row>
    <row r="2071" spans="1:22" x14ac:dyDescent="0.25">
      <c r="A2071" t="s">
        <v>947</v>
      </c>
      <c r="B2071" t="s">
        <v>948</v>
      </c>
      <c r="C2071">
        <v>228</v>
      </c>
      <c r="D2071">
        <v>99</v>
      </c>
      <c r="E2071">
        <v>99</v>
      </c>
      <c r="F2071" t="s">
        <v>949</v>
      </c>
      <c r="G2071" t="s">
        <v>949</v>
      </c>
      <c r="H2071">
        <f t="shared" si="35"/>
        <v>18</v>
      </c>
      <c r="M2071" s="1">
        <v>3.6957298871129699E-3</v>
      </c>
      <c r="N2071">
        <v>994.552490234375</v>
      </c>
      <c r="O2071">
        <v>498.2835</v>
      </c>
      <c r="P2071">
        <v>994.54876708984295</v>
      </c>
      <c r="Q2071">
        <v>498.28164672851602</v>
      </c>
      <c r="R2071">
        <v>2</v>
      </c>
      <c r="S2071">
        <v>2</v>
      </c>
      <c r="T2071">
        <v>11</v>
      </c>
      <c r="U2071">
        <v>39.215829999999897</v>
      </c>
      <c r="V2071">
        <v>266528.90000000002</v>
      </c>
    </row>
    <row r="2072" spans="1:22" x14ac:dyDescent="0.25">
      <c r="A2072" t="s">
        <v>947</v>
      </c>
      <c r="B2072" t="s">
        <v>948</v>
      </c>
      <c r="C2072">
        <v>230</v>
      </c>
      <c r="D2072">
        <v>99</v>
      </c>
      <c r="E2072">
        <v>99</v>
      </c>
      <c r="F2072" t="s">
        <v>950</v>
      </c>
      <c r="G2072" t="s">
        <v>950</v>
      </c>
      <c r="H2072">
        <f t="shared" si="35"/>
        <v>13</v>
      </c>
      <c r="M2072">
        <v>2.7750000000000001E-3</v>
      </c>
      <c r="N2072">
        <v>1024.56213378906</v>
      </c>
      <c r="O2072">
        <v>513.28830000000005</v>
      </c>
      <c r="P2072">
        <v>1024.55932617188</v>
      </c>
      <c r="Q2072">
        <v>513.28692626953102</v>
      </c>
      <c r="R2072">
        <v>2</v>
      </c>
      <c r="S2072">
        <v>1</v>
      </c>
      <c r="T2072">
        <v>11</v>
      </c>
      <c r="U2072">
        <v>41.451250000000002</v>
      </c>
      <c r="V2072">
        <v>6363408</v>
      </c>
    </row>
    <row r="2073" spans="1:22" x14ac:dyDescent="0.25">
      <c r="A2073" t="s">
        <v>3096</v>
      </c>
      <c r="B2073" t="s">
        <v>3097</v>
      </c>
      <c r="C2073">
        <v>226</v>
      </c>
      <c r="D2073">
        <v>99</v>
      </c>
      <c r="E2073">
        <v>99</v>
      </c>
      <c r="F2073" t="s">
        <v>3098</v>
      </c>
      <c r="G2073" t="s">
        <v>3098</v>
      </c>
      <c r="H2073">
        <f t="shared" si="35"/>
        <v>18</v>
      </c>
      <c r="M2073" s="1">
        <v>2.9571300838142499E-3</v>
      </c>
      <c r="N2073">
        <v>1076.64123535156</v>
      </c>
      <c r="O2073">
        <v>539.3279</v>
      </c>
      <c r="P2073">
        <v>1076.63830566406</v>
      </c>
      <c r="Q2073">
        <v>539.326416015625</v>
      </c>
      <c r="R2073">
        <v>2</v>
      </c>
      <c r="S2073">
        <v>2</v>
      </c>
      <c r="T2073">
        <v>12</v>
      </c>
      <c r="U2073">
        <v>47.579279999999898</v>
      </c>
      <c r="V2073">
        <v>1666340</v>
      </c>
    </row>
    <row r="2074" spans="1:22" x14ac:dyDescent="0.25">
      <c r="A2074" t="s">
        <v>3096</v>
      </c>
      <c r="B2074" t="s">
        <v>3097</v>
      </c>
      <c r="C2074">
        <v>228</v>
      </c>
      <c r="D2074">
        <v>99</v>
      </c>
      <c r="E2074">
        <v>99</v>
      </c>
      <c r="F2074" t="s">
        <v>3099</v>
      </c>
      <c r="G2074" t="s">
        <v>3099</v>
      </c>
      <c r="H2074">
        <f t="shared" si="35"/>
        <v>16</v>
      </c>
      <c r="M2074" s="1">
        <v>3.5155999939888599E-3</v>
      </c>
      <c r="N2074">
        <v>994.51190185546795</v>
      </c>
      <c r="O2074">
        <v>498.26319999999902</v>
      </c>
      <c r="P2074">
        <v>994.50836181640602</v>
      </c>
      <c r="Q2074">
        <v>498.26144409179602</v>
      </c>
      <c r="R2074">
        <v>2</v>
      </c>
      <c r="S2074">
        <v>1</v>
      </c>
      <c r="T2074">
        <v>10</v>
      </c>
      <c r="U2074">
        <v>27.570799999999899</v>
      </c>
      <c r="V2074">
        <v>849795.8</v>
      </c>
    </row>
    <row r="2075" spans="1:22" x14ac:dyDescent="0.25">
      <c r="A2075" t="s">
        <v>3096</v>
      </c>
      <c r="B2075" t="s">
        <v>3097</v>
      </c>
      <c r="C2075">
        <v>228</v>
      </c>
      <c r="D2075">
        <v>97.4</v>
      </c>
      <c r="E2075">
        <v>97.44</v>
      </c>
      <c r="F2075" t="s">
        <v>3100</v>
      </c>
      <c r="G2075" t="s">
        <v>3100</v>
      </c>
      <c r="H2075">
        <f t="shared" si="35"/>
        <v>15</v>
      </c>
      <c r="M2075" s="1">
        <v>3.0461798887699699E-3</v>
      </c>
      <c r="N2075">
        <v>1056.59985351563</v>
      </c>
      <c r="O2075">
        <v>529.30719999999906</v>
      </c>
      <c r="P2075">
        <v>1056.59680175781</v>
      </c>
      <c r="Q2075">
        <v>529.3056640625</v>
      </c>
      <c r="R2075">
        <v>2</v>
      </c>
      <c r="S2075">
        <v>2</v>
      </c>
      <c r="T2075">
        <v>12</v>
      </c>
      <c r="U2075">
        <v>34.898800000000001</v>
      </c>
      <c r="V2075">
        <v>3307776</v>
      </c>
    </row>
    <row r="2076" spans="1:22" x14ac:dyDescent="0.25">
      <c r="A2076" t="s">
        <v>3096</v>
      </c>
      <c r="B2076" t="s">
        <v>3097</v>
      </c>
      <c r="C2076">
        <v>226</v>
      </c>
      <c r="D2076">
        <v>99</v>
      </c>
      <c r="E2076">
        <v>99</v>
      </c>
      <c r="F2076" t="s">
        <v>3098</v>
      </c>
      <c r="G2076" t="s">
        <v>3098</v>
      </c>
      <c r="H2076">
        <f t="shared" si="35"/>
        <v>18</v>
      </c>
      <c r="L2076" t="s">
        <v>47</v>
      </c>
      <c r="M2076" s="1">
        <v>-1.5962800011038801E-2</v>
      </c>
      <c r="N2076">
        <v>1663.677734375</v>
      </c>
      <c r="O2076">
        <v>832.84609999999896</v>
      </c>
      <c r="P2076">
        <v>1663.69372558594</v>
      </c>
      <c r="Q2076">
        <v>832.85412597656205</v>
      </c>
      <c r="R2076">
        <v>2</v>
      </c>
      <c r="S2076">
        <v>2</v>
      </c>
      <c r="T2076">
        <v>15</v>
      </c>
      <c r="U2076">
        <v>40.431350000000002</v>
      </c>
      <c r="V2076">
        <v>375602.6</v>
      </c>
    </row>
    <row r="2077" spans="1:22" x14ac:dyDescent="0.25">
      <c r="A2077" t="s">
        <v>3876</v>
      </c>
      <c r="B2077" t="s">
        <v>3877</v>
      </c>
      <c r="C2077">
        <v>541</v>
      </c>
      <c r="D2077">
        <v>99</v>
      </c>
      <c r="E2077">
        <v>99</v>
      </c>
      <c r="F2077" t="s">
        <v>3878</v>
      </c>
      <c r="G2077" t="s">
        <v>3878</v>
      </c>
      <c r="H2077">
        <f t="shared" si="35"/>
        <v>9</v>
      </c>
      <c r="M2077" s="1">
        <v>2.79904995113611E-3</v>
      </c>
      <c r="N2077">
        <v>1204.63427734375</v>
      </c>
      <c r="O2077">
        <v>603.32439999999895</v>
      </c>
      <c r="P2077">
        <v>1204.63146972656</v>
      </c>
      <c r="Q2077">
        <v>603.322998046875</v>
      </c>
      <c r="R2077">
        <v>2</v>
      </c>
      <c r="S2077">
        <v>7</v>
      </c>
      <c r="T2077">
        <v>12</v>
      </c>
      <c r="U2077">
        <v>52.982999999999898</v>
      </c>
      <c r="V2077">
        <v>2001481</v>
      </c>
    </row>
    <row r="2078" spans="1:22" x14ac:dyDescent="0.25">
      <c r="A2078" t="s">
        <v>4287</v>
      </c>
      <c r="B2078" t="s">
        <v>4288</v>
      </c>
      <c r="C2078">
        <v>317</v>
      </c>
      <c r="D2078">
        <v>98</v>
      </c>
      <c r="E2078">
        <v>97.99</v>
      </c>
      <c r="F2078" t="s">
        <v>4289</v>
      </c>
      <c r="G2078" t="s">
        <v>4289</v>
      </c>
      <c r="H2078">
        <f t="shared" si="35"/>
        <v>15</v>
      </c>
      <c r="L2078" t="s">
        <v>378</v>
      </c>
      <c r="M2078" s="1">
        <v>7.6205600053072002E-3</v>
      </c>
      <c r="N2078">
        <v>1855.95129394531</v>
      </c>
      <c r="O2078">
        <v>619.65769999999895</v>
      </c>
      <c r="P2078">
        <v>1855.94372558594</v>
      </c>
      <c r="Q2078">
        <v>619.65515136718705</v>
      </c>
      <c r="R2078">
        <v>3</v>
      </c>
      <c r="S2078">
        <v>1</v>
      </c>
      <c r="T2078">
        <v>12</v>
      </c>
      <c r="U2078">
        <v>31.112200000000001</v>
      </c>
      <c r="V2078">
        <v>281983.5</v>
      </c>
    </row>
    <row r="2079" spans="1:22" x14ac:dyDescent="0.25">
      <c r="A2079" t="s">
        <v>4454</v>
      </c>
      <c r="B2079" t="s">
        <v>4455</v>
      </c>
      <c r="C2079">
        <v>194</v>
      </c>
      <c r="D2079">
        <v>98.6</v>
      </c>
      <c r="E2079">
        <v>98.64</v>
      </c>
      <c r="F2079" t="s">
        <v>4456</v>
      </c>
      <c r="G2079" t="s">
        <v>4456</v>
      </c>
      <c r="H2079">
        <f t="shared" si="35"/>
        <v>9</v>
      </c>
      <c r="M2079" s="1">
        <v>3.0912898946553399E-3</v>
      </c>
      <c r="N2079">
        <v>1133.69921875</v>
      </c>
      <c r="O2079">
        <v>567.8569</v>
      </c>
      <c r="P2079">
        <v>1133.69604492188</v>
      </c>
      <c r="Q2079">
        <v>567.85534667968705</v>
      </c>
      <c r="R2079">
        <v>2</v>
      </c>
      <c r="S2079">
        <v>8</v>
      </c>
      <c r="T2079">
        <v>10</v>
      </c>
      <c r="U2079">
        <v>38.386920000000003</v>
      </c>
      <c r="V2079">
        <v>86029.34</v>
      </c>
    </row>
    <row r="2080" spans="1:22" x14ac:dyDescent="0.25">
      <c r="A2080" t="s">
        <v>3145</v>
      </c>
      <c r="B2080" t="s">
        <v>3146</v>
      </c>
      <c r="C2080">
        <v>1043</v>
      </c>
      <c r="D2080">
        <v>99</v>
      </c>
      <c r="E2080">
        <v>99</v>
      </c>
      <c r="F2080" t="s">
        <v>3147</v>
      </c>
      <c r="G2080" t="s">
        <v>3147</v>
      </c>
      <c r="H2080">
        <f t="shared" si="35"/>
        <v>9</v>
      </c>
      <c r="M2080" s="1">
        <v>1.3566799461841601E-3</v>
      </c>
      <c r="N2080">
        <v>1090.57849121094</v>
      </c>
      <c r="O2080">
        <v>546.29650000000004</v>
      </c>
      <c r="P2080">
        <v>1090.5771484375</v>
      </c>
      <c r="Q2080">
        <v>546.29583740234295</v>
      </c>
      <c r="R2080">
        <v>2</v>
      </c>
      <c r="S2080">
        <v>1</v>
      </c>
      <c r="T2080">
        <v>13</v>
      </c>
      <c r="U2080">
        <v>39.056730000000002</v>
      </c>
      <c r="V2080">
        <v>1124342</v>
      </c>
    </row>
    <row r="2081" spans="1:22" x14ac:dyDescent="0.25">
      <c r="A2081" t="s">
        <v>3361</v>
      </c>
      <c r="B2081" t="s">
        <v>3362</v>
      </c>
      <c r="C2081">
        <v>275</v>
      </c>
      <c r="D2081">
        <v>99</v>
      </c>
      <c r="E2081">
        <v>99</v>
      </c>
      <c r="F2081" t="s">
        <v>3363</v>
      </c>
      <c r="G2081" t="s">
        <v>3363</v>
      </c>
      <c r="H2081">
        <f t="shared" si="35"/>
        <v>9</v>
      </c>
      <c r="M2081">
        <v>2.1280000000000001E-3</v>
      </c>
      <c r="N2081">
        <v>1200.52551269531</v>
      </c>
      <c r="O2081">
        <v>601.27</v>
      </c>
      <c r="P2081">
        <v>1200.52331542969</v>
      </c>
      <c r="Q2081">
        <v>601.26898193359295</v>
      </c>
      <c r="R2081">
        <v>2</v>
      </c>
      <c r="S2081">
        <v>1</v>
      </c>
      <c r="T2081">
        <v>14</v>
      </c>
      <c r="U2081">
        <v>29.438980000000001</v>
      </c>
      <c r="V2081">
        <v>174364.6</v>
      </c>
    </row>
    <row r="2082" spans="1:22" x14ac:dyDescent="0.25">
      <c r="A2082" t="s">
        <v>3193</v>
      </c>
      <c r="B2082" t="s">
        <v>3194</v>
      </c>
      <c r="C2082">
        <v>2044</v>
      </c>
      <c r="D2082">
        <v>97.1</v>
      </c>
      <c r="E2082">
        <v>97.11</v>
      </c>
      <c r="F2082" t="s">
        <v>3195</v>
      </c>
      <c r="G2082" t="s">
        <v>3195</v>
      </c>
      <c r="H2082">
        <f t="shared" si="35"/>
        <v>9</v>
      </c>
      <c r="M2082" s="1">
        <v>4.8150098882615601E-3</v>
      </c>
      <c r="N2082">
        <v>991.57507324218705</v>
      </c>
      <c r="O2082">
        <v>496.79480000000001</v>
      </c>
      <c r="P2082">
        <v>991.57025146484295</v>
      </c>
      <c r="Q2082">
        <v>496.79238891601602</v>
      </c>
      <c r="R2082">
        <v>2</v>
      </c>
      <c r="S2082">
        <v>1</v>
      </c>
      <c r="T2082">
        <v>11</v>
      </c>
      <c r="U2082">
        <v>25.8611</v>
      </c>
      <c r="V2082">
        <v>239768.9</v>
      </c>
    </row>
    <row r="2083" spans="1:22" x14ac:dyDescent="0.25">
      <c r="A2083" t="s">
        <v>2217</v>
      </c>
      <c r="B2083" t="s">
        <v>2218</v>
      </c>
      <c r="C2083">
        <v>103</v>
      </c>
      <c r="D2083">
        <v>98.9</v>
      </c>
      <c r="E2083">
        <v>98.93</v>
      </c>
      <c r="F2083" t="s">
        <v>2219</v>
      </c>
      <c r="G2083" t="s">
        <v>2219</v>
      </c>
      <c r="H2083">
        <f t="shared" si="35"/>
        <v>17</v>
      </c>
      <c r="M2083" s="1">
        <v>5.4294997826218501E-3</v>
      </c>
      <c r="N2083">
        <v>1098.57641601563</v>
      </c>
      <c r="O2083">
        <v>550.29549999999904</v>
      </c>
      <c r="P2083">
        <v>1098.57092285156</v>
      </c>
      <c r="Q2083">
        <v>550.29278564453102</v>
      </c>
      <c r="R2083">
        <v>2</v>
      </c>
      <c r="S2083">
        <v>1</v>
      </c>
      <c r="T2083">
        <v>12</v>
      </c>
      <c r="U2083">
        <v>43.572980000000001</v>
      </c>
      <c r="V2083">
        <v>142044.9</v>
      </c>
    </row>
    <row r="2084" spans="1:22" x14ac:dyDescent="0.25">
      <c r="A2084" t="s">
        <v>2086</v>
      </c>
      <c r="B2084" t="s">
        <v>2087</v>
      </c>
      <c r="C2084">
        <v>118</v>
      </c>
      <c r="D2084">
        <v>99</v>
      </c>
      <c r="E2084">
        <v>99</v>
      </c>
      <c r="F2084" t="s">
        <v>2088</v>
      </c>
      <c r="G2084" t="s">
        <v>2088</v>
      </c>
      <c r="H2084">
        <f t="shared" si="35"/>
        <v>16</v>
      </c>
      <c r="M2084" s="1">
        <v>2.7716800104826702E-3</v>
      </c>
      <c r="N2084">
        <v>1262.58471679688</v>
      </c>
      <c r="O2084">
        <v>632.29960000000005</v>
      </c>
      <c r="P2084">
        <v>1262.58190917969</v>
      </c>
      <c r="Q2084">
        <v>632.29821777343705</v>
      </c>
      <c r="R2084">
        <v>2</v>
      </c>
      <c r="S2084">
        <v>2</v>
      </c>
      <c r="T2084">
        <v>10</v>
      </c>
      <c r="U2084">
        <v>42.624850000000002</v>
      </c>
      <c r="V2084">
        <v>179442.4</v>
      </c>
    </row>
    <row r="2085" spans="1:22" x14ac:dyDescent="0.25">
      <c r="A2085" t="s">
        <v>2086</v>
      </c>
      <c r="B2085" t="s">
        <v>2087</v>
      </c>
      <c r="C2085">
        <v>733</v>
      </c>
      <c r="D2085">
        <v>99</v>
      </c>
      <c r="E2085">
        <v>99</v>
      </c>
      <c r="F2085" t="s">
        <v>2089</v>
      </c>
      <c r="G2085" t="s">
        <v>2089</v>
      </c>
      <c r="H2085">
        <f t="shared" si="35"/>
        <v>12</v>
      </c>
      <c r="M2085" s="1">
        <v>4.3120500631630403E-3</v>
      </c>
      <c r="N2085">
        <v>1539.6826171875</v>
      </c>
      <c r="O2085">
        <v>770.84860000000003</v>
      </c>
      <c r="P2085">
        <v>1539.67822265625</v>
      </c>
      <c r="Q2085">
        <v>770.846435546875</v>
      </c>
      <c r="R2085">
        <v>2</v>
      </c>
      <c r="S2085">
        <v>1</v>
      </c>
      <c r="T2085">
        <v>8</v>
      </c>
      <c r="U2085">
        <v>36.925249999999899</v>
      </c>
      <c r="V2085">
        <v>75494.27</v>
      </c>
    </row>
    <row r="2086" spans="1:22" x14ac:dyDescent="0.25">
      <c r="A2086" t="s">
        <v>3804</v>
      </c>
      <c r="B2086" t="s">
        <v>3805</v>
      </c>
      <c r="C2086">
        <v>124</v>
      </c>
      <c r="D2086">
        <v>97.6</v>
      </c>
      <c r="E2086">
        <v>97.64</v>
      </c>
      <c r="F2086" t="s">
        <v>3806</v>
      </c>
      <c r="G2086" t="s">
        <v>3806</v>
      </c>
      <c r="H2086">
        <f t="shared" si="35"/>
        <v>9</v>
      </c>
      <c r="M2086" s="1">
        <v>2.9674500692635801E-3</v>
      </c>
      <c r="N2086">
        <v>1053.55249023438</v>
      </c>
      <c r="O2086">
        <v>527.7835</v>
      </c>
      <c r="P2086">
        <v>1053.54943847656</v>
      </c>
      <c r="Q2086">
        <v>527.78204345703102</v>
      </c>
      <c r="R2086">
        <v>2</v>
      </c>
      <c r="S2086">
        <v>1</v>
      </c>
      <c r="T2086">
        <v>13</v>
      </c>
      <c r="U2086">
        <v>35.212600000000002</v>
      </c>
      <c r="V2086">
        <v>2855235</v>
      </c>
    </row>
    <row r="2087" spans="1:22" x14ac:dyDescent="0.25">
      <c r="A2087" t="s">
        <v>1400</v>
      </c>
      <c r="B2087" t="s">
        <v>1401</v>
      </c>
      <c r="C2087">
        <v>116</v>
      </c>
      <c r="D2087">
        <v>97.9</v>
      </c>
      <c r="E2087">
        <v>97.89</v>
      </c>
      <c r="F2087" t="s">
        <v>347</v>
      </c>
      <c r="G2087" t="s">
        <v>347</v>
      </c>
      <c r="H2087">
        <f t="shared" si="35"/>
        <v>9</v>
      </c>
      <c r="M2087" s="1">
        <v>-5.4188800277188301E-4</v>
      </c>
      <c r="N2087">
        <v>1368.71850585938</v>
      </c>
      <c r="O2087">
        <v>685.36649999999895</v>
      </c>
      <c r="P2087">
        <v>1368.71899414063</v>
      </c>
      <c r="Q2087">
        <v>685.36676025390602</v>
      </c>
      <c r="R2087">
        <v>2</v>
      </c>
      <c r="S2087">
        <v>2</v>
      </c>
      <c r="T2087">
        <v>12</v>
      </c>
      <c r="U2087">
        <v>29.29325</v>
      </c>
      <c r="V2087">
        <v>568485.1</v>
      </c>
    </row>
    <row r="2088" spans="1:22" x14ac:dyDescent="0.25">
      <c r="A2088" t="s">
        <v>1641</v>
      </c>
      <c r="B2088" t="s">
        <v>1642</v>
      </c>
      <c r="C2088">
        <v>346</v>
      </c>
      <c r="D2088">
        <v>99</v>
      </c>
      <c r="E2088">
        <v>99</v>
      </c>
      <c r="F2088" t="s">
        <v>1643</v>
      </c>
      <c r="G2088" t="s">
        <v>1643</v>
      </c>
      <c r="H2088">
        <f t="shared" si="35"/>
        <v>14</v>
      </c>
      <c r="M2088" s="1">
        <v>2.79112998396158E-3</v>
      </c>
      <c r="N2088">
        <v>992.56829833984295</v>
      </c>
      <c r="O2088">
        <v>497.29140000000001</v>
      </c>
      <c r="P2088">
        <v>992.56549072265602</v>
      </c>
      <c r="Q2088">
        <v>497.29000854492102</v>
      </c>
      <c r="R2088">
        <v>2</v>
      </c>
      <c r="S2088">
        <v>2</v>
      </c>
      <c r="T2088">
        <v>8</v>
      </c>
      <c r="U2088">
        <v>26.47063</v>
      </c>
      <c r="V2088">
        <v>294504</v>
      </c>
    </row>
    <row r="2089" spans="1:22" x14ac:dyDescent="0.25">
      <c r="A2089" t="s">
        <v>1641</v>
      </c>
      <c r="B2089" t="s">
        <v>1642</v>
      </c>
      <c r="C2089">
        <v>346</v>
      </c>
      <c r="D2089">
        <v>98.5</v>
      </c>
      <c r="E2089">
        <v>98.45</v>
      </c>
      <c r="F2089" t="s">
        <v>1643</v>
      </c>
      <c r="G2089" t="s">
        <v>1643</v>
      </c>
      <c r="H2089">
        <f t="shared" si="35"/>
        <v>14</v>
      </c>
      <c r="L2089" t="s">
        <v>43</v>
      </c>
      <c r="M2089" s="1">
        <v>1.63559999782591E-3</v>
      </c>
      <c r="N2089">
        <v>1756.8681640625</v>
      </c>
      <c r="O2089">
        <v>586.63</v>
      </c>
      <c r="P2089">
        <v>1756.86657714844</v>
      </c>
      <c r="Q2089">
        <v>586.62945556640602</v>
      </c>
      <c r="R2089">
        <v>3</v>
      </c>
      <c r="S2089">
        <v>1</v>
      </c>
      <c r="T2089">
        <v>11</v>
      </c>
      <c r="U2089">
        <v>18.335719999999899</v>
      </c>
      <c r="V2089">
        <v>262683</v>
      </c>
    </row>
    <row r="2090" spans="1:22" x14ac:dyDescent="0.25">
      <c r="A2090" t="s">
        <v>3953</v>
      </c>
      <c r="B2090" t="s">
        <v>3954</v>
      </c>
      <c r="C2090">
        <v>149</v>
      </c>
      <c r="D2090">
        <v>99</v>
      </c>
      <c r="E2090">
        <v>99</v>
      </c>
      <c r="F2090" t="s">
        <v>3955</v>
      </c>
      <c r="G2090" t="s">
        <v>3955</v>
      </c>
      <c r="H2090">
        <f t="shared" si="35"/>
        <v>15</v>
      </c>
      <c r="M2090" s="1">
        <v>7.9404795542359404E-3</v>
      </c>
      <c r="N2090">
        <v>1164.55712890625</v>
      </c>
      <c r="O2090">
        <v>583.28579999999897</v>
      </c>
      <c r="P2090">
        <v>1164.54919433594</v>
      </c>
      <c r="Q2090">
        <v>583.28186035156205</v>
      </c>
      <c r="R2090">
        <v>2</v>
      </c>
      <c r="S2090">
        <v>5</v>
      </c>
      <c r="T2090">
        <v>11</v>
      </c>
      <c r="U2090">
        <v>49.10528</v>
      </c>
      <c r="V2090">
        <v>11304380</v>
      </c>
    </row>
    <row r="2091" spans="1:22" x14ac:dyDescent="0.25">
      <c r="A2091" t="s">
        <v>394</v>
      </c>
      <c r="B2091" t="s">
        <v>395</v>
      </c>
      <c r="C2091">
        <v>516</v>
      </c>
      <c r="D2091">
        <v>99</v>
      </c>
      <c r="E2091">
        <v>99</v>
      </c>
      <c r="F2091" t="s">
        <v>2286</v>
      </c>
      <c r="G2091" t="s">
        <v>2286</v>
      </c>
      <c r="H2091">
        <f t="shared" si="35"/>
        <v>15</v>
      </c>
      <c r="M2091" s="1">
        <v>3.6105399485677398E-3</v>
      </c>
      <c r="N2091">
        <v>1203.63244628906</v>
      </c>
      <c r="O2091">
        <v>602.82349999999894</v>
      </c>
      <c r="P2091">
        <v>1203.62878417969</v>
      </c>
      <c r="Q2091">
        <v>602.82165527343705</v>
      </c>
      <c r="R2091">
        <v>2</v>
      </c>
      <c r="S2091">
        <v>1</v>
      </c>
      <c r="T2091">
        <v>11</v>
      </c>
      <c r="U2091">
        <v>30.339849999999899</v>
      </c>
      <c r="V2091">
        <v>1632022</v>
      </c>
    </row>
    <row r="2092" spans="1:22" x14ac:dyDescent="0.25">
      <c r="A2092" t="s">
        <v>3424</v>
      </c>
      <c r="B2092" t="s">
        <v>3425</v>
      </c>
      <c r="C2092">
        <v>357</v>
      </c>
      <c r="D2092">
        <v>99</v>
      </c>
      <c r="E2092">
        <v>99</v>
      </c>
      <c r="F2092" t="s">
        <v>3426</v>
      </c>
      <c r="G2092" t="s">
        <v>3426</v>
      </c>
      <c r="H2092">
        <f t="shared" si="35"/>
        <v>13</v>
      </c>
      <c r="M2092" s="1">
        <v>2.4426199961453598E-3</v>
      </c>
      <c r="N2092">
        <v>1091.615234375</v>
      </c>
      <c r="O2092">
        <v>546.81489999999906</v>
      </c>
      <c r="P2092">
        <v>1091.61279296875</v>
      </c>
      <c r="Q2092">
        <v>546.81365966796795</v>
      </c>
      <c r="R2092">
        <v>2</v>
      </c>
      <c r="S2092">
        <v>2</v>
      </c>
      <c r="T2092">
        <v>9</v>
      </c>
      <c r="U2092">
        <v>46.999299999999899</v>
      </c>
      <c r="V2092">
        <v>385886.5</v>
      </c>
    </row>
    <row r="2093" spans="1:22" x14ac:dyDescent="0.25">
      <c r="A2093" t="s">
        <v>3427</v>
      </c>
      <c r="B2093" t="s">
        <v>3428</v>
      </c>
      <c r="C2093">
        <v>386</v>
      </c>
      <c r="D2093">
        <v>99</v>
      </c>
      <c r="E2093">
        <v>99</v>
      </c>
      <c r="F2093" t="s">
        <v>3429</v>
      </c>
      <c r="G2093" t="s">
        <v>3429</v>
      </c>
      <c r="H2093">
        <f t="shared" si="35"/>
        <v>9</v>
      </c>
      <c r="M2093">
        <v>8.3999999999999995E-5</v>
      </c>
      <c r="N2093">
        <v>1141.66088867188</v>
      </c>
      <c r="O2093">
        <v>571.83770000000004</v>
      </c>
      <c r="P2093">
        <v>1141.66076660156</v>
      </c>
      <c r="Q2093">
        <v>571.837646484375</v>
      </c>
      <c r="R2093">
        <v>2</v>
      </c>
      <c r="S2093">
        <v>1</v>
      </c>
      <c r="T2093">
        <v>13</v>
      </c>
      <c r="U2093">
        <v>21.248529999999899</v>
      </c>
      <c r="V2093">
        <v>276666.2</v>
      </c>
    </row>
    <row r="2094" spans="1:22" x14ac:dyDescent="0.25">
      <c r="A2094" t="s">
        <v>3297</v>
      </c>
      <c r="B2094" t="s">
        <v>3298</v>
      </c>
      <c r="C2094">
        <v>399</v>
      </c>
      <c r="D2094">
        <v>99</v>
      </c>
      <c r="E2094">
        <v>99</v>
      </c>
      <c r="F2094" t="s">
        <v>3299</v>
      </c>
      <c r="G2094" t="s">
        <v>3299</v>
      </c>
      <c r="H2094">
        <f t="shared" si="35"/>
        <v>16</v>
      </c>
      <c r="M2094" s="1">
        <v>-2.3626498878002201E-3</v>
      </c>
      <c r="N2094">
        <v>1265.70092773438</v>
      </c>
      <c r="O2094">
        <v>422.9076</v>
      </c>
      <c r="P2094">
        <v>1265.70336914063</v>
      </c>
      <c r="Q2094">
        <v>422.90838623046801</v>
      </c>
      <c r="R2094">
        <v>3</v>
      </c>
      <c r="S2094">
        <v>3</v>
      </c>
      <c r="T2094">
        <v>10</v>
      </c>
      <c r="U2094">
        <v>33.384030000000003</v>
      </c>
      <c r="V2094">
        <v>279702.09999999899</v>
      </c>
    </row>
    <row r="2095" spans="1:22" x14ac:dyDescent="0.25">
      <c r="A2095" t="s">
        <v>3297</v>
      </c>
      <c r="B2095" t="s">
        <v>3298</v>
      </c>
      <c r="C2095">
        <v>587</v>
      </c>
      <c r="D2095">
        <v>99</v>
      </c>
      <c r="E2095">
        <v>99</v>
      </c>
      <c r="F2095" t="s">
        <v>3300</v>
      </c>
      <c r="G2095" t="s">
        <v>3300</v>
      </c>
      <c r="H2095">
        <f t="shared" si="35"/>
        <v>9</v>
      </c>
      <c r="M2095" s="1">
        <v>5.3493501618504403E-3</v>
      </c>
      <c r="N2095">
        <v>1483.73608398438</v>
      </c>
      <c r="O2095">
        <v>742.87530000000004</v>
      </c>
      <c r="P2095">
        <v>1483.73071289063</v>
      </c>
      <c r="Q2095">
        <v>742.87261962890602</v>
      </c>
      <c r="R2095">
        <v>2</v>
      </c>
      <c r="S2095">
        <v>1</v>
      </c>
      <c r="T2095">
        <v>9</v>
      </c>
      <c r="U2095">
        <v>40.719830000000002</v>
      </c>
      <c r="V2095">
        <v>149205.299999999</v>
      </c>
    </row>
    <row r="2096" spans="1:22" x14ac:dyDescent="0.25">
      <c r="A2096" t="s">
        <v>3074</v>
      </c>
      <c r="B2096" t="s">
        <v>3075</v>
      </c>
      <c r="C2096">
        <v>609</v>
      </c>
      <c r="D2096">
        <v>97.1</v>
      </c>
      <c r="E2096">
        <v>97.09</v>
      </c>
      <c r="F2096" t="s">
        <v>463</v>
      </c>
      <c r="G2096" t="s">
        <v>463</v>
      </c>
      <c r="H2096">
        <f t="shared" si="35"/>
        <v>9</v>
      </c>
      <c r="M2096" s="1">
        <v>4.3509202077984801E-3</v>
      </c>
      <c r="N2096">
        <v>1117.69030761719</v>
      </c>
      <c r="O2096">
        <v>559.85239999999897</v>
      </c>
      <c r="P2096">
        <v>1117.68591308594</v>
      </c>
      <c r="Q2096">
        <v>559.85021972656205</v>
      </c>
      <c r="R2096">
        <v>2</v>
      </c>
      <c r="S2096">
        <v>2</v>
      </c>
      <c r="T2096">
        <v>10</v>
      </c>
      <c r="U2096">
        <v>52.299509999999898</v>
      </c>
      <c r="V2096">
        <v>215855.5</v>
      </c>
    </row>
    <row r="2097" spans="1:22" x14ac:dyDescent="0.25">
      <c r="A2097" t="s">
        <v>3074</v>
      </c>
      <c r="B2097" t="s">
        <v>3075</v>
      </c>
      <c r="C2097">
        <v>921</v>
      </c>
      <c r="D2097">
        <v>99</v>
      </c>
      <c r="E2097">
        <v>99</v>
      </c>
      <c r="F2097" t="s">
        <v>3076</v>
      </c>
      <c r="G2097" t="s">
        <v>3076</v>
      </c>
      <c r="H2097">
        <f t="shared" si="35"/>
        <v>9</v>
      </c>
      <c r="M2097" s="1">
        <v>1.23321004211903E-2</v>
      </c>
      <c r="N2097">
        <v>1687.78869628906</v>
      </c>
      <c r="O2097">
        <v>844.90160000000003</v>
      </c>
      <c r="P2097">
        <v>1687.7763671875</v>
      </c>
      <c r="Q2097">
        <v>844.89544677734295</v>
      </c>
      <c r="R2097">
        <v>2</v>
      </c>
      <c r="S2097">
        <v>1</v>
      </c>
      <c r="T2097">
        <v>9</v>
      </c>
      <c r="U2097">
        <v>43.659779999999898</v>
      </c>
      <c r="V2097">
        <v>85166.720000000001</v>
      </c>
    </row>
    <row r="2098" spans="1:22" x14ac:dyDescent="0.25">
      <c r="A2098" t="s">
        <v>923</v>
      </c>
      <c r="B2098" t="s">
        <v>924</v>
      </c>
      <c r="C2098">
        <v>562</v>
      </c>
      <c r="D2098">
        <v>98.2</v>
      </c>
      <c r="E2098">
        <v>98.24</v>
      </c>
      <c r="F2098" t="s">
        <v>925</v>
      </c>
      <c r="G2098" t="s">
        <v>925</v>
      </c>
      <c r="H2098">
        <f t="shared" si="35"/>
        <v>17</v>
      </c>
      <c r="M2098" s="1">
        <v>1.69370998628438E-3</v>
      </c>
      <c r="N2098">
        <v>1564.8154296875</v>
      </c>
      <c r="O2098">
        <v>783.41499999999905</v>
      </c>
      <c r="P2098">
        <v>1564.81372070313</v>
      </c>
      <c r="Q2098">
        <v>783.41412353515602</v>
      </c>
      <c r="R2098">
        <v>2</v>
      </c>
      <c r="S2098">
        <v>2</v>
      </c>
      <c r="T2098">
        <v>7</v>
      </c>
      <c r="U2098">
        <v>45.155749999999898</v>
      </c>
      <c r="V2098">
        <v>117420.6</v>
      </c>
    </row>
    <row r="2099" spans="1:22" x14ac:dyDescent="0.25">
      <c r="A2099" t="s">
        <v>3459</v>
      </c>
      <c r="B2099" t="s">
        <v>3460</v>
      </c>
      <c r="C2099">
        <v>412</v>
      </c>
      <c r="D2099">
        <v>98</v>
      </c>
      <c r="E2099">
        <v>98.01</v>
      </c>
      <c r="F2099" t="s">
        <v>3461</v>
      </c>
      <c r="G2099" t="s">
        <v>3461</v>
      </c>
      <c r="H2099">
        <f t="shared" si="35"/>
        <v>9</v>
      </c>
      <c r="M2099" s="1">
        <v>1.45840004552155E-3</v>
      </c>
      <c r="N2099">
        <v>969.50469970703102</v>
      </c>
      <c r="O2099">
        <v>485.75959999999901</v>
      </c>
      <c r="P2099">
        <v>969.50323486328102</v>
      </c>
      <c r="Q2099">
        <v>485.75888061523301</v>
      </c>
      <c r="R2099">
        <v>2</v>
      </c>
      <c r="S2099">
        <v>1</v>
      </c>
      <c r="T2099">
        <v>11</v>
      </c>
      <c r="U2099">
        <v>28.8596299999999</v>
      </c>
      <c r="V2099">
        <v>430454.6</v>
      </c>
    </row>
    <row r="2100" spans="1:22" x14ac:dyDescent="0.25">
      <c r="A2100" t="s">
        <v>2921</v>
      </c>
      <c r="B2100" t="s">
        <v>2922</v>
      </c>
      <c r="C2100">
        <v>389</v>
      </c>
      <c r="D2100">
        <v>98.4</v>
      </c>
      <c r="E2100">
        <v>98.4</v>
      </c>
      <c r="F2100" t="s">
        <v>2923</v>
      </c>
      <c r="G2100" t="s">
        <v>2923</v>
      </c>
      <c r="H2100">
        <f t="shared" si="35"/>
        <v>9</v>
      </c>
      <c r="M2100" s="1">
        <v>7.9862596467137302E-3</v>
      </c>
      <c r="N2100">
        <v>1678.75549316406</v>
      </c>
      <c r="O2100">
        <v>840.38499999999897</v>
      </c>
      <c r="P2100">
        <v>1678.74743652344</v>
      </c>
      <c r="Q2100">
        <v>840.38104248046795</v>
      </c>
      <c r="R2100">
        <v>2</v>
      </c>
      <c r="S2100">
        <v>1</v>
      </c>
      <c r="T2100">
        <v>9</v>
      </c>
      <c r="U2100">
        <v>37.181069999999899</v>
      </c>
      <c r="V2100">
        <v>161839.4</v>
      </c>
    </row>
    <row r="2101" spans="1:22" x14ac:dyDescent="0.25">
      <c r="A2101" t="s">
        <v>2921</v>
      </c>
      <c r="B2101" t="s">
        <v>2922</v>
      </c>
      <c r="C2101">
        <v>389</v>
      </c>
      <c r="D2101">
        <v>99</v>
      </c>
      <c r="E2101">
        <v>99</v>
      </c>
      <c r="F2101" t="s">
        <v>2923</v>
      </c>
      <c r="G2101" t="s">
        <v>2923</v>
      </c>
      <c r="H2101">
        <f t="shared" si="35"/>
        <v>9</v>
      </c>
      <c r="L2101" t="s">
        <v>47</v>
      </c>
      <c r="M2101" s="1">
        <v>5.6114997714757902E-3</v>
      </c>
      <c r="N2101">
        <v>1881.95288085938</v>
      </c>
      <c r="O2101">
        <v>941.9837</v>
      </c>
      <c r="P2101">
        <v>1881.947265625</v>
      </c>
      <c r="Q2101">
        <v>941.98089599609295</v>
      </c>
      <c r="R2101">
        <v>2</v>
      </c>
      <c r="S2101">
        <v>1</v>
      </c>
      <c r="T2101">
        <v>9</v>
      </c>
      <c r="U2101">
        <v>45.148319999999899</v>
      </c>
      <c r="V2101">
        <v>66403.98</v>
      </c>
    </row>
    <row r="2102" spans="1:22" x14ac:dyDescent="0.25">
      <c r="A2102" t="s">
        <v>1022</v>
      </c>
      <c r="B2102" t="s">
        <v>1023</v>
      </c>
      <c r="C2102">
        <v>348</v>
      </c>
      <c r="D2102">
        <v>98.1</v>
      </c>
      <c r="E2102">
        <v>98.09</v>
      </c>
      <c r="F2102" t="s">
        <v>571</v>
      </c>
      <c r="G2102" t="s">
        <v>571</v>
      </c>
      <c r="H2102">
        <f t="shared" si="35"/>
        <v>9</v>
      </c>
      <c r="M2102" s="1">
        <v>6.1330799944698802E-3</v>
      </c>
      <c r="N2102">
        <v>1783.95703125</v>
      </c>
      <c r="O2102">
        <v>892.98580000000004</v>
      </c>
      <c r="P2102">
        <v>1783.95092773438</v>
      </c>
      <c r="Q2102">
        <v>892.98272705078102</v>
      </c>
      <c r="R2102">
        <v>2</v>
      </c>
      <c r="S2102">
        <v>2</v>
      </c>
      <c r="T2102">
        <v>13</v>
      </c>
      <c r="U2102">
        <v>52.363500000000002</v>
      </c>
      <c r="V2102">
        <v>148905.5</v>
      </c>
    </row>
    <row r="2103" spans="1:22" x14ac:dyDescent="0.25">
      <c r="A2103" t="s">
        <v>3418</v>
      </c>
      <c r="B2103" t="s">
        <v>3419</v>
      </c>
      <c r="C2103">
        <v>537</v>
      </c>
      <c r="D2103">
        <v>98.3</v>
      </c>
      <c r="E2103">
        <v>98.34</v>
      </c>
      <c r="F2103" t="s">
        <v>3420</v>
      </c>
      <c r="G2103" t="s">
        <v>3420</v>
      </c>
      <c r="H2103">
        <f t="shared" si="35"/>
        <v>9</v>
      </c>
      <c r="L2103" t="s">
        <v>295</v>
      </c>
      <c r="M2103" s="1">
        <v>1.96646992117167E-3</v>
      </c>
      <c r="N2103">
        <v>1937.94372558594</v>
      </c>
      <c r="O2103">
        <v>646.98850000000004</v>
      </c>
      <c r="P2103">
        <v>1937.94177246094</v>
      </c>
      <c r="Q2103">
        <v>646.98785400390602</v>
      </c>
      <c r="R2103">
        <v>3</v>
      </c>
      <c r="S2103">
        <v>1</v>
      </c>
      <c r="T2103">
        <v>9</v>
      </c>
      <c r="U2103">
        <v>25.317830000000001</v>
      </c>
      <c r="V2103">
        <v>163254.70000000001</v>
      </c>
    </row>
    <row r="2104" spans="1:22" x14ac:dyDescent="0.25">
      <c r="A2104" t="s">
        <v>101</v>
      </c>
      <c r="B2104" t="s">
        <v>102</v>
      </c>
      <c r="C2104">
        <v>64</v>
      </c>
      <c r="D2104">
        <v>99</v>
      </c>
      <c r="E2104">
        <v>99</v>
      </c>
      <c r="F2104" t="s">
        <v>103</v>
      </c>
      <c r="G2104" t="s">
        <v>103</v>
      </c>
      <c r="H2104">
        <f t="shared" si="35"/>
        <v>9</v>
      </c>
      <c r="M2104" s="1">
        <v>8.4488904103636707E-3</v>
      </c>
      <c r="N2104">
        <v>2044.07543945313</v>
      </c>
      <c r="O2104">
        <v>1023.045</v>
      </c>
      <c r="P2104">
        <v>2044.06701660156</v>
      </c>
      <c r="Q2104">
        <v>1023.04077148438</v>
      </c>
      <c r="R2104">
        <v>2</v>
      </c>
      <c r="S2104">
        <v>1</v>
      </c>
      <c r="T2104">
        <v>10</v>
      </c>
      <c r="U2104">
        <v>55.089320000000001</v>
      </c>
      <c r="V2104">
        <v>87294.43</v>
      </c>
    </row>
    <row r="2105" spans="1:22" x14ac:dyDescent="0.25">
      <c r="A2105" t="s">
        <v>3832</v>
      </c>
      <c r="B2105" t="s">
        <v>3833</v>
      </c>
      <c r="C2105">
        <v>429</v>
      </c>
      <c r="D2105">
        <v>99</v>
      </c>
      <c r="E2105">
        <v>99</v>
      </c>
      <c r="F2105" t="s">
        <v>3834</v>
      </c>
      <c r="G2105" t="s">
        <v>3834</v>
      </c>
      <c r="H2105">
        <f t="shared" si="35"/>
        <v>9</v>
      </c>
      <c r="M2105" s="1">
        <v>2.3146499879658201E-3</v>
      </c>
      <c r="N2105">
        <v>1293.67810058594</v>
      </c>
      <c r="O2105">
        <v>647.84630000000004</v>
      </c>
      <c r="P2105">
        <v>1293.67578125</v>
      </c>
      <c r="Q2105">
        <v>647.84515380859295</v>
      </c>
      <c r="R2105">
        <v>2</v>
      </c>
      <c r="S2105">
        <v>2</v>
      </c>
      <c r="T2105">
        <v>12</v>
      </c>
      <c r="U2105">
        <v>39.118650000000002</v>
      </c>
      <c r="V2105">
        <v>432977.7</v>
      </c>
    </row>
    <row r="2106" spans="1:22" x14ac:dyDescent="0.25">
      <c r="A2106" t="s">
        <v>1450</v>
      </c>
      <c r="B2106" t="s">
        <v>1451</v>
      </c>
      <c r="C2106">
        <v>315</v>
      </c>
      <c r="D2106">
        <v>98.3</v>
      </c>
      <c r="E2106">
        <v>98.34</v>
      </c>
      <c r="F2106" t="s">
        <v>1452</v>
      </c>
      <c r="G2106" t="s">
        <v>1452</v>
      </c>
      <c r="H2106">
        <f t="shared" si="35"/>
        <v>9</v>
      </c>
      <c r="M2106" s="1">
        <v>4.7747199423611103E-3</v>
      </c>
      <c r="N2106">
        <v>1316.66345214844</v>
      </c>
      <c r="O2106">
        <v>439.89510000000001</v>
      </c>
      <c r="P2106">
        <v>1316.65869140625</v>
      </c>
      <c r="Q2106">
        <v>439.89352416992102</v>
      </c>
      <c r="R2106">
        <v>3</v>
      </c>
      <c r="S2106">
        <v>3</v>
      </c>
      <c r="T2106">
        <v>11</v>
      </c>
      <c r="U2106">
        <v>37.692549999999898</v>
      </c>
      <c r="V2106">
        <v>341492.5</v>
      </c>
    </row>
    <row r="2107" spans="1:22" x14ac:dyDescent="0.25">
      <c r="A2107" t="s">
        <v>2841</v>
      </c>
      <c r="B2107" t="s">
        <v>2842</v>
      </c>
      <c r="C2107">
        <v>883</v>
      </c>
      <c r="D2107">
        <v>98.2</v>
      </c>
      <c r="E2107">
        <v>98.17</v>
      </c>
      <c r="F2107" t="s">
        <v>2843</v>
      </c>
      <c r="G2107" t="s">
        <v>2843</v>
      </c>
      <c r="H2107">
        <f t="shared" si="35"/>
        <v>9</v>
      </c>
      <c r="M2107" s="1">
        <v>1.8794500501826299E-3</v>
      </c>
      <c r="N2107">
        <v>1151.5888671875</v>
      </c>
      <c r="O2107">
        <v>576.80169999999896</v>
      </c>
      <c r="P2107">
        <v>1151.5869140625</v>
      </c>
      <c r="Q2107">
        <v>576.80078125</v>
      </c>
      <c r="R2107">
        <v>2</v>
      </c>
      <c r="S2107">
        <v>2</v>
      </c>
      <c r="T2107">
        <v>13</v>
      </c>
      <c r="U2107">
        <v>24.499220000000001</v>
      </c>
      <c r="V2107">
        <v>3245806</v>
      </c>
    </row>
    <row r="2108" spans="1:22" x14ac:dyDescent="0.25">
      <c r="A2108" t="s">
        <v>3648</v>
      </c>
      <c r="B2108" t="s">
        <v>3649</v>
      </c>
      <c r="C2108">
        <v>33</v>
      </c>
      <c r="D2108">
        <v>99</v>
      </c>
      <c r="E2108">
        <v>99</v>
      </c>
      <c r="F2108" t="s">
        <v>3650</v>
      </c>
      <c r="G2108" t="s">
        <v>3650</v>
      </c>
      <c r="H2108">
        <f t="shared" si="35"/>
        <v>9</v>
      </c>
      <c r="M2108" s="1">
        <v>6.0198400169611003E-3</v>
      </c>
      <c r="N2108">
        <v>1665.88269042969</v>
      </c>
      <c r="O2108">
        <v>833.94860000000006</v>
      </c>
      <c r="P2108">
        <v>1665.87658691406</v>
      </c>
      <c r="Q2108">
        <v>833.94561767578102</v>
      </c>
      <c r="R2108">
        <v>2</v>
      </c>
      <c r="S2108">
        <v>1</v>
      </c>
      <c r="T2108">
        <v>12</v>
      </c>
      <c r="U2108">
        <v>56.024520000000003</v>
      </c>
      <c r="V2108">
        <v>694082.2</v>
      </c>
    </row>
    <row r="2109" spans="1:22" x14ac:dyDescent="0.25">
      <c r="A2109" t="s">
        <v>4682</v>
      </c>
      <c r="B2109" t="s">
        <v>4683</v>
      </c>
      <c r="C2109">
        <v>5</v>
      </c>
      <c r="D2109">
        <v>97.7</v>
      </c>
      <c r="E2109">
        <v>97.69</v>
      </c>
      <c r="F2109" t="s">
        <v>4684</v>
      </c>
      <c r="G2109" t="s">
        <v>4684</v>
      </c>
      <c r="H2109">
        <f t="shared" si="35"/>
        <v>9</v>
      </c>
      <c r="M2109" s="1">
        <v>4.0846900083124603E-3</v>
      </c>
      <c r="N2109">
        <v>1239.66528320313</v>
      </c>
      <c r="O2109">
        <v>620.83989999999903</v>
      </c>
      <c r="P2109">
        <v>1239.6611328125</v>
      </c>
      <c r="Q2109">
        <v>620.837890625</v>
      </c>
      <c r="R2109">
        <v>2</v>
      </c>
      <c r="S2109">
        <v>3</v>
      </c>
      <c r="T2109">
        <v>12</v>
      </c>
      <c r="U2109">
        <v>35.733899999999899</v>
      </c>
      <c r="V2109">
        <v>681624.6</v>
      </c>
    </row>
    <row r="2110" spans="1:22" x14ac:dyDescent="0.25">
      <c r="A2110" t="s">
        <v>4682</v>
      </c>
      <c r="B2110" t="s">
        <v>4683</v>
      </c>
      <c r="C2110">
        <v>32</v>
      </c>
      <c r="D2110">
        <v>98.7</v>
      </c>
      <c r="E2110">
        <v>98.68</v>
      </c>
      <c r="F2110" t="s">
        <v>4685</v>
      </c>
      <c r="G2110" t="s">
        <v>4685</v>
      </c>
      <c r="H2110">
        <f t="shared" si="35"/>
        <v>9</v>
      </c>
      <c r="M2110">
        <v>-1.111E-3</v>
      </c>
      <c r="N2110">
        <v>1452.84814453125</v>
      </c>
      <c r="O2110">
        <v>485.29</v>
      </c>
      <c r="P2110">
        <v>1452.84936523438</v>
      </c>
      <c r="Q2110">
        <v>485.29037475585801</v>
      </c>
      <c r="R2110">
        <v>3</v>
      </c>
      <c r="S2110">
        <v>1</v>
      </c>
      <c r="T2110">
        <v>9</v>
      </c>
      <c r="U2110">
        <v>45.97522</v>
      </c>
      <c r="V2110">
        <v>139357.20000000001</v>
      </c>
    </row>
    <row r="2111" spans="1:22" x14ac:dyDescent="0.25">
      <c r="A2111" t="s">
        <v>1004</v>
      </c>
      <c r="B2111" t="s">
        <v>1005</v>
      </c>
      <c r="C2111">
        <v>652</v>
      </c>
      <c r="D2111">
        <v>99</v>
      </c>
      <c r="E2111">
        <v>99</v>
      </c>
      <c r="F2111" t="s">
        <v>1006</v>
      </c>
      <c r="G2111" t="s">
        <v>1006</v>
      </c>
      <c r="H2111">
        <f t="shared" si="35"/>
        <v>9</v>
      </c>
      <c r="M2111" s="1">
        <v>2.2996200714260301E-3</v>
      </c>
      <c r="N2111">
        <v>1224.63146972656</v>
      </c>
      <c r="O2111">
        <v>613.32299999999896</v>
      </c>
      <c r="P2111">
        <v>1224.62915039063</v>
      </c>
      <c r="Q2111">
        <v>613.32183837890602</v>
      </c>
      <c r="R2111">
        <v>2</v>
      </c>
      <c r="S2111">
        <v>2</v>
      </c>
      <c r="T2111">
        <v>11</v>
      </c>
      <c r="U2111">
        <v>31.0838199999999</v>
      </c>
      <c r="V2111">
        <v>465044.9</v>
      </c>
    </row>
    <row r="2112" spans="1:22" x14ac:dyDescent="0.25">
      <c r="A2112" t="s">
        <v>4402</v>
      </c>
      <c r="B2112" t="s">
        <v>4403</v>
      </c>
      <c r="C2112">
        <v>638</v>
      </c>
      <c r="D2112">
        <v>99</v>
      </c>
      <c r="E2112">
        <v>99</v>
      </c>
      <c r="F2112" t="s">
        <v>4404</v>
      </c>
      <c r="G2112" t="s">
        <v>4404</v>
      </c>
      <c r="H2112">
        <f t="shared" si="35"/>
        <v>16</v>
      </c>
      <c r="M2112" s="1">
        <v>4.2513101361692004E-3</v>
      </c>
      <c r="N2112">
        <v>1319.63012695313</v>
      </c>
      <c r="O2112">
        <v>660.82230000000004</v>
      </c>
      <c r="P2112">
        <v>1319.62585449219</v>
      </c>
      <c r="Q2112">
        <v>660.82019042968705</v>
      </c>
      <c r="R2112">
        <v>2</v>
      </c>
      <c r="S2112">
        <v>3</v>
      </c>
      <c r="T2112">
        <v>13</v>
      </c>
      <c r="U2112">
        <v>32.224049999999899</v>
      </c>
      <c r="V2112">
        <v>595001.1</v>
      </c>
    </row>
    <row r="2113" spans="1:22" x14ac:dyDescent="0.25">
      <c r="A2113" t="s">
        <v>3850</v>
      </c>
      <c r="B2113" t="s">
        <v>3851</v>
      </c>
      <c r="C2113">
        <v>586</v>
      </c>
      <c r="D2113">
        <v>99</v>
      </c>
      <c r="E2113">
        <v>99</v>
      </c>
      <c r="F2113" t="s">
        <v>370</v>
      </c>
      <c r="G2113" t="s">
        <v>370</v>
      </c>
      <c r="H2113">
        <f t="shared" si="35"/>
        <v>11</v>
      </c>
      <c r="M2113" s="1">
        <v>6.9041098468005701E-3</v>
      </c>
      <c r="N2113">
        <v>1253.55346679688</v>
      </c>
      <c r="O2113">
        <v>627.78399999999897</v>
      </c>
      <c r="P2113">
        <v>1253.54650878906</v>
      </c>
      <c r="Q2113">
        <v>627.780517578125</v>
      </c>
      <c r="R2113">
        <v>2</v>
      </c>
      <c r="S2113">
        <v>8</v>
      </c>
      <c r="T2113">
        <v>11</v>
      </c>
      <c r="U2113">
        <v>31.241250000000001</v>
      </c>
      <c r="V2113">
        <v>250483.4</v>
      </c>
    </row>
    <row r="2114" spans="1:22" x14ac:dyDescent="0.25">
      <c r="A2114" t="s">
        <v>3850</v>
      </c>
      <c r="B2114" t="s">
        <v>3851</v>
      </c>
      <c r="C2114">
        <v>588</v>
      </c>
      <c r="D2114">
        <v>98.9</v>
      </c>
      <c r="E2114">
        <v>98.92</v>
      </c>
      <c r="F2114" t="s">
        <v>217</v>
      </c>
      <c r="G2114" t="s">
        <v>217</v>
      </c>
      <c r="H2114">
        <f t="shared" si="35"/>
        <v>9</v>
      </c>
      <c r="M2114" s="1">
        <v>-4.5448299497366004E-3</v>
      </c>
      <c r="N2114">
        <v>1236.6318359375</v>
      </c>
      <c r="O2114">
        <v>619.32320000000004</v>
      </c>
      <c r="P2114">
        <v>1236.63635253906</v>
      </c>
      <c r="Q2114">
        <v>619.325439453125</v>
      </c>
      <c r="R2114">
        <v>2</v>
      </c>
      <c r="S2114">
        <v>5</v>
      </c>
      <c r="T2114">
        <v>10</v>
      </c>
      <c r="U2114">
        <v>19.508379999999899</v>
      </c>
      <c r="V2114">
        <v>804363.4</v>
      </c>
    </row>
    <row r="2115" spans="1:22" x14ac:dyDescent="0.25">
      <c r="A2115" t="s">
        <v>92</v>
      </c>
      <c r="B2115" t="s">
        <v>93</v>
      </c>
      <c r="C2115">
        <v>741</v>
      </c>
      <c r="D2115">
        <v>99</v>
      </c>
      <c r="E2115">
        <v>99</v>
      </c>
      <c r="F2115" t="s">
        <v>94</v>
      </c>
      <c r="G2115" t="s">
        <v>94</v>
      </c>
      <c r="H2115">
        <f t="shared" ref="H2115:H2140" si="36">LEN(G2115)</f>
        <v>9</v>
      </c>
      <c r="M2115" s="1">
        <v>2.6301599573344001E-3</v>
      </c>
      <c r="N2115">
        <v>1038.56372070313</v>
      </c>
      <c r="O2115">
        <v>520.28909999999905</v>
      </c>
      <c r="P2115">
        <v>1038.56103515625</v>
      </c>
      <c r="Q2115">
        <v>520.28778076171795</v>
      </c>
      <c r="R2115">
        <v>2</v>
      </c>
      <c r="S2115">
        <v>2</v>
      </c>
      <c r="T2115">
        <v>11</v>
      </c>
      <c r="U2115">
        <v>25.439419999999899</v>
      </c>
      <c r="V2115">
        <v>16140490</v>
      </c>
    </row>
    <row r="2116" spans="1:22" x14ac:dyDescent="0.25">
      <c r="A2116" t="s">
        <v>935</v>
      </c>
      <c r="B2116" t="s">
        <v>936</v>
      </c>
      <c r="C2116">
        <v>653</v>
      </c>
      <c r="D2116">
        <v>98.9</v>
      </c>
      <c r="E2116">
        <v>98.94</v>
      </c>
      <c r="F2116" t="s">
        <v>937</v>
      </c>
      <c r="G2116" t="s">
        <v>937</v>
      </c>
      <c r="H2116">
        <f t="shared" si="36"/>
        <v>9</v>
      </c>
      <c r="M2116" s="1">
        <v>3.18769994191825E-3</v>
      </c>
      <c r="N2116">
        <v>1230.67932128906</v>
      </c>
      <c r="O2116">
        <v>411.2337</v>
      </c>
      <c r="P2116">
        <v>1230.67614746094</v>
      </c>
      <c r="Q2116">
        <v>411.23263549804602</v>
      </c>
      <c r="R2116">
        <v>3</v>
      </c>
      <c r="S2116">
        <v>4</v>
      </c>
      <c r="T2116">
        <v>11</v>
      </c>
      <c r="U2116">
        <v>30.094930000000002</v>
      </c>
      <c r="V2116">
        <v>1032155</v>
      </c>
    </row>
    <row r="2117" spans="1:22" x14ac:dyDescent="0.25">
      <c r="A2117" t="s">
        <v>3444</v>
      </c>
      <c r="B2117" t="s">
        <v>3445</v>
      </c>
      <c r="C2117">
        <v>571</v>
      </c>
      <c r="D2117">
        <v>98.1</v>
      </c>
      <c r="E2117">
        <v>98.06</v>
      </c>
      <c r="F2117" t="s">
        <v>3446</v>
      </c>
      <c r="G2117" t="s">
        <v>3446</v>
      </c>
      <c r="H2117">
        <f t="shared" si="36"/>
        <v>9</v>
      </c>
      <c r="M2117" s="1">
        <v>1.23070003464818E-2</v>
      </c>
      <c r="N2117">
        <v>1150.658203125</v>
      </c>
      <c r="O2117">
        <v>384.56</v>
      </c>
      <c r="P2117">
        <v>1150.64587402344</v>
      </c>
      <c r="Q2117">
        <v>384.555908203125</v>
      </c>
      <c r="R2117">
        <v>3</v>
      </c>
      <c r="S2117">
        <v>1</v>
      </c>
      <c r="T2117">
        <v>11</v>
      </c>
      <c r="U2117">
        <v>22.2538699999999</v>
      </c>
      <c r="V2117">
        <v>3054543</v>
      </c>
    </row>
    <row r="2118" spans="1:22" x14ac:dyDescent="0.25">
      <c r="A2118" t="s">
        <v>3580</v>
      </c>
      <c r="B2118" t="s">
        <v>3581</v>
      </c>
      <c r="C2118">
        <v>31</v>
      </c>
      <c r="D2118">
        <v>99</v>
      </c>
      <c r="E2118">
        <v>99</v>
      </c>
      <c r="F2118" t="s">
        <v>3582</v>
      </c>
      <c r="G2118" t="s">
        <v>3582</v>
      </c>
      <c r="H2118">
        <f t="shared" si="36"/>
        <v>9</v>
      </c>
      <c r="M2118" s="1">
        <v>2.3332398850470699E-3</v>
      </c>
      <c r="N2118">
        <v>1078.57946777344</v>
      </c>
      <c r="O2118">
        <v>540.29700000000003</v>
      </c>
      <c r="P2118">
        <v>1078.5771484375</v>
      </c>
      <c r="Q2118">
        <v>540.29583740234295</v>
      </c>
      <c r="R2118">
        <v>2</v>
      </c>
      <c r="S2118">
        <v>1</v>
      </c>
      <c r="T2118">
        <v>11</v>
      </c>
      <c r="U2118">
        <v>21.769400000000001</v>
      </c>
      <c r="V2118">
        <v>358699.9</v>
      </c>
    </row>
    <row r="2119" spans="1:22" x14ac:dyDescent="0.25">
      <c r="A2119" t="s">
        <v>2009</v>
      </c>
      <c r="B2119" t="s">
        <v>2010</v>
      </c>
      <c r="C2119">
        <v>211</v>
      </c>
      <c r="D2119">
        <v>99</v>
      </c>
      <c r="E2119">
        <v>99</v>
      </c>
      <c r="F2119" t="s">
        <v>2011</v>
      </c>
      <c r="G2119" t="s">
        <v>2011</v>
      </c>
      <c r="H2119">
        <f t="shared" si="36"/>
        <v>9</v>
      </c>
      <c r="M2119" s="1">
        <v>1.2066100025549501E-3</v>
      </c>
      <c r="N2119">
        <v>1200.60522460938</v>
      </c>
      <c r="O2119">
        <v>601.30989999999895</v>
      </c>
      <c r="P2119">
        <v>1200.60400390625</v>
      </c>
      <c r="Q2119">
        <v>601.30926513671795</v>
      </c>
      <c r="R2119">
        <v>2</v>
      </c>
      <c r="S2119">
        <v>1</v>
      </c>
      <c r="T2119">
        <v>8</v>
      </c>
      <c r="U2119">
        <v>25.48723</v>
      </c>
      <c r="V2119">
        <v>291340.3</v>
      </c>
    </row>
    <row r="2120" spans="1:22" x14ac:dyDescent="0.25">
      <c r="A2120" t="s">
        <v>2009</v>
      </c>
      <c r="B2120" t="s">
        <v>2010</v>
      </c>
      <c r="C2120">
        <v>211</v>
      </c>
      <c r="D2120">
        <v>97.9</v>
      </c>
      <c r="E2120">
        <v>97.88</v>
      </c>
      <c r="F2120" t="s">
        <v>2011</v>
      </c>
      <c r="G2120" t="s">
        <v>2011</v>
      </c>
      <c r="H2120">
        <f t="shared" si="36"/>
        <v>9</v>
      </c>
      <c r="L2120" t="s">
        <v>47</v>
      </c>
      <c r="M2120" s="1">
        <v>7.62184988707304E-3</v>
      </c>
      <c r="N2120">
        <v>1856.95690917969</v>
      </c>
      <c r="O2120">
        <v>619.99289999999905</v>
      </c>
      <c r="P2120">
        <v>1856.94934082031</v>
      </c>
      <c r="Q2120">
        <v>619.99035644531205</v>
      </c>
      <c r="R2120">
        <v>3</v>
      </c>
      <c r="S2120">
        <v>1</v>
      </c>
      <c r="T2120">
        <v>12</v>
      </c>
      <c r="U2120">
        <v>32.386029999999899</v>
      </c>
      <c r="V2120">
        <v>144047.9</v>
      </c>
    </row>
    <row r="2121" spans="1:22" x14ac:dyDescent="0.25">
      <c r="A2121" t="s">
        <v>49</v>
      </c>
      <c r="B2121" t="s">
        <v>50</v>
      </c>
      <c r="C2121">
        <v>279</v>
      </c>
      <c r="D2121">
        <v>99</v>
      </c>
      <c r="E2121">
        <v>99</v>
      </c>
      <c r="F2121" t="s">
        <v>51</v>
      </c>
      <c r="G2121" t="s">
        <v>51</v>
      </c>
      <c r="H2121">
        <f t="shared" si="36"/>
        <v>11</v>
      </c>
      <c r="M2121" s="1">
        <v>-2.5722600985318401E-3</v>
      </c>
      <c r="N2121">
        <v>1198.64331054688</v>
      </c>
      <c r="O2121">
        <v>600.32889999999895</v>
      </c>
      <c r="P2121">
        <v>1198.64587402344</v>
      </c>
      <c r="Q2121">
        <v>600.33020019531205</v>
      </c>
      <c r="R2121">
        <v>2</v>
      </c>
      <c r="S2121">
        <v>2</v>
      </c>
      <c r="T2121">
        <v>10</v>
      </c>
      <c r="U2121">
        <v>21.46388</v>
      </c>
      <c r="V2121">
        <v>2919299</v>
      </c>
    </row>
    <row r="2122" spans="1:22" x14ac:dyDescent="0.25">
      <c r="A2122" t="s">
        <v>2237</v>
      </c>
      <c r="B2122" t="s">
        <v>2238</v>
      </c>
      <c r="C2122">
        <v>1268</v>
      </c>
      <c r="D2122">
        <v>98.4</v>
      </c>
      <c r="E2122">
        <v>98.38</v>
      </c>
      <c r="F2122" t="s">
        <v>2239</v>
      </c>
      <c r="G2122" t="s">
        <v>2239</v>
      </c>
      <c r="H2122">
        <f t="shared" si="36"/>
        <v>9</v>
      </c>
      <c r="M2122" s="1">
        <v>4.9066999927163003E-3</v>
      </c>
      <c r="N2122">
        <v>1131.54321289063</v>
      </c>
      <c r="O2122">
        <v>566.77890000000002</v>
      </c>
      <c r="P2122">
        <v>1131.53833007813</v>
      </c>
      <c r="Q2122">
        <v>566.77642822265602</v>
      </c>
      <c r="R2122">
        <v>2</v>
      </c>
      <c r="S2122">
        <v>1</v>
      </c>
      <c r="T2122">
        <v>11</v>
      </c>
      <c r="U2122">
        <v>25.2628799999999</v>
      </c>
      <c r="V2122">
        <v>1964313</v>
      </c>
    </row>
    <row r="2123" spans="1:22" x14ac:dyDescent="0.25">
      <c r="A2123" t="s">
        <v>4220</v>
      </c>
      <c r="B2123" t="s">
        <v>4221</v>
      </c>
      <c r="C2123">
        <v>230</v>
      </c>
      <c r="D2123">
        <v>98.8</v>
      </c>
      <c r="E2123">
        <v>98.77</v>
      </c>
      <c r="F2123" t="s">
        <v>4222</v>
      </c>
      <c r="G2123" t="s">
        <v>4222</v>
      </c>
      <c r="H2123">
        <f t="shared" si="36"/>
        <v>9</v>
      </c>
      <c r="M2123" s="1">
        <v>3.7121200002729901E-3</v>
      </c>
      <c r="N2123">
        <v>1182.65466308594</v>
      </c>
      <c r="O2123">
        <v>395.22550000000001</v>
      </c>
      <c r="P2123">
        <v>1182.65100097656</v>
      </c>
      <c r="Q2123">
        <v>395.22424316406301</v>
      </c>
      <c r="R2123">
        <v>3</v>
      </c>
      <c r="S2123">
        <v>2</v>
      </c>
      <c r="T2123">
        <v>10</v>
      </c>
      <c r="U2123">
        <v>30.7831499999999</v>
      </c>
      <c r="V2123">
        <v>3172054</v>
      </c>
    </row>
    <row r="2124" spans="1:22" x14ac:dyDescent="0.25">
      <c r="A2124" t="s">
        <v>804</v>
      </c>
      <c r="B2124" t="s">
        <v>805</v>
      </c>
      <c r="C2124">
        <v>326</v>
      </c>
      <c r="D2124">
        <v>99</v>
      </c>
      <c r="E2124">
        <v>99</v>
      </c>
      <c r="F2124" t="s">
        <v>806</v>
      </c>
      <c r="G2124" t="s">
        <v>806</v>
      </c>
      <c r="H2124">
        <f t="shared" si="36"/>
        <v>9</v>
      </c>
      <c r="M2124" s="1">
        <v>7.3840902186930102E-3</v>
      </c>
      <c r="N2124">
        <v>997.56707763671795</v>
      </c>
      <c r="O2124">
        <v>499.79079999999902</v>
      </c>
      <c r="P2124">
        <v>997.55969238281205</v>
      </c>
      <c r="Q2124">
        <v>499.787109375</v>
      </c>
      <c r="R2124">
        <v>2</v>
      </c>
      <c r="S2124">
        <v>2</v>
      </c>
      <c r="T2124">
        <v>10</v>
      </c>
      <c r="U2124">
        <v>41.772300000000001</v>
      </c>
      <c r="V2124">
        <v>188366.2</v>
      </c>
    </row>
    <row r="2125" spans="1:22" x14ac:dyDescent="0.25">
      <c r="A2125" t="s">
        <v>2864</v>
      </c>
      <c r="B2125" t="s">
        <v>2865</v>
      </c>
      <c r="C2125">
        <v>437</v>
      </c>
      <c r="D2125">
        <v>98.7</v>
      </c>
      <c r="E2125">
        <v>98.71</v>
      </c>
      <c r="F2125" t="s">
        <v>2866</v>
      </c>
      <c r="G2125" t="s">
        <v>2866</v>
      </c>
      <c r="H2125">
        <f t="shared" si="36"/>
        <v>9</v>
      </c>
      <c r="M2125" s="1">
        <v>5.9800101444125201E-3</v>
      </c>
      <c r="N2125">
        <v>1151.603515625</v>
      </c>
      <c r="O2125">
        <v>576.80899999999895</v>
      </c>
      <c r="P2125">
        <v>1151.59753417969</v>
      </c>
      <c r="Q2125">
        <v>576.80603027343705</v>
      </c>
      <c r="R2125">
        <v>2</v>
      </c>
      <c r="S2125">
        <v>2</v>
      </c>
      <c r="T2125">
        <v>9</v>
      </c>
      <c r="U2125">
        <v>42.647669999999898</v>
      </c>
      <c r="V2125">
        <v>208282.9</v>
      </c>
    </row>
    <row r="2126" spans="1:22" x14ac:dyDescent="0.25">
      <c r="A2126" t="s">
        <v>3483</v>
      </c>
      <c r="B2126" t="s">
        <v>3484</v>
      </c>
      <c r="C2126">
        <v>561</v>
      </c>
      <c r="D2126">
        <v>97.8</v>
      </c>
      <c r="E2126">
        <v>97.79</v>
      </c>
      <c r="F2126" t="s">
        <v>3485</v>
      </c>
      <c r="G2126" t="s">
        <v>3485</v>
      </c>
      <c r="H2126">
        <f t="shared" si="36"/>
        <v>9</v>
      </c>
      <c r="M2126">
        <v>4.4929999999999996E-3</v>
      </c>
      <c r="N2126">
        <v>1129.63293457031</v>
      </c>
      <c r="O2126">
        <v>565.82370000000003</v>
      </c>
      <c r="P2126">
        <v>1129.62841796875</v>
      </c>
      <c r="Q2126">
        <v>565.82147216796795</v>
      </c>
      <c r="R2126">
        <v>2</v>
      </c>
      <c r="S2126">
        <v>1</v>
      </c>
      <c r="T2126">
        <v>11</v>
      </c>
      <c r="U2126">
        <v>38.191070000000003</v>
      </c>
      <c r="V2126">
        <v>725770.9</v>
      </c>
    </row>
    <row r="2127" spans="1:22" x14ac:dyDescent="0.25">
      <c r="A2127" t="s">
        <v>4415</v>
      </c>
      <c r="B2127" t="s">
        <v>4416</v>
      </c>
      <c r="C2127">
        <v>177</v>
      </c>
      <c r="D2127">
        <v>99</v>
      </c>
      <c r="E2127">
        <v>99</v>
      </c>
      <c r="F2127" t="s">
        <v>4417</v>
      </c>
      <c r="G2127" t="s">
        <v>4417</v>
      </c>
      <c r="H2127">
        <f t="shared" si="36"/>
        <v>9</v>
      </c>
      <c r="M2127" s="1">
        <v>1.46279996261001E-3</v>
      </c>
      <c r="N2127">
        <v>1046.49353027344</v>
      </c>
      <c r="O2127">
        <v>524.25400000000002</v>
      </c>
      <c r="P2127">
        <v>1046.49206542969</v>
      </c>
      <c r="Q2127">
        <v>524.25329589843705</v>
      </c>
      <c r="R2127">
        <v>2</v>
      </c>
      <c r="S2127">
        <v>1</v>
      </c>
      <c r="T2127">
        <v>11</v>
      </c>
      <c r="U2127">
        <v>27.483419999999899</v>
      </c>
      <c r="V2127">
        <v>1004474</v>
      </c>
    </row>
    <row r="2128" spans="1:22" x14ac:dyDescent="0.25">
      <c r="A2128" t="s">
        <v>4173</v>
      </c>
      <c r="B2128" t="s">
        <v>4174</v>
      </c>
      <c r="C2128">
        <v>189</v>
      </c>
      <c r="D2128">
        <v>98.4</v>
      </c>
      <c r="E2128">
        <v>98.39</v>
      </c>
      <c r="F2128" t="s">
        <v>4175</v>
      </c>
      <c r="G2128" t="s">
        <v>4175</v>
      </c>
      <c r="H2128">
        <f t="shared" si="36"/>
        <v>9</v>
      </c>
      <c r="M2128" s="1">
        <v>4.0257200598716701E-3</v>
      </c>
      <c r="N2128">
        <v>1152.56042480469</v>
      </c>
      <c r="O2128">
        <v>577.28750000000002</v>
      </c>
      <c r="P2128">
        <v>1152.55639648438</v>
      </c>
      <c r="Q2128">
        <v>577.28546142578102</v>
      </c>
      <c r="R2128">
        <v>2</v>
      </c>
      <c r="S2128">
        <v>1</v>
      </c>
      <c r="T2128">
        <v>11</v>
      </c>
      <c r="U2128">
        <v>28.077580000000001</v>
      </c>
      <c r="V2128">
        <v>698693.4</v>
      </c>
    </row>
    <row r="2129" spans="1:22" x14ac:dyDescent="0.25">
      <c r="A2129" t="s">
        <v>3654</v>
      </c>
      <c r="B2129" t="s">
        <v>3655</v>
      </c>
      <c r="C2129">
        <v>1164</v>
      </c>
      <c r="D2129">
        <v>99</v>
      </c>
      <c r="E2129">
        <v>99</v>
      </c>
      <c r="F2129" t="s">
        <v>3656</v>
      </c>
      <c r="G2129" t="s">
        <v>3656</v>
      </c>
      <c r="H2129">
        <f t="shared" si="36"/>
        <v>9</v>
      </c>
      <c r="M2129" s="1">
        <v>-3.89188004191964E-4</v>
      </c>
      <c r="N2129">
        <v>917.49670410156205</v>
      </c>
      <c r="O2129">
        <v>459.75560000000002</v>
      </c>
      <c r="P2129">
        <v>917.4970703125</v>
      </c>
      <c r="Q2129">
        <v>459.75579833984301</v>
      </c>
      <c r="R2129">
        <v>2</v>
      </c>
      <c r="S2129">
        <v>1</v>
      </c>
      <c r="T2129">
        <v>10</v>
      </c>
      <c r="U2129">
        <v>23.891400000000001</v>
      </c>
      <c r="V2129">
        <v>645895.69999999902</v>
      </c>
    </row>
    <row r="2130" spans="1:22" x14ac:dyDescent="0.25">
      <c r="A2130" t="s">
        <v>3471</v>
      </c>
      <c r="B2130" t="s">
        <v>3472</v>
      </c>
      <c r="C2130">
        <v>75</v>
      </c>
      <c r="D2130">
        <v>98.6</v>
      </c>
      <c r="E2130">
        <v>98.56</v>
      </c>
      <c r="F2130" t="s">
        <v>3473</v>
      </c>
      <c r="G2130" t="s">
        <v>3473</v>
      </c>
      <c r="H2130">
        <f t="shared" si="36"/>
        <v>9</v>
      </c>
      <c r="M2130" s="1">
        <v>6.53317011892796E-3</v>
      </c>
      <c r="N2130">
        <v>1298.6572265625</v>
      </c>
      <c r="O2130">
        <v>650.33590000000004</v>
      </c>
      <c r="P2130">
        <v>1298.65063476563</v>
      </c>
      <c r="Q2130">
        <v>650.33258056640602</v>
      </c>
      <c r="R2130">
        <v>2</v>
      </c>
      <c r="S2130">
        <v>2</v>
      </c>
      <c r="T2130">
        <v>10</v>
      </c>
      <c r="U2130">
        <v>46.994750000000003</v>
      </c>
      <c r="V2130">
        <v>124433.7</v>
      </c>
    </row>
    <row r="2131" spans="1:22" x14ac:dyDescent="0.25">
      <c r="A2131" t="s">
        <v>4617</v>
      </c>
      <c r="B2131" t="s">
        <v>4618</v>
      </c>
      <c r="C2131">
        <v>753</v>
      </c>
      <c r="D2131">
        <v>99</v>
      </c>
      <c r="E2131">
        <v>99</v>
      </c>
      <c r="F2131" t="s">
        <v>4619</v>
      </c>
      <c r="G2131" t="s">
        <v>4619</v>
      </c>
      <c r="H2131">
        <f t="shared" si="36"/>
        <v>9</v>
      </c>
      <c r="L2131" t="s">
        <v>47</v>
      </c>
      <c r="M2131">
        <v>1.5200000000000001E-4</v>
      </c>
      <c r="N2131">
        <v>1748.76123046875</v>
      </c>
      <c r="O2131">
        <v>583.92769999999905</v>
      </c>
      <c r="P2131">
        <v>1748.76098632813</v>
      </c>
      <c r="Q2131">
        <v>583.92761230468705</v>
      </c>
      <c r="R2131">
        <v>3</v>
      </c>
      <c r="S2131">
        <v>1</v>
      </c>
      <c r="T2131">
        <v>10</v>
      </c>
      <c r="U2131">
        <v>20.62687</v>
      </c>
      <c r="V2131">
        <v>183239.7</v>
      </c>
    </row>
    <row r="2132" spans="1:22" x14ac:dyDescent="0.25">
      <c r="A2132" t="s">
        <v>530</v>
      </c>
      <c r="B2132" t="s">
        <v>531</v>
      </c>
      <c r="C2132">
        <v>526</v>
      </c>
      <c r="D2132">
        <v>99</v>
      </c>
      <c r="E2132">
        <v>99</v>
      </c>
      <c r="F2132" t="s">
        <v>532</v>
      </c>
      <c r="G2132" t="s">
        <v>532</v>
      </c>
      <c r="H2132">
        <f t="shared" si="36"/>
        <v>9</v>
      </c>
      <c r="M2132" s="1">
        <v>-2.6682799216359903E-4</v>
      </c>
      <c r="N2132">
        <v>1092.66931152344</v>
      </c>
      <c r="O2132">
        <v>547.34190000000001</v>
      </c>
      <c r="P2132">
        <v>1092.66955566406</v>
      </c>
      <c r="Q2132">
        <v>547.342041015625</v>
      </c>
      <c r="R2132">
        <v>2</v>
      </c>
      <c r="S2132">
        <v>1</v>
      </c>
      <c r="T2132">
        <v>10</v>
      </c>
      <c r="U2132">
        <v>24.62763</v>
      </c>
      <c r="V2132">
        <v>541630.9</v>
      </c>
    </row>
    <row r="2133" spans="1:22" x14ac:dyDescent="0.25">
      <c r="A2133" t="s">
        <v>1994</v>
      </c>
      <c r="B2133" t="s">
        <v>1995</v>
      </c>
      <c r="C2133">
        <v>268</v>
      </c>
      <c r="D2133">
        <v>99</v>
      </c>
      <c r="E2133">
        <v>99</v>
      </c>
      <c r="F2133" t="s">
        <v>1996</v>
      </c>
      <c r="G2133" t="s">
        <v>1996</v>
      </c>
      <c r="H2133">
        <f t="shared" si="36"/>
        <v>9</v>
      </c>
      <c r="M2133">
        <v>1.572E-3</v>
      </c>
      <c r="N2133">
        <v>905.46228027343705</v>
      </c>
      <c r="O2133">
        <v>453.73840000000001</v>
      </c>
      <c r="P2133">
        <v>905.460693359375</v>
      </c>
      <c r="Q2133">
        <v>453.73760986328102</v>
      </c>
      <c r="R2133">
        <v>2</v>
      </c>
      <c r="S2133">
        <v>1</v>
      </c>
      <c r="T2133">
        <v>9</v>
      </c>
      <c r="U2133">
        <v>24.916180000000001</v>
      </c>
      <c r="V2133">
        <v>3131710</v>
      </c>
    </row>
    <row r="2134" spans="1:22" x14ac:dyDescent="0.25">
      <c r="A2134" t="s">
        <v>3000</v>
      </c>
      <c r="B2134" t="s">
        <v>3001</v>
      </c>
      <c r="C2134">
        <v>195</v>
      </c>
      <c r="D2134">
        <v>99</v>
      </c>
      <c r="E2134">
        <v>99</v>
      </c>
      <c r="F2134" t="s">
        <v>3002</v>
      </c>
      <c r="G2134" t="s">
        <v>3002</v>
      </c>
      <c r="H2134">
        <f t="shared" si="36"/>
        <v>9</v>
      </c>
      <c r="M2134" s="1">
        <v>4.3308702297508604E-3</v>
      </c>
      <c r="N2134">
        <v>1218.57531738281</v>
      </c>
      <c r="O2134">
        <v>610.29489999999896</v>
      </c>
      <c r="P2134">
        <v>1218.57092285156</v>
      </c>
      <c r="Q2134">
        <v>610.29278564453102</v>
      </c>
      <c r="R2134">
        <v>2</v>
      </c>
      <c r="S2134">
        <v>1</v>
      </c>
      <c r="T2134">
        <v>13</v>
      </c>
      <c r="U2134">
        <v>37.323419999999899</v>
      </c>
      <c r="V2134">
        <v>673872.9</v>
      </c>
    </row>
    <row r="2135" spans="1:22" x14ac:dyDescent="0.25">
      <c r="A2135" t="s">
        <v>3215</v>
      </c>
      <c r="B2135" t="s">
        <v>3216</v>
      </c>
      <c r="C2135">
        <v>331</v>
      </c>
      <c r="D2135">
        <v>97.9</v>
      </c>
      <c r="E2135">
        <v>97.86</v>
      </c>
      <c r="F2135" t="s">
        <v>3217</v>
      </c>
      <c r="G2135" t="s">
        <v>3217</v>
      </c>
      <c r="H2135">
        <f t="shared" si="36"/>
        <v>9</v>
      </c>
      <c r="M2135" s="1">
        <v>2.1109199151396699E-3</v>
      </c>
      <c r="N2135">
        <v>1230.64184570313</v>
      </c>
      <c r="O2135">
        <v>616.32820000000004</v>
      </c>
      <c r="P2135">
        <v>1230.6396484375</v>
      </c>
      <c r="Q2135">
        <v>616.3271484375</v>
      </c>
      <c r="R2135">
        <v>2</v>
      </c>
      <c r="S2135">
        <v>3</v>
      </c>
      <c r="T2135">
        <v>12</v>
      </c>
      <c r="U2135">
        <v>32.96555</v>
      </c>
      <c r="V2135">
        <v>338745</v>
      </c>
    </row>
    <row r="2136" spans="1:22" x14ac:dyDescent="0.25">
      <c r="A2136" t="s">
        <v>3745</v>
      </c>
      <c r="B2136" t="s">
        <v>3746</v>
      </c>
      <c r="C2136">
        <v>320</v>
      </c>
      <c r="D2136">
        <v>99</v>
      </c>
      <c r="E2136">
        <v>99</v>
      </c>
      <c r="F2136" t="s">
        <v>3747</v>
      </c>
      <c r="G2136" t="s">
        <v>3747</v>
      </c>
      <c r="H2136">
        <f t="shared" si="36"/>
        <v>9</v>
      </c>
      <c r="L2136" t="s">
        <v>295</v>
      </c>
      <c r="M2136" s="1">
        <v>3.6689001135528101E-3</v>
      </c>
      <c r="N2136">
        <v>1357.62609863281</v>
      </c>
      <c r="O2136">
        <v>679.82029999999895</v>
      </c>
      <c r="P2136">
        <v>1357.62243652344</v>
      </c>
      <c r="Q2136">
        <v>679.81848144531205</v>
      </c>
      <c r="R2136">
        <v>2</v>
      </c>
      <c r="S2136">
        <v>11</v>
      </c>
      <c r="T2136">
        <v>12</v>
      </c>
      <c r="U2136">
        <v>45.473599999999898</v>
      </c>
      <c r="V2136">
        <v>67811.27</v>
      </c>
    </row>
    <row r="2137" spans="1:22" x14ac:dyDescent="0.25">
      <c r="A2137" t="s">
        <v>3114</v>
      </c>
      <c r="B2137" t="s">
        <v>3115</v>
      </c>
      <c r="C2137">
        <v>210</v>
      </c>
      <c r="D2137">
        <v>98.3</v>
      </c>
      <c r="E2137">
        <v>98.29</v>
      </c>
      <c r="F2137" t="s">
        <v>3116</v>
      </c>
      <c r="G2137" t="s">
        <v>3116</v>
      </c>
      <c r="H2137">
        <f t="shared" si="36"/>
        <v>9</v>
      </c>
      <c r="M2137">
        <v>4.3160000000000004E-3</v>
      </c>
      <c r="N2137">
        <v>1382.71252441406</v>
      </c>
      <c r="O2137">
        <v>692.36350000000004</v>
      </c>
      <c r="P2137">
        <v>1382.70812988281</v>
      </c>
      <c r="Q2137">
        <v>692.36138916015602</v>
      </c>
      <c r="R2137">
        <v>2</v>
      </c>
      <c r="S2137">
        <v>1</v>
      </c>
      <c r="T2137">
        <v>13</v>
      </c>
      <c r="U2137">
        <v>55.541150000000002</v>
      </c>
      <c r="V2137">
        <v>870764.4</v>
      </c>
    </row>
    <row r="2138" spans="1:22" x14ac:dyDescent="0.25">
      <c r="A2138" t="s">
        <v>3114</v>
      </c>
      <c r="B2138" t="s">
        <v>3115</v>
      </c>
      <c r="C2138">
        <v>466</v>
      </c>
      <c r="D2138">
        <v>98.9</v>
      </c>
      <c r="E2138">
        <v>98.92</v>
      </c>
      <c r="F2138" t="s">
        <v>3117</v>
      </c>
      <c r="G2138" t="s">
        <v>3117</v>
      </c>
      <c r="H2138">
        <f t="shared" si="36"/>
        <v>9</v>
      </c>
      <c r="M2138" s="1">
        <v>1.8862199503928299E-3</v>
      </c>
      <c r="N2138">
        <v>1168.65112304688</v>
      </c>
      <c r="O2138">
        <v>585.33280000000002</v>
      </c>
      <c r="P2138">
        <v>1168.64916992188</v>
      </c>
      <c r="Q2138">
        <v>585.33190917968705</v>
      </c>
      <c r="R2138">
        <v>2</v>
      </c>
      <c r="S2138">
        <v>2</v>
      </c>
      <c r="T2138">
        <v>12</v>
      </c>
      <c r="U2138">
        <v>26.720870000000001</v>
      </c>
      <c r="V2138">
        <v>369650.9</v>
      </c>
    </row>
    <row r="2139" spans="1:22" x14ac:dyDescent="0.25">
      <c r="A2139" t="s">
        <v>3977</v>
      </c>
      <c r="B2139" t="s">
        <v>3978</v>
      </c>
      <c r="C2139">
        <v>163</v>
      </c>
      <c r="D2139">
        <v>99</v>
      </c>
      <c r="E2139">
        <v>99</v>
      </c>
      <c r="F2139" t="s">
        <v>3979</v>
      </c>
      <c r="G2139" t="s">
        <v>3979</v>
      </c>
      <c r="H2139">
        <f t="shared" si="36"/>
        <v>9</v>
      </c>
      <c r="M2139" s="1">
        <v>3.9985701441764701E-3</v>
      </c>
      <c r="N2139">
        <v>1259.69543457031</v>
      </c>
      <c r="O2139">
        <v>630.85500000000002</v>
      </c>
      <c r="P2139">
        <v>1259.69140625</v>
      </c>
      <c r="Q2139">
        <v>630.85296630859295</v>
      </c>
      <c r="R2139">
        <v>2</v>
      </c>
      <c r="S2139">
        <v>2</v>
      </c>
      <c r="T2139">
        <v>12</v>
      </c>
      <c r="U2139">
        <v>37.592849999999899</v>
      </c>
      <c r="V2139">
        <v>2772632</v>
      </c>
    </row>
    <row r="2140" spans="1:22" x14ac:dyDescent="0.25">
      <c r="A2140" t="s">
        <v>3003</v>
      </c>
      <c r="B2140" t="s">
        <v>3004</v>
      </c>
      <c r="C2140">
        <v>516</v>
      </c>
      <c r="D2140">
        <v>98.2</v>
      </c>
      <c r="E2140">
        <v>98.23</v>
      </c>
      <c r="F2140" t="s">
        <v>3005</v>
      </c>
      <c r="G2140" t="s">
        <v>3005</v>
      </c>
      <c r="H2140">
        <f t="shared" si="36"/>
        <v>9</v>
      </c>
      <c r="M2140">
        <v>1.913E-3</v>
      </c>
      <c r="N2140">
        <v>1073.51611328125</v>
      </c>
      <c r="O2140">
        <v>537.76530000000002</v>
      </c>
      <c r="P2140">
        <v>1073.51416015625</v>
      </c>
      <c r="Q2140">
        <v>537.76434326171795</v>
      </c>
      <c r="R2140">
        <v>2</v>
      </c>
      <c r="S2140">
        <v>1</v>
      </c>
      <c r="T2140">
        <v>10</v>
      </c>
      <c r="U2140">
        <v>25.9727999999999</v>
      </c>
      <c r="V2140">
        <v>377258.7</v>
      </c>
    </row>
  </sheetData>
  <conditionalFormatting sqref="A506:B1820">
    <cfRule type="containsText" dxfId="2" priority="2" operator="containsText" text="rev">
      <formula>NOT(ISERROR(SEARCH("rev",A506)))</formula>
    </cfRule>
  </conditionalFormatting>
  <conditionalFormatting sqref="G1821:G2140">
    <cfRule type="duplicateValues" dxfId="1" priority="3"/>
  </conditionalFormatting>
  <conditionalFormatting sqref="F1821:F2140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mC0602_peptides (copy)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Sagar Bhatta</cp:lastModifiedBy>
  <dcterms:created xsi:type="dcterms:W3CDTF">2017-07-03T08:33:59Z</dcterms:created>
  <dcterms:modified xsi:type="dcterms:W3CDTF">2026-07-29T07:44:57Z</dcterms:modified>
</cp:coreProperties>
</file>